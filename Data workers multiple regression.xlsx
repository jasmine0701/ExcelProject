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sam\Downloads\"/>
    </mc:Choice>
  </mc:AlternateContent>
  <xr:revisionPtr revIDLastSave="0" documentId="13_ncr:1_{D86BB606-2B22-4A98-951C-33564677DA12}" xr6:coauthVersionLast="47" xr6:coauthVersionMax="47" xr10:uidLastSave="{00000000-0000-0000-0000-000000000000}"/>
  <bookViews>
    <workbookView xWindow="-108" yWindow="-108" windowWidth="23256" windowHeight="12456" xr2:uid="{E87530DE-40BE-4E9B-9849-455D8A3C45DF}"/>
  </bookViews>
  <sheets>
    <sheet name="Лист3" sheetId="3" r:id="rId1"/>
    <sheet name="Лист2" sheetId="2" r:id="rId2"/>
    <sheet name="Лист4" sheetId="4" r:id="rId3"/>
    <sheet name="Лист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2" l="1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29" i="2"/>
  <c r="C22" i="3"/>
  <c r="C21" i="3"/>
  <c r="C20" i="3"/>
  <c r="C19" i="3"/>
  <c r="C18" i="3"/>
  <c r="L3" i="1" l="1"/>
  <c r="K3" i="1"/>
  <c r="P9" i="1"/>
  <c r="O3" i="1"/>
  <c r="N6" i="1"/>
  <c r="M3" i="1"/>
  <c r="L6" i="1"/>
  <c r="N3" i="1"/>
  <c r="P3" i="1"/>
  <c r="L4" i="1"/>
  <c r="M4" i="1"/>
  <c r="N4" i="1"/>
  <c r="O4" i="1"/>
  <c r="P4" i="1"/>
  <c r="L5" i="1"/>
  <c r="M5" i="1"/>
  <c r="N5" i="1"/>
  <c r="O5" i="1"/>
  <c r="P5" i="1"/>
  <c r="M6" i="1"/>
  <c r="O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L21" i="1"/>
  <c r="M21" i="1"/>
  <c r="N21" i="1"/>
  <c r="O21" i="1"/>
  <c r="P21" i="1"/>
  <c r="L22" i="1"/>
  <c r="M22" i="1"/>
  <c r="N22" i="1"/>
  <c r="O22" i="1"/>
  <c r="P22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L34" i="1"/>
  <c r="M34" i="1"/>
  <c r="N34" i="1"/>
  <c r="O34" i="1"/>
  <c r="P34" i="1"/>
  <c r="L35" i="1"/>
  <c r="M35" i="1"/>
  <c r="N35" i="1"/>
  <c r="O35" i="1"/>
  <c r="P35" i="1"/>
  <c r="L36" i="1"/>
  <c r="M36" i="1"/>
  <c r="N36" i="1"/>
  <c r="O36" i="1"/>
  <c r="P36" i="1"/>
  <c r="L37" i="1"/>
  <c r="M37" i="1"/>
  <c r="N37" i="1"/>
  <c r="O37" i="1"/>
  <c r="P37" i="1"/>
  <c r="L38" i="1"/>
  <c r="M38" i="1"/>
  <c r="N38" i="1"/>
  <c r="O38" i="1"/>
  <c r="P38" i="1"/>
  <c r="L39" i="1"/>
  <c r="M39" i="1"/>
  <c r="N39" i="1"/>
  <c r="O39" i="1"/>
  <c r="P39" i="1"/>
  <c r="L40" i="1"/>
  <c r="M40" i="1"/>
  <c r="N40" i="1"/>
  <c r="O40" i="1"/>
  <c r="P40" i="1"/>
  <c r="L41" i="1"/>
  <c r="M41" i="1"/>
  <c r="N41" i="1"/>
  <c r="O41" i="1"/>
  <c r="P41" i="1"/>
  <c r="L42" i="1"/>
  <c r="M42" i="1"/>
  <c r="N42" i="1"/>
  <c r="O42" i="1"/>
  <c r="P42" i="1"/>
  <c r="L43" i="1"/>
  <c r="M43" i="1"/>
  <c r="N43" i="1"/>
  <c r="O43" i="1"/>
  <c r="P43" i="1"/>
  <c r="L44" i="1"/>
  <c r="M44" i="1"/>
  <c r="N44" i="1"/>
  <c r="O44" i="1"/>
  <c r="P44" i="1"/>
  <c r="L45" i="1"/>
  <c r="M45" i="1"/>
  <c r="N45" i="1"/>
  <c r="O45" i="1"/>
  <c r="P45" i="1"/>
  <c r="L46" i="1"/>
  <c r="M46" i="1"/>
  <c r="N46" i="1"/>
  <c r="O46" i="1"/>
  <c r="P46" i="1"/>
  <c r="L47" i="1"/>
  <c r="M47" i="1"/>
  <c r="N47" i="1"/>
  <c r="O47" i="1"/>
  <c r="P47" i="1"/>
  <c r="L48" i="1"/>
  <c r="M48" i="1"/>
  <c r="N48" i="1"/>
  <c r="O48" i="1"/>
  <c r="P48" i="1"/>
  <c r="L49" i="1"/>
  <c r="M49" i="1"/>
  <c r="N49" i="1"/>
  <c r="O49" i="1"/>
  <c r="P49" i="1"/>
  <c r="L50" i="1"/>
  <c r="M50" i="1"/>
  <c r="N50" i="1"/>
  <c r="O50" i="1"/>
  <c r="P50" i="1"/>
  <c r="L51" i="1"/>
  <c r="M51" i="1"/>
  <c r="N51" i="1"/>
  <c r="O51" i="1"/>
  <c r="P51" i="1"/>
  <c r="L52" i="1"/>
  <c r="M52" i="1"/>
  <c r="N52" i="1"/>
  <c r="O52" i="1"/>
  <c r="P52" i="1"/>
  <c r="L53" i="1"/>
  <c r="M53" i="1"/>
  <c r="N53" i="1"/>
  <c r="O53" i="1"/>
  <c r="P53" i="1"/>
  <c r="L54" i="1"/>
  <c r="M54" i="1"/>
  <c r="N54" i="1"/>
  <c r="O54" i="1"/>
  <c r="P54" i="1"/>
  <c r="L55" i="1"/>
  <c r="M55" i="1"/>
  <c r="N55" i="1"/>
  <c r="O55" i="1"/>
  <c r="P55" i="1"/>
  <c r="L56" i="1"/>
  <c r="M56" i="1"/>
  <c r="N56" i="1"/>
  <c r="O56" i="1"/>
  <c r="P56" i="1"/>
  <c r="L57" i="1"/>
  <c r="M57" i="1"/>
  <c r="N57" i="1"/>
  <c r="O57" i="1"/>
  <c r="P57" i="1"/>
  <c r="L58" i="1"/>
  <c r="M58" i="1"/>
  <c r="N58" i="1"/>
  <c r="O58" i="1"/>
  <c r="P58" i="1"/>
  <c r="L59" i="1"/>
  <c r="M59" i="1"/>
  <c r="N59" i="1"/>
  <c r="O59" i="1"/>
  <c r="P59" i="1"/>
  <c r="L60" i="1"/>
  <c r="M60" i="1"/>
  <c r="N60" i="1"/>
  <c r="O60" i="1"/>
  <c r="P60" i="1"/>
  <c r="L61" i="1"/>
  <c r="M61" i="1"/>
  <c r="N61" i="1"/>
  <c r="O61" i="1"/>
  <c r="P61" i="1"/>
  <c r="L62" i="1"/>
  <c r="M62" i="1"/>
  <c r="N62" i="1"/>
  <c r="O62" i="1"/>
  <c r="P62" i="1"/>
  <c r="L63" i="1"/>
  <c r="M63" i="1"/>
  <c r="N63" i="1"/>
  <c r="O63" i="1"/>
  <c r="P63" i="1"/>
  <c r="L64" i="1"/>
  <c r="M64" i="1"/>
  <c r="N64" i="1"/>
  <c r="O64" i="1"/>
  <c r="P64" i="1"/>
  <c r="L65" i="1"/>
  <c r="M65" i="1"/>
  <c r="N65" i="1"/>
  <c r="O65" i="1"/>
  <c r="P65" i="1"/>
  <c r="L66" i="1"/>
  <c r="M66" i="1"/>
  <c r="N66" i="1"/>
  <c r="O66" i="1"/>
  <c r="P66" i="1"/>
  <c r="L67" i="1"/>
  <c r="M67" i="1"/>
  <c r="N67" i="1"/>
  <c r="O67" i="1"/>
  <c r="P67" i="1"/>
  <c r="L68" i="1"/>
  <c r="M68" i="1"/>
  <c r="N68" i="1"/>
  <c r="O68" i="1"/>
  <c r="P68" i="1"/>
  <c r="L69" i="1"/>
  <c r="M69" i="1"/>
  <c r="N69" i="1"/>
  <c r="O69" i="1"/>
  <c r="P69" i="1"/>
  <c r="L70" i="1"/>
  <c r="M70" i="1"/>
  <c r="N70" i="1"/>
  <c r="O70" i="1"/>
  <c r="P70" i="1"/>
  <c r="L71" i="1"/>
  <c r="M71" i="1"/>
  <c r="N71" i="1"/>
  <c r="O71" i="1"/>
  <c r="P71" i="1"/>
  <c r="L72" i="1"/>
  <c r="M72" i="1"/>
  <c r="N72" i="1"/>
  <c r="O72" i="1"/>
  <c r="P72" i="1"/>
  <c r="L73" i="1"/>
  <c r="M73" i="1"/>
  <c r="N73" i="1"/>
  <c r="O73" i="1"/>
  <c r="P73" i="1"/>
  <c r="L74" i="1"/>
  <c r="M74" i="1"/>
  <c r="N74" i="1"/>
  <c r="O74" i="1"/>
  <c r="P74" i="1"/>
  <c r="L75" i="1"/>
  <c r="M75" i="1"/>
  <c r="N75" i="1"/>
  <c r="O75" i="1"/>
  <c r="P75" i="1"/>
  <c r="L76" i="1"/>
  <c r="M76" i="1"/>
  <c r="N76" i="1"/>
  <c r="O76" i="1"/>
  <c r="P76" i="1"/>
  <c r="L77" i="1"/>
  <c r="M77" i="1"/>
  <c r="N77" i="1"/>
  <c r="O77" i="1"/>
  <c r="P77" i="1"/>
  <c r="L78" i="1"/>
  <c r="M78" i="1"/>
  <c r="N78" i="1"/>
  <c r="O78" i="1"/>
  <c r="P78" i="1"/>
  <c r="L79" i="1"/>
  <c r="M79" i="1"/>
  <c r="N79" i="1"/>
  <c r="O79" i="1"/>
  <c r="P79" i="1"/>
  <c r="L80" i="1"/>
  <c r="M80" i="1"/>
  <c r="N80" i="1"/>
  <c r="O80" i="1"/>
  <c r="P80" i="1"/>
  <c r="L81" i="1"/>
  <c r="M81" i="1"/>
  <c r="N81" i="1"/>
  <c r="O81" i="1"/>
  <c r="P81" i="1"/>
  <c r="L82" i="1"/>
  <c r="M82" i="1"/>
  <c r="N82" i="1"/>
  <c r="O82" i="1"/>
  <c r="P82" i="1"/>
  <c r="L83" i="1"/>
  <c r="M83" i="1"/>
  <c r="N83" i="1"/>
  <c r="O83" i="1"/>
  <c r="P83" i="1"/>
  <c r="L84" i="1"/>
  <c r="M84" i="1"/>
  <c r="N84" i="1"/>
  <c r="O84" i="1"/>
  <c r="P84" i="1"/>
  <c r="L85" i="1"/>
  <c r="M85" i="1"/>
  <c r="N85" i="1"/>
  <c r="O85" i="1"/>
  <c r="P85" i="1"/>
  <c r="L86" i="1"/>
  <c r="M86" i="1"/>
  <c r="N86" i="1"/>
  <c r="O86" i="1"/>
  <c r="P86" i="1"/>
  <c r="L87" i="1"/>
  <c r="M87" i="1"/>
  <c r="N87" i="1"/>
  <c r="O87" i="1"/>
  <c r="P87" i="1"/>
  <c r="L88" i="1"/>
  <c r="M88" i="1"/>
  <c r="N88" i="1"/>
  <c r="O88" i="1"/>
  <c r="P88" i="1"/>
  <c r="L89" i="1"/>
  <c r="M89" i="1"/>
  <c r="N89" i="1"/>
  <c r="O89" i="1"/>
  <c r="P89" i="1"/>
  <c r="L90" i="1"/>
  <c r="M90" i="1"/>
  <c r="N90" i="1"/>
  <c r="O90" i="1"/>
  <c r="P90" i="1"/>
  <c r="L91" i="1"/>
  <c r="M91" i="1"/>
  <c r="N91" i="1"/>
  <c r="O91" i="1"/>
  <c r="P91" i="1"/>
  <c r="L92" i="1"/>
  <c r="M92" i="1"/>
  <c r="N92" i="1"/>
  <c r="O92" i="1"/>
  <c r="P92" i="1"/>
  <c r="L93" i="1"/>
  <c r="M93" i="1"/>
  <c r="N93" i="1"/>
  <c r="O93" i="1"/>
  <c r="P93" i="1"/>
  <c r="L94" i="1"/>
  <c r="M94" i="1"/>
  <c r="N94" i="1"/>
  <c r="O94" i="1"/>
  <c r="P94" i="1"/>
  <c r="L95" i="1"/>
  <c r="M95" i="1"/>
  <c r="N95" i="1"/>
  <c r="O95" i="1"/>
  <c r="P95" i="1"/>
  <c r="L96" i="1"/>
  <c r="M96" i="1"/>
  <c r="N96" i="1"/>
  <c r="O96" i="1"/>
  <c r="P96" i="1"/>
  <c r="L97" i="1"/>
  <c r="M97" i="1"/>
  <c r="N97" i="1"/>
  <c r="O97" i="1"/>
  <c r="P97" i="1"/>
  <c r="L98" i="1"/>
  <c r="M98" i="1"/>
  <c r="N98" i="1"/>
  <c r="O98" i="1"/>
  <c r="P98" i="1"/>
  <c r="L99" i="1"/>
  <c r="M99" i="1"/>
  <c r="N99" i="1"/>
  <c r="O99" i="1"/>
  <c r="P99" i="1"/>
  <c r="L100" i="1"/>
  <c r="M100" i="1"/>
  <c r="N100" i="1"/>
  <c r="O100" i="1"/>
  <c r="P100" i="1"/>
  <c r="L101" i="1"/>
  <c r="M101" i="1"/>
  <c r="N101" i="1"/>
  <c r="O101" i="1"/>
  <c r="P101" i="1"/>
  <c r="L102" i="1"/>
  <c r="M102" i="1"/>
  <c r="N102" i="1"/>
  <c r="O102" i="1"/>
  <c r="P102" i="1"/>
  <c r="L103" i="1"/>
  <c r="M103" i="1"/>
  <c r="N103" i="1"/>
  <c r="O103" i="1"/>
  <c r="P103" i="1"/>
  <c r="L104" i="1"/>
  <c r="M104" i="1"/>
  <c r="N104" i="1"/>
  <c r="O104" i="1"/>
  <c r="P104" i="1"/>
  <c r="L105" i="1"/>
  <c r="M105" i="1"/>
  <c r="N105" i="1"/>
  <c r="O105" i="1"/>
  <c r="P105" i="1"/>
  <c r="L106" i="1"/>
  <c r="M106" i="1"/>
  <c r="N106" i="1"/>
  <c r="O106" i="1"/>
  <c r="P106" i="1"/>
  <c r="L107" i="1"/>
  <c r="M107" i="1"/>
  <c r="N107" i="1"/>
  <c r="O107" i="1"/>
  <c r="P107" i="1"/>
  <c r="L108" i="1"/>
  <c r="M108" i="1"/>
  <c r="N108" i="1"/>
  <c r="O108" i="1"/>
  <c r="P108" i="1"/>
  <c r="L109" i="1"/>
  <c r="M109" i="1"/>
  <c r="N109" i="1"/>
  <c r="O109" i="1"/>
  <c r="P109" i="1"/>
  <c r="L110" i="1"/>
  <c r="M110" i="1"/>
  <c r="N110" i="1"/>
  <c r="O110" i="1"/>
  <c r="P110" i="1"/>
  <c r="L111" i="1"/>
  <c r="M111" i="1"/>
  <c r="N111" i="1"/>
  <c r="O111" i="1"/>
  <c r="P111" i="1"/>
  <c r="L112" i="1"/>
  <c r="M112" i="1"/>
  <c r="N112" i="1"/>
  <c r="O112" i="1"/>
  <c r="P112" i="1"/>
  <c r="L113" i="1"/>
  <c r="M113" i="1"/>
  <c r="N113" i="1"/>
  <c r="O113" i="1"/>
  <c r="P11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C15" i="2"/>
  <c r="J11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3" i="1"/>
  <c r="C5" i="2"/>
</calcChain>
</file>

<file path=xl/sharedStrings.xml><?xml version="1.0" encoding="utf-8"?>
<sst xmlns="http://schemas.openxmlformats.org/spreadsheetml/2006/main" count="214" uniqueCount="44">
  <si>
    <t>Worker serial number</t>
  </si>
  <si>
    <t>Work experience (years)</t>
  </si>
  <si>
    <t>Years of training</t>
  </si>
  <si>
    <t>Tariff category assigned after training</t>
  </si>
  <si>
    <t>Profession</t>
  </si>
  <si>
    <t>Technical training at the factory(1=yes, 0=no)</t>
  </si>
  <si>
    <t>Salary in tenge</t>
  </si>
  <si>
    <t>Percentage of production norms performance</t>
  </si>
  <si>
    <t>Grinder</t>
  </si>
  <si>
    <t>Turner</t>
  </si>
  <si>
    <t>Locksmith</t>
  </si>
  <si>
    <t>Carpenter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</si>
  <si>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</si>
  <si>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</si>
  <si>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</si>
  <si>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</si>
  <si>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</si>
  <si>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</si>
  <si>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</si>
  <si>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</si>
  <si>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</si>
  <si>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</si>
  <si>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</si>
  <si>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</si>
  <si>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</si>
  <si>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</si>
  <si>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</si>
  <si>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</si>
  <si>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</si>
  <si>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</si>
  <si>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</si>
  <si>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</si>
  <si>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</si>
  <si>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</si>
  <si>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</si>
  <si>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</si>
  <si>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</si>
  <si>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</si>
  <si>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Salary in tenge</t>
  </si>
  <si>
    <t>Остатки</t>
  </si>
  <si>
    <t>Стандартные остатки</t>
  </si>
  <si>
    <t>ВЫВОД ВЕРОЯТНОСТИ</t>
  </si>
  <si>
    <t>Персентиль</t>
  </si>
  <si>
    <t>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</si>
</sst>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2" xfId="0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production norms performance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Лист1!$L$3:$L$113</c:f>
              <c:numCache>
                <c:formatCode>General</c:formatCode>
                <c:ptCount val="111"/>
                <c:pt idx="0">
                  <c:v>0.66569265165952718</c:v>
                </c:pt>
                <c:pt idx="1">
                  <c:v>0.86388277504139799</c:v>
                </c:pt>
                <c:pt idx="2">
                  <c:v>0.83085108781108619</c:v>
                </c:pt>
                <c:pt idx="3">
                  <c:v>0.36840746658672091</c:v>
                </c:pt>
                <c:pt idx="4">
                  <c:v>0.46750252827765632</c:v>
                </c:pt>
                <c:pt idx="5">
                  <c:v>0.40143915381703271</c:v>
                </c:pt>
                <c:pt idx="6">
                  <c:v>0.79781940058077438</c:v>
                </c:pt>
                <c:pt idx="7">
                  <c:v>-0.9198283353954394</c:v>
                </c:pt>
                <c:pt idx="8">
                  <c:v>-0.820733273704504</c:v>
                </c:pt>
                <c:pt idx="9">
                  <c:v>-0.820733273704504</c:v>
                </c:pt>
                <c:pt idx="10">
                  <c:v>-0.62254315032263319</c:v>
                </c:pt>
                <c:pt idx="11">
                  <c:v>-0.55647977586200958</c:v>
                </c:pt>
                <c:pt idx="12">
                  <c:v>-0.52344808863169778</c:v>
                </c:pt>
                <c:pt idx="13">
                  <c:v>-0.52344808863169778</c:v>
                </c:pt>
                <c:pt idx="14">
                  <c:v>-0.49041640140138598</c:v>
                </c:pt>
                <c:pt idx="15">
                  <c:v>-0.49041640140138598</c:v>
                </c:pt>
                <c:pt idx="16">
                  <c:v>-0.12706784186795614</c:v>
                </c:pt>
                <c:pt idx="17">
                  <c:v>-1.0189233970863749</c:v>
                </c:pt>
                <c:pt idx="18">
                  <c:v>-1.1180184587773103</c:v>
                </c:pt>
                <c:pt idx="19">
                  <c:v>-1.1180184587773103</c:v>
                </c:pt>
                <c:pt idx="20">
                  <c:v>-0.9528600226257512</c:v>
                </c:pt>
                <c:pt idx="21">
                  <c:v>-0.39132133971045058</c:v>
                </c:pt>
                <c:pt idx="22">
                  <c:v>-0.25919459078920337</c:v>
                </c:pt>
                <c:pt idx="23">
                  <c:v>-0.39132133971045058</c:v>
                </c:pt>
                <c:pt idx="24">
                  <c:v>-0.39132133971045058</c:v>
                </c:pt>
                <c:pt idx="25">
                  <c:v>-0.39132133971045058</c:v>
                </c:pt>
                <c:pt idx="26">
                  <c:v>-0.39132133971045058</c:v>
                </c:pt>
                <c:pt idx="27">
                  <c:v>-1.0189233970863749</c:v>
                </c:pt>
                <c:pt idx="28">
                  <c:v>-0.78770158647419219</c:v>
                </c:pt>
                <c:pt idx="29">
                  <c:v>-0.9198283353954394</c:v>
                </c:pt>
                <c:pt idx="30">
                  <c:v>-0.820733273704504</c:v>
                </c:pt>
                <c:pt idx="31">
                  <c:v>-0.9528600226257512</c:v>
                </c:pt>
                <c:pt idx="32">
                  <c:v>0.2032490304351619</c:v>
                </c:pt>
                <c:pt idx="33">
                  <c:v>2.3503087004054293</c:v>
                </c:pt>
                <c:pt idx="34">
                  <c:v>-0.72163821201356859</c:v>
                </c:pt>
                <c:pt idx="35">
                  <c:v>1.524516519647634</c:v>
                </c:pt>
                <c:pt idx="36">
                  <c:v>2.9118473833207297</c:v>
                </c:pt>
                <c:pt idx="37">
                  <c:v>1.689674955799193</c:v>
                </c:pt>
                <c:pt idx="38">
                  <c:v>1.3923897707263868</c:v>
                </c:pt>
                <c:pt idx="39">
                  <c:v>1.194199647344516</c:v>
                </c:pt>
                <c:pt idx="40">
                  <c:v>-0.62254315032263319</c:v>
                </c:pt>
                <c:pt idx="41">
                  <c:v>-1.1180184587773103</c:v>
                </c:pt>
                <c:pt idx="42">
                  <c:v>1.9539284536416874</c:v>
                </c:pt>
                <c:pt idx="43">
                  <c:v>0.30234409212609731</c:v>
                </c:pt>
                <c:pt idx="44">
                  <c:v>0.46750252827765632</c:v>
                </c:pt>
                <c:pt idx="45">
                  <c:v>7.1122281513914684E-2</c:v>
                </c:pt>
                <c:pt idx="46">
                  <c:v>-0.78770158647419219</c:v>
                </c:pt>
                <c:pt idx="47">
                  <c:v>-0.62254315032263319</c:v>
                </c:pt>
                <c:pt idx="48">
                  <c:v>0.50053421550796817</c:v>
                </c:pt>
                <c:pt idx="49">
                  <c:v>-0.49041640140138598</c:v>
                </c:pt>
                <c:pt idx="50">
                  <c:v>0.50053421550796817</c:v>
                </c:pt>
                <c:pt idx="51">
                  <c:v>-0.9528600226257512</c:v>
                </c:pt>
                <c:pt idx="52">
                  <c:v>1.524516519647634</c:v>
                </c:pt>
                <c:pt idx="53">
                  <c:v>1.8218017047204402</c:v>
                </c:pt>
                <c:pt idx="54">
                  <c:v>-0.16009952909826794</c:v>
                </c:pt>
                <c:pt idx="55">
                  <c:v>-0.65557483755294499</c:v>
                </c:pt>
                <c:pt idx="56">
                  <c:v>-0.8537649609348158</c:v>
                </c:pt>
                <c:pt idx="57">
                  <c:v>-0.16009952909826794</c:v>
                </c:pt>
                <c:pt idx="58">
                  <c:v>-0.16009952909826794</c:v>
                </c:pt>
                <c:pt idx="59">
                  <c:v>-0.62254315032263319</c:v>
                </c:pt>
                <c:pt idx="60">
                  <c:v>1.2932947090354514</c:v>
                </c:pt>
                <c:pt idx="61">
                  <c:v>1.2932947090354514</c:v>
                </c:pt>
                <c:pt idx="62">
                  <c:v>-0.78770158647419219</c:v>
                </c:pt>
                <c:pt idx="63">
                  <c:v>7.1122281513914684E-2</c:v>
                </c:pt>
                <c:pt idx="64">
                  <c:v>-0.75466989924388039</c:v>
                </c:pt>
                <c:pt idx="65">
                  <c:v>-1.1180184587773103</c:v>
                </c:pt>
                <c:pt idx="66">
                  <c:v>-1.0189233970863749</c:v>
                </c:pt>
                <c:pt idx="67">
                  <c:v>-1.0189233970863749</c:v>
                </c:pt>
                <c:pt idx="68">
                  <c:v>-1.0849867715469985</c:v>
                </c:pt>
                <c:pt idx="69">
                  <c:v>-1.1180184587773103</c:v>
                </c:pt>
                <c:pt idx="70">
                  <c:v>-0.52344808863169778</c:v>
                </c:pt>
                <c:pt idx="71">
                  <c:v>-0.52344808863169778</c:v>
                </c:pt>
                <c:pt idx="72">
                  <c:v>0.83085108781108619</c:v>
                </c:pt>
                <c:pt idx="73">
                  <c:v>1.524516519647634</c:v>
                </c:pt>
                <c:pt idx="74">
                  <c:v>1.524516519647634</c:v>
                </c:pt>
                <c:pt idx="75">
                  <c:v>1.524516519647634</c:v>
                </c:pt>
                <c:pt idx="76">
                  <c:v>-0.55647977586200958</c:v>
                </c:pt>
                <c:pt idx="77">
                  <c:v>-0.68860652478325679</c:v>
                </c:pt>
                <c:pt idx="78">
                  <c:v>-0.12706784186795614</c:v>
                </c:pt>
                <c:pt idx="79">
                  <c:v>-0.8867966481651276</c:v>
                </c:pt>
                <c:pt idx="80">
                  <c:v>-0.25919459078920337</c:v>
                </c:pt>
                <c:pt idx="81">
                  <c:v>-0.68860652478325679</c:v>
                </c:pt>
                <c:pt idx="82">
                  <c:v>-0.68860652478325679</c:v>
                </c:pt>
                <c:pt idx="83">
                  <c:v>1.194199647344516</c:v>
                </c:pt>
                <c:pt idx="84">
                  <c:v>0.79781940058077438</c:v>
                </c:pt>
                <c:pt idx="85">
                  <c:v>-0.78770158647419219</c:v>
                </c:pt>
                <c:pt idx="86">
                  <c:v>5.0589070532910769E-3</c:v>
                </c:pt>
                <c:pt idx="87">
                  <c:v>-0.16009952909826794</c:v>
                </c:pt>
                <c:pt idx="88">
                  <c:v>-0.39132133971045058</c:v>
                </c:pt>
                <c:pt idx="89">
                  <c:v>-0.9198283353954394</c:v>
                </c:pt>
                <c:pt idx="90">
                  <c:v>2.8788156960904181</c:v>
                </c:pt>
                <c:pt idx="91">
                  <c:v>2.3503087004054293</c:v>
                </c:pt>
                <c:pt idx="92">
                  <c:v>-0.22616290355889154</c:v>
                </c:pt>
                <c:pt idx="93">
                  <c:v>2.18515026425387</c:v>
                </c:pt>
                <c:pt idx="94">
                  <c:v>-0.49041640140138598</c:v>
                </c:pt>
                <c:pt idx="95">
                  <c:v>-0.39132133971045058</c:v>
                </c:pt>
                <c:pt idx="96">
                  <c:v>-1.0519550843166867</c:v>
                </c:pt>
                <c:pt idx="97">
                  <c:v>-1.0519550843166867</c:v>
                </c:pt>
                <c:pt idx="98">
                  <c:v>5.0589070532910769E-3</c:v>
                </c:pt>
                <c:pt idx="99">
                  <c:v>-0.62254315032263319</c:v>
                </c:pt>
                <c:pt idx="100">
                  <c:v>0.79781940058077438</c:v>
                </c:pt>
                <c:pt idx="101">
                  <c:v>0.83085108781108619</c:v>
                </c:pt>
                <c:pt idx="102">
                  <c:v>0.83085108781108619</c:v>
                </c:pt>
                <c:pt idx="103">
                  <c:v>-0.9528600226257512</c:v>
                </c:pt>
                <c:pt idx="104">
                  <c:v>0.79781940058077438</c:v>
                </c:pt>
                <c:pt idx="105">
                  <c:v>-0.8867966481651276</c:v>
                </c:pt>
                <c:pt idx="106">
                  <c:v>1.3923897707263868</c:v>
                </c:pt>
                <c:pt idx="107">
                  <c:v>-0.39132133971045058</c:v>
                </c:pt>
                <c:pt idx="108">
                  <c:v>0.79781940058077438</c:v>
                </c:pt>
                <c:pt idx="109">
                  <c:v>0.30234409212609731</c:v>
                </c:pt>
                <c:pt idx="110">
                  <c:v>-1.1180184587773103</c:v>
                </c:pt>
              </c:numCache>
            </c:numRef>
          </c:xVal>
          <c:yVal>
            <c:numRef>
              <c:f>Лист3!$D$29:$D$139</c:f>
              <c:numCache>
                <c:formatCode>General</c:formatCode>
                <c:ptCount val="111"/>
                <c:pt idx="0">
                  <c:v>3.3063752601670715E-2</c:v>
                </c:pt>
                <c:pt idx="1">
                  <c:v>-0.32629775333634153</c:v>
                </c:pt>
                <c:pt idx="2">
                  <c:v>-0.11999649371560295</c:v>
                </c:pt>
                <c:pt idx="3">
                  <c:v>-5.9048443727797162E-3</c:v>
                </c:pt>
                <c:pt idx="4">
                  <c:v>-0.40131094359332026</c:v>
                </c:pt>
                <c:pt idx="5">
                  <c:v>-0.74253209202353854</c:v>
                </c:pt>
                <c:pt idx="6">
                  <c:v>-0.4297884378738871</c:v>
                </c:pt>
                <c:pt idx="7">
                  <c:v>-0.23732834116885104</c:v>
                </c:pt>
                <c:pt idx="8">
                  <c:v>-0.12577089219116644</c:v>
                </c:pt>
                <c:pt idx="9">
                  <c:v>3.7712988672119585E-2</c:v>
                </c:pt>
                <c:pt idx="10">
                  <c:v>3.2472580163951048E-2</c:v>
                </c:pt>
                <c:pt idx="11">
                  <c:v>-0.33769771681511951</c:v>
                </c:pt>
                <c:pt idx="12">
                  <c:v>-0.38857353931784466</c:v>
                </c:pt>
                <c:pt idx="13">
                  <c:v>-0.2867642281943158</c:v>
                </c:pt>
                <c:pt idx="14">
                  <c:v>-0.22170528950591772</c:v>
                </c:pt>
                <c:pt idx="15">
                  <c:v>-0.35840114465793871</c:v>
                </c:pt>
                <c:pt idx="16">
                  <c:v>0.8281413141404208</c:v>
                </c:pt>
                <c:pt idx="17">
                  <c:v>-8.8112619851294371E-2</c:v>
                </c:pt>
                <c:pt idx="18">
                  <c:v>-0.44779499098960396</c:v>
                </c:pt>
                <c:pt idx="19">
                  <c:v>-0.21414892151453113</c:v>
                </c:pt>
                <c:pt idx="20">
                  <c:v>-0.21386478033439216</c:v>
                </c:pt>
                <c:pt idx="21">
                  <c:v>-4.2514236185069609E-2</c:v>
                </c:pt>
                <c:pt idx="22">
                  <c:v>-0.10608662616230938</c:v>
                </c:pt>
                <c:pt idx="23">
                  <c:v>-8.0537732002221474E-2</c:v>
                </c:pt>
                <c:pt idx="24">
                  <c:v>0.31874206849609649</c:v>
                </c:pt>
                <c:pt idx="25">
                  <c:v>-3.3641015484965675E-2</c:v>
                </c:pt>
                <c:pt idx="26">
                  <c:v>5.90985441296E-2</c:v>
                </c:pt>
                <c:pt idx="27">
                  <c:v>-0.33748398517780853</c:v>
                </c:pt>
                <c:pt idx="28">
                  <c:v>0.78012583365437549</c:v>
                </c:pt>
                <c:pt idx="29">
                  <c:v>1.4080038143393758E-2</c:v>
                </c:pt>
                <c:pt idx="30">
                  <c:v>0.18641901631290436</c:v>
                </c:pt>
                <c:pt idx="31">
                  <c:v>8.8484635340754347E-2</c:v>
                </c:pt>
                <c:pt idx="32">
                  <c:v>1.248908488124729</c:v>
                </c:pt>
                <c:pt idx="33">
                  <c:v>-0.37191486726665901</c:v>
                </c:pt>
                <c:pt idx="34">
                  <c:v>1.3170918549704846</c:v>
                </c:pt>
                <c:pt idx="35">
                  <c:v>-8.6571353363912529E-2</c:v>
                </c:pt>
                <c:pt idx="36">
                  <c:v>-0.3537864113867788</c:v>
                </c:pt>
                <c:pt idx="37">
                  <c:v>0.34916127344577008</c:v>
                </c:pt>
                <c:pt idx="38">
                  <c:v>0.46545573978940902</c:v>
                </c:pt>
                <c:pt idx="39">
                  <c:v>-0.34817813736764969</c:v>
                </c:pt>
                <c:pt idx="40">
                  <c:v>3.1996878318022948E-2</c:v>
                </c:pt>
                <c:pt idx="41">
                  <c:v>5.2214012329193871E-2</c:v>
                </c:pt>
                <c:pt idx="42">
                  <c:v>0.22442673959485937</c:v>
                </c:pt>
                <c:pt idx="43">
                  <c:v>-0.15383943366775668</c:v>
                </c:pt>
                <c:pt idx="44">
                  <c:v>-0.34214908968522179</c:v>
                </c:pt>
                <c:pt idx="45">
                  <c:v>-0.20352243154502883</c:v>
                </c:pt>
                <c:pt idx="46">
                  <c:v>0.14097212448664853</c:v>
                </c:pt>
                <c:pt idx="47">
                  <c:v>-0.27381269581772238</c:v>
                </c:pt>
                <c:pt idx="48">
                  <c:v>0.12928229109656125</c:v>
                </c:pt>
                <c:pt idx="49">
                  <c:v>-0.27751092466012195</c:v>
                </c:pt>
                <c:pt idx="50">
                  <c:v>-0.34658406801673902</c:v>
                </c:pt>
                <c:pt idx="51">
                  <c:v>-9.9986862628880013E-2</c:v>
                </c:pt>
                <c:pt idx="52">
                  <c:v>6.9777320248051167E-2</c:v>
                </c:pt>
                <c:pt idx="53">
                  <c:v>9.832522407144606E-2</c:v>
                </c:pt>
                <c:pt idx="54">
                  <c:v>-6.5393496733887058E-3</c:v>
                </c:pt>
                <c:pt idx="55">
                  <c:v>0.12947041680105492</c:v>
                </c:pt>
                <c:pt idx="56">
                  <c:v>-0.16860586249474352</c:v>
                </c:pt>
                <c:pt idx="57">
                  <c:v>-0.11326619169061442</c:v>
                </c:pt>
                <c:pt idx="58">
                  <c:v>-0.4897334857839547</c:v>
                </c:pt>
                <c:pt idx="59">
                  <c:v>0.29663766714993078</c:v>
                </c:pt>
                <c:pt idx="60">
                  <c:v>-0.14561914222418104</c:v>
                </c:pt>
                <c:pt idx="61">
                  <c:v>-2.0457757714995806E-2</c:v>
                </c:pt>
                <c:pt idx="62">
                  <c:v>0.22155297750137726</c:v>
                </c:pt>
                <c:pt idx="63">
                  <c:v>-0.30657818583444701</c:v>
                </c:pt>
                <c:pt idx="64">
                  <c:v>9.1362574649692885E-2</c:v>
                </c:pt>
                <c:pt idx="65">
                  <c:v>-0.21432562282351031</c:v>
                </c:pt>
                <c:pt idx="66">
                  <c:v>-9.6407668977380623E-2</c:v>
                </c:pt>
                <c:pt idx="67">
                  <c:v>-0.13473016533148152</c:v>
                </c:pt>
                <c:pt idx="68">
                  <c:v>-0.2352764678263104</c:v>
                </c:pt>
                <c:pt idx="69">
                  <c:v>-0.22147669851179685</c:v>
                </c:pt>
                <c:pt idx="70">
                  <c:v>0.88212693098327488</c:v>
                </c:pt>
                <c:pt idx="71">
                  <c:v>0.53941800496829684</c:v>
                </c:pt>
                <c:pt idx="72">
                  <c:v>-0.42786291133695914</c:v>
                </c:pt>
                <c:pt idx="73">
                  <c:v>1.0664722107342663</c:v>
                </c:pt>
                <c:pt idx="74">
                  <c:v>0.57488055576952468</c:v>
                </c:pt>
                <c:pt idx="75">
                  <c:v>1.3781864173924092</c:v>
                </c:pt>
                <c:pt idx="76">
                  <c:v>8.3924319283779025E-2</c:v>
                </c:pt>
                <c:pt idx="77">
                  <c:v>0.15715499879013883</c:v>
                </c:pt>
                <c:pt idx="78">
                  <c:v>0.12056342980968876</c:v>
                </c:pt>
                <c:pt idx="79">
                  <c:v>0.25463303018384165</c:v>
                </c:pt>
                <c:pt idx="80">
                  <c:v>1.9925712263184505</c:v>
                </c:pt>
                <c:pt idx="81">
                  <c:v>-2.8803783347836842E-2</c:v>
                </c:pt>
                <c:pt idx="82">
                  <c:v>-0.18735030381754597</c:v>
                </c:pt>
                <c:pt idx="83">
                  <c:v>-8.2114204060873441E-2</c:v>
                </c:pt>
                <c:pt idx="84">
                  <c:v>-0.66685063017468837</c:v>
                </c:pt>
                <c:pt idx="85">
                  <c:v>9.5321851135282021E-2</c:v>
                </c:pt>
                <c:pt idx="86">
                  <c:v>-0.38078795832894902</c:v>
                </c:pt>
                <c:pt idx="87">
                  <c:v>-0.10862783183398644</c:v>
                </c:pt>
                <c:pt idx="88">
                  <c:v>-0.13478205501662327</c:v>
                </c:pt>
                <c:pt idx="89">
                  <c:v>0.17942815319074379</c:v>
                </c:pt>
                <c:pt idx="90">
                  <c:v>0.4844734460785296</c:v>
                </c:pt>
                <c:pt idx="91">
                  <c:v>6.712003711436898E-2</c:v>
                </c:pt>
                <c:pt idx="92">
                  <c:v>-0.28619235915485564</c:v>
                </c:pt>
                <c:pt idx="93">
                  <c:v>-0.34758066239537233</c:v>
                </c:pt>
                <c:pt idx="94">
                  <c:v>-0.33781675200602002</c:v>
                </c:pt>
                <c:pt idx="95">
                  <c:v>8.9200222938504242E-2</c:v>
                </c:pt>
                <c:pt idx="96">
                  <c:v>0.54129621549934637</c:v>
                </c:pt>
                <c:pt idx="97">
                  <c:v>0.49874971943130936</c:v>
                </c:pt>
                <c:pt idx="98">
                  <c:v>-0.14840816151964581</c:v>
                </c:pt>
                <c:pt idx="99">
                  <c:v>-0.39742863662406935</c:v>
                </c:pt>
                <c:pt idx="100">
                  <c:v>-0.88896222900692545</c:v>
                </c:pt>
                <c:pt idx="101">
                  <c:v>0.13543637594240743</c:v>
                </c:pt>
                <c:pt idx="102">
                  <c:v>9.1020045022605078E-4</c:v>
                </c:pt>
                <c:pt idx="103">
                  <c:v>-0.34714451266068458</c:v>
                </c:pt>
                <c:pt idx="104">
                  <c:v>-0.25723876656455374</c:v>
                </c:pt>
                <c:pt idx="105">
                  <c:v>0.11936031950668891</c:v>
                </c:pt>
                <c:pt idx="106">
                  <c:v>-0.417660233528243</c:v>
                </c:pt>
                <c:pt idx="107">
                  <c:v>-4.1267793019180432E-2</c:v>
                </c:pt>
                <c:pt idx="108">
                  <c:v>-0.36619915337636938</c:v>
                </c:pt>
                <c:pt idx="109">
                  <c:v>-0.12189727168198136</c:v>
                </c:pt>
                <c:pt idx="110">
                  <c:v>2.5901688463856765E-2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11-496B-961E-E6B22D602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5056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production norms performance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5056"/>
        <c:crosses val="autoZero"/>
        <c:crossBetween val="midCat"/>
      </c:valAx>
      <c:valAx>
        <c:axId val="307605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 experience (years)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Лист1!$M$3:$M$113</c:f>
              <c:numCache>
                <c:formatCode>General</c:formatCode>
                <c:ptCount val="111"/>
                <c:pt idx="0">
                  <c:v>1.0517567376375871</c:v>
                </c:pt>
                <c:pt idx="1">
                  <c:v>1.7953554502348619</c:v>
                </c:pt>
                <c:pt idx="2">
                  <c:v>-1.1790394001542375</c:v>
                </c:pt>
                <c:pt idx="3">
                  <c:v>-0.43544068755696258</c:v>
                </c:pt>
                <c:pt idx="4">
                  <c:v>-0.43544068755696258</c:v>
                </c:pt>
                <c:pt idx="5">
                  <c:v>-0.43544068755696258</c:v>
                </c:pt>
                <c:pt idx="6">
                  <c:v>1.0517567376375871</c:v>
                </c:pt>
                <c:pt idx="7">
                  <c:v>1.0517567376375871</c:v>
                </c:pt>
                <c:pt idx="8">
                  <c:v>-0.43544068755696258</c:v>
                </c:pt>
                <c:pt idx="9">
                  <c:v>0.30815802504031226</c:v>
                </c:pt>
                <c:pt idx="10">
                  <c:v>0.30815802504031226</c:v>
                </c:pt>
                <c:pt idx="11">
                  <c:v>-0.43544068755696258</c:v>
                </c:pt>
                <c:pt idx="12">
                  <c:v>-0.43544068755696258</c:v>
                </c:pt>
                <c:pt idx="13">
                  <c:v>-0.43544068755696258</c:v>
                </c:pt>
                <c:pt idx="14">
                  <c:v>-1.1790394001542375</c:v>
                </c:pt>
                <c:pt idx="15">
                  <c:v>-1.1790394001542375</c:v>
                </c:pt>
                <c:pt idx="16">
                  <c:v>1.0517567376375871</c:v>
                </c:pt>
                <c:pt idx="17">
                  <c:v>-1.1790394001542375</c:v>
                </c:pt>
                <c:pt idx="18">
                  <c:v>-0.43544068755696258</c:v>
                </c:pt>
                <c:pt idx="19">
                  <c:v>-0.43544068755696258</c:v>
                </c:pt>
                <c:pt idx="20">
                  <c:v>-1.1790394001542375</c:v>
                </c:pt>
                <c:pt idx="21">
                  <c:v>0.30815802504031226</c:v>
                </c:pt>
                <c:pt idx="22">
                  <c:v>1.7953554502348619</c:v>
                </c:pt>
                <c:pt idx="23">
                  <c:v>0.30815802504031226</c:v>
                </c:pt>
                <c:pt idx="24">
                  <c:v>1.7953554502348619</c:v>
                </c:pt>
                <c:pt idx="25">
                  <c:v>0.30815802504031226</c:v>
                </c:pt>
                <c:pt idx="26">
                  <c:v>-0.43544068755696258</c:v>
                </c:pt>
                <c:pt idx="27">
                  <c:v>-1.1790394001542375</c:v>
                </c:pt>
                <c:pt idx="28">
                  <c:v>0.30815802504031226</c:v>
                </c:pt>
                <c:pt idx="29">
                  <c:v>-1.1790394001542375</c:v>
                </c:pt>
                <c:pt idx="30">
                  <c:v>0.30815802504031226</c:v>
                </c:pt>
                <c:pt idx="31">
                  <c:v>0.30815802504031226</c:v>
                </c:pt>
                <c:pt idx="32">
                  <c:v>-1.1790394001542375</c:v>
                </c:pt>
                <c:pt idx="33">
                  <c:v>1.0517567376375871</c:v>
                </c:pt>
                <c:pt idx="34">
                  <c:v>-0.43544068755696258</c:v>
                </c:pt>
                <c:pt idx="35">
                  <c:v>1.7953554502348619</c:v>
                </c:pt>
                <c:pt idx="36">
                  <c:v>0.30815802504031226</c:v>
                </c:pt>
                <c:pt idx="37">
                  <c:v>-0.43544068755696258</c:v>
                </c:pt>
                <c:pt idx="38">
                  <c:v>0.30815802504031226</c:v>
                </c:pt>
                <c:pt idx="39">
                  <c:v>1.0517567376375871</c:v>
                </c:pt>
                <c:pt idx="40">
                  <c:v>-0.43544068755696258</c:v>
                </c:pt>
                <c:pt idx="41">
                  <c:v>-1.1790394001542375</c:v>
                </c:pt>
                <c:pt idx="42">
                  <c:v>1.7953554502348619</c:v>
                </c:pt>
                <c:pt idx="43">
                  <c:v>1.7953554502348619</c:v>
                </c:pt>
                <c:pt idx="44">
                  <c:v>1.7953554502348619</c:v>
                </c:pt>
                <c:pt idx="45">
                  <c:v>-0.43544068755696258</c:v>
                </c:pt>
                <c:pt idx="46">
                  <c:v>0.30815802504031226</c:v>
                </c:pt>
                <c:pt idx="47">
                  <c:v>0.30815802504031226</c:v>
                </c:pt>
                <c:pt idx="48">
                  <c:v>1.0517567376375871</c:v>
                </c:pt>
                <c:pt idx="49">
                  <c:v>1.0517567376375871</c:v>
                </c:pt>
                <c:pt idx="50">
                  <c:v>1.0517567376375871</c:v>
                </c:pt>
                <c:pt idx="51">
                  <c:v>0.30815802504031226</c:v>
                </c:pt>
                <c:pt idx="52">
                  <c:v>0.30815802504031226</c:v>
                </c:pt>
                <c:pt idx="53">
                  <c:v>-1.1790394001542375</c:v>
                </c:pt>
                <c:pt idx="54">
                  <c:v>0.30815802504031226</c:v>
                </c:pt>
                <c:pt idx="55">
                  <c:v>-0.43544068755696258</c:v>
                </c:pt>
                <c:pt idx="56">
                  <c:v>-1.1790394001542375</c:v>
                </c:pt>
                <c:pt idx="57">
                  <c:v>-1.1790394001542375</c:v>
                </c:pt>
                <c:pt idx="58">
                  <c:v>-0.43544068755696258</c:v>
                </c:pt>
                <c:pt idx="59">
                  <c:v>-1.1790394001542375</c:v>
                </c:pt>
                <c:pt idx="60">
                  <c:v>1.0517567376375871</c:v>
                </c:pt>
                <c:pt idx="61">
                  <c:v>1.7953554502348619</c:v>
                </c:pt>
                <c:pt idx="62">
                  <c:v>-1.1790394001542375</c:v>
                </c:pt>
                <c:pt idx="63">
                  <c:v>0.30815802504031226</c:v>
                </c:pt>
                <c:pt idx="64">
                  <c:v>-0.43544068755696258</c:v>
                </c:pt>
                <c:pt idx="65">
                  <c:v>-1.1790394001542375</c:v>
                </c:pt>
                <c:pt idx="66">
                  <c:v>-1.1790394001542375</c:v>
                </c:pt>
                <c:pt idx="67">
                  <c:v>-1.1790394001542375</c:v>
                </c:pt>
                <c:pt idx="68">
                  <c:v>-0.43544068755696258</c:v>
                </c:pt>
                <c:pt idx="69">
                  <c:v>-1.1790394001542375</c:v>
                </c:pt>
                <c:pt idx="70">
                  <c:v>-1.1790394001542375</c:v>
                </c:pt>
                <c:pt idx="71">
                  <c:v>-0.43544068755696258</c:v>
                </c:pt>
                <c:pt idx="72">
                  <c:v>1.7953554502348619</c:v>
                </c:pt>
                <c:pt idx="73">
                  <c:v>1.7953554502348619</c:v>
                </c:pt>
                <c:pt idx="74">
                  <c:v>1.7953554502348619</c:v>
                </c:pt>
                <c:pt idx="75">
                  <c:v>1.7953554502348619</c:v>
                </c:pt>
                <c:pt idx="76">
                  <c:v>-1.1790394001542375</c:v>
                </c:pt>
                <c:pt idx="77">
                  <c:v>1.7953554502348619</c:v>
                </c:pt>
                <c:pt idx="78">
                  <c:v>-0.43544068755696258</c:v>
                </c:pt>
                <c:pt idx="79">
                  <c:v>-1.1790394001542375</c:v>
                </c:pt>
                <c:pt idx="80">
                  <c:v>-0.43544068755696258</c:v>
                </c:pt>
                <c:pt idx="81">
                  <c:v>0.30815802504031226</c:v>
                </c:pt>
                <c:pt idx="82">
                  <c:v>1.0517567376375871</c:v>
                </c:pt>
                <c:pt idx="83">
                  <c:v>0.30815802504031226</c:v>
                </c:pt>
                <c:pt idx="84">
                  <c:v>1.0517567376375871</c:v>
                </c:pt>
                <c:pt idx="85">
                  <c:v>-0.43544068755696258</c:v>
                </c:pt>
                <c:pt idx="86">
                  <c:v>-1.1790394001542375</c:v>
                </c:pt>
                <c:pt idx="87">
                  <c:v>0.30815802504031226</c:v>
                </c:pt>
                <c:pt idx="88">
                  <c:v>-0.43544068755696258</c:v>
                </c:pt>
                <c:pt idx="89">
                  <c:v>-1.1790394001542375</c:v>
                </c:pt>
                <c:pt idx="90">
                  <c:v>-0.43544068755696258</c:v>
                </c:pt>
                <c:pt idx="91">
                  <c:v>-1.1790394001542375</c:v>
                </c:pt>
                <c:pt idx="92">
                  <c:v>-0.43544068755696258</c:v>
                </c:pt>
                <c:pt idx="93">
                  <c:v>1.7953554502348619</c:v>
                </c:pt>
                <c:pt idx="94">
                  <c:v>-1.1790394001542375</c:v>
                </c:pt>
                <c:pt idx="95">
                  <c:v>1.0517567376375871</c:v>
                </c:pt>
                <c:pt idx="96">
                  <c:v>-1.1790394001542375</c:v>
                </c:pt>
                <c:pt idx="97">
                  <c:v>-0.43544068755696258</c:v>
                </c:pt>
                <c:pt idx="98">
                  <c:v>-0.43544068755696258</c:v>
                </c:pt>
                <c:pt idx="99">
                  <c:v>-1.1790394001542375</c:v>
                </c:pt>
                <c:pt idx="100">
                  <c:v>0.30815802504031226</c:v>
                </c:pt>
                <c:pt idx="101">
                  <c:v>0.30815802504031226</c:v>
                </c:pt>
                <c:pt idx="102">
                  <c:v>1.0517567376375871</c:v>
                </c:pt>
                <c:pt idx="103">
                  <c:v>-1.1790394001542375</c:v>
                </c:pt>
                <c:pt idx="104">
                  <c:v>0.30815802504031226</c:v>
                </c:pt>
                <c:pt idx="105">
                  <c:v>-1.1790394001542375</c:v>
                </c:pt>
                <c:pt idx="106">
                  <c:v>0.30815802504031226</c:v>
                </c:pt>
                <c:pt idx="107">
                  <c:v>-0.43544068755696258</c:v>
                </c:pt>
                <c:pt idx="108">
                  <c:v>0.30815802504031226</c:v>
                </c:pt>
                <c:pt idx="109">
                  <c:v>0.30815802504031226</c:v>
                </c:pt>
                <c:pt idx="110">
                  <c:v>-1.1790394001542375</c:v>
                </c:pt>
              </c:numCache>
            </c:numRef>
          </c:xVal>
          <c:yVal>
            <c:numRef>
              <c:f>Лист3!$D$29:$D$139</c:f>
              <c:numCache>
                <c:formatCode>General</c:formatCode>
                <c:ptCount val="111"/>
                <c:pt idx="0">
                  <c:v>3.3063752601670715E-2</c:v>
                </c:pt>
                <c:pt idx="1">
                  <c:v>-0.32629775333634153</c:v>
                </c:pt>
                <c:pt idx="2">
                  <c:v>-0.11999649371560295</c:v>
                </c:pt>
                <c:pt idx="3">
                  <c:v>-5.9048443727797162E-3</c:v>
                </c:pt>
                <c:pt idx="4">
                  <c:v>-0.40131094359332026</c:v>
                </c:pt>
                <c:pt idx="5">
                  <c:v>-0.74253209202353854</c:v>
                </c:pt>
                <c:pt idx="6">
                  <c:v>-0.4297884378738871</c:v>
                </c:pt>
                <c:pt idx="7">
                  <c:v>-0.23732834116885104</c:v>
                </c:pt>
                <c:pt idx="8">
                  <c:v>-0.12577089219116644</c:v>
                </c:pt>
                <c:pt idx="9">
                  <c:v>3.7712988672119585E-2</c:v>
                </c:pt>
                <c:pt idx="10">
                  <c:v>3.2472580163951048E-2</c:v>
                </c:pt>
                <c:pt idx="11">
                  <c:v>-0.33769771681511951</c:v>
                </c:pt>
                <c:pt idx="12">
                  <c:v>-0.38857353931784466</c:v>
                </c:pt>
                <c:pt idx="13">
                  <c:v>-0.2867642281943158</c:v>
                </c:pt>
                <c:pt idx="14">
                  <c:v>-0.22170528950591772</c:v>
                </c:pt>
                <c:pt idx="15">
                  <c:v>-0.35840114465793871</c:v>
                </c:pt>
                <c:pt idx="16">
                  <c:v>0.8281413141404208</c:v>
                </c:pt>
                <c:pt idx="17">
                  <c:v>-8.8112619851294371E-2</c:v>
                </c:pt>
                <c:pt idx="18">
                  <c:v>-0.44779499098960396</c:v>
                </c:pt>
                <c:pt idx="19">
                  <c:v>-0.21414892151453113</c:v>
                </c:pt>
                <c:pt idx="20">
                  <c:v>-0.21386478033439216</c:v>
                </c:pt>
                <c:pt idx="21">
                  <c:v>-4.2514236185069609E-2</c:v>
                </c:pt>
                <c:pt idx="22">
                  <c:v>-0.10608662616230938</c:v>
                </c:pt>
                <c:pt idx="23">
                  <c:v>-8.0537732002221474E-2</c:v>
                </c:pt>
                <c:pt idx="24">
                  <c:v>0.31874206849609649</c:v>
                </c:pt>
                <c:pt idx="25">
                  <c:v>-3.3641015484965675E-2</c:v>
                </c:pt>
                <c:pt idx="26">
                  <c:v>5.90985441296E-2</c:v>
                </c:pt>
                <c:pt idx="27">
                  <c:v>-0.33748398517780853</c:v>
                </c:pt>
                <c:pt idx="28">
                  <c:v>0.78012583365437549</c:v>
                </c:pt>
                <c:pt idx="29">
                  <c:v>1.4080038143393758E-2</c:v>
                </c:pt>
                <c:pt idx="30">
                  <c:v>0.18641901631290436</c:v>
                </c:pt>
                <c:pt idx="31">
                  <c:v>8.8484635340754347E-2</c:v>
                </c:pt>
                <c:pt idx="32">
                  <c:v>1.248908488124729</c:v>
                </c:pt>
                <c:pt idx="33">
                  <c:v>-0.37191486726665901</c:v>
                </c:pt>
                <c:pt idx="34">
                  <c:v>1.3170918549704846</c:v>
                </c:pt>
                <c:pt idx="35">
                  <c:v>-8.6571353363912529E-2</c:v>
                </c:pt>
                <c:pt idx="36">
                  <c:v>-0.3537864113867788</c:v>
                </c:pt>
                <c:pt idx="37">
                  <c:v>0.34916127344577008</c:v>
                </c:pt>
                <c:pt idx="38">
                  <c:v>0.46545573978940902</c:v>
                </c:pt>
                <c:pt idx="39">
                  <c:v>-0.34817813736764969</c:v>
                </c:pt>
                <c:pt idx="40">
                  <c:v>3.1996878318022948E-2</c:v>
                </c:pt>
                <c:pt idx="41">
                  <c:v>5.2214012329193871E-2</c:v>
                </c:pt>
                <c:pt idx="42">
                  <c:v>0.22442673959485937</c:v>
                </c:pt>
                <c:pt idx="43">
                  <c:v>-0.15383943366775668</c:v>
                </c:pt>
                <c:pt idx="44">
                  <c:v>-0.34214908968522179</c:v>
                </c:pt>
                <c:pt idx="45">
                  <c:v>-0.20352243154502883</c:v>
                </c:pt>
                <c:pt idx="46">
                  <c:v>0.14097212448664853</c:v>
                </c:pt>
                <c:pt idx="47">
                  <c:v>-0.27381269581772238</c:v>
                </c:pt>
                <c:pt idx="48">
                  <c:v>0.12928229109656125</c:v>
                </c:pt>
                <c:pt idx="49">
                  <c:v>-0.27751092466012195</c:v>
                </c:pt>
                <c:pt idx="50">
                  <c:v>-0.34658406801673902</c:v>
                </c:pt>
                <c:pt idx="51">
                  <c:v>-9.9986862628880013E-2</c:v>
                </c:pt>
                <c:pt idx="52">
                  <c:v>6.9777320248051167E-2</c:v>
                </c:pt>
                <c:pt idx="53">
                  <c:v>9.832522407144606E-2</c:v>
                </c:pt>
                <c:pt idx="54">
                  <c:v>-6.5393496733887058E-3</c:v>
                </c:pt>
                <c:pt idx="55">
                  <c:v>0.12947041680105492</c:v>
                </c:pt>
                <c:pt idx="56">
                  <c:v>-0.16860586249474352</c:v>
                </c:pt>
                <c:pt idx="57">
                  <c:v>-0.11326619169061442</c:v>
                </c:pt>
                <c:pt idx="58">
                  <c:v>-0.4897334857839547</c:v>
                </c:pt>
                <c:pt idx="59">
                  <c:v>0.29663766714993078</c:v>
                </c:pt>
                <c:pt idx="60">
                  <c:v>-0.14561914222418104</c:v>
                </c:pt>
                <c:pt idx="61">
                  <c:v>-2.0457757714995806E-2</c:v>
                </c:pt>
                <c:pt idx="62">
                  <c:v>0.22155297750137726</c:v>
                </c:pt>
                <c:pt idx="63">
                  <c:v>-0.30657818583444701</c:v>
                </c:pt>
                <c:pt idx="64">
                  <c:v>9.1362574649692885E-2</c:v>
                </c:pt>
                <c:pt idx="65">
                  <c:v>-0.21432562282351031</c:v>
                </c:pt>
                <c:pt idx="66">
                  <c:v>-9.6407668977380623E-2</c:v>
                </c:pt>
                <c:pt idx="67">
                  <c:v>-0.13473016533148152</c:v>
                </c:pt>
                <c:pt idx="68">
                  <c:v>-0.2352764678263104</c:v>
                </c:pt>
                <c:pt idx="69">
                  <c:v>-0.22147669851179685</c:v>
                </c:pt>
                <c:pt idx="70">
                  <c:v>0.88212693098327488</c:v>
                </c:pt>
                <c:pt idx="71">
                  <c:v>0.53941800496829684</c:v>
                </c:pt>
                <c:pt idx="72">
                  <c:v>-0.42786291133695914</c:v>
                </c:pt>
                <c:pt idx="73">
                  <c:v>1.0664722107342663</c:v>
                </c:pt>
                <c:pt idx="74">
                  <c:v>0.57488055576952468</c:v>
                </c:pt>
                <c:pt idx="75">
                  <c:v>1.3781864173924092</c:v>
                </c:pt>
                <c:pt idx="76">
                  <c:v>8.3924319283779025E-2</c:v>
                </c:pt>
                <c:pt idx="77">
                  <c:v>0.15715499879013883</c:v>
                </c:pt>
                <c:pt idx="78">
                  <c:v>0.12056342980968876</c:v>
                </c:pt>
                <c:pt idx="79">
                  <c:v>0.25463303018384165</c:v>
                </c:pt>
                <c:pt idx="80">
                  <c:v>1.9925712263184505</c:v>
                </c:pt>
                <c:pt idx="81">
                  <c:v>-2.8803783347836842E-2</c:v>
                </c:pt>
                <c:pt idx="82">
                  <c:v>-0.18735030381754597</c:v>
                </c:pt>
                <c:pt idx="83">
                  <c:v>-8.2114204060873441E-2</c:v>
                </c:pt>
                <c:pt idx="84">
                  <c:v>-0.66685063017468837</c:v>
                </c:pt>
                <c:pt idx="85">
                  <c:v>9.5321851135282021E-2</c:v>
                </c:pt>
                <c:pt idx="86">
                  <c:v>-0.38078795832894902</c:v>
                </c:pt>
                <c:pt idx="87">
                  <c:v>-0.10862783183398644</c:v>
                </c:pt>
                <c:pt idx="88">
                  <c:v>-0.13478205501662327</c:v>
                </c:pt>
                <c:pt idx="89">
                  <c:v>0.17942815319074379</c:v>
                </c:pt>
                <c:pt idx="90">
                  <c:v>0.4844734460785296</c:v>
                </c:pt>
                <c:pt idx="91">
                  <c:v>6.712003711436898E-2</c:v>
                </c:pt>
                <c:pt idx="92">
                  <c:v>-0.28619235915485564</c:v>
                </c:pt>
                <c:pt idx="93">
                  <c:v>-0.34758066239537233</c:v>
                </c:pt>
                <c:pt idx="94">
                  <c:v>-0.33781675200602002</c:v>
                </c:pt>
                <c:pt idx="95">
                  <c:v>8.9200222938504242E-2</c:v>
                </c:pt>
                <c:pt idx="96">
                  <c:v>0.54129621549934637</c:v>
                </c:pt>
                <c:pt idx="97">
                  <c:v>0.49874971943130936</c:v>
                </c:pt>
                <c:pt idx="98">
                  <c:v>-0.14840816151964581</c:v>
                </c:pt>
                <c:pt idx="99">
                  <c:v>-0.39742863662406935</c:v>
                </c:pt>
                <c:pt idx="100">
                  <c:v>-0.88896222900692545</c:v>
                </c:pt>
                <c:pt idx="101">
                  <c:v>0.13543637594240743</c:v>
                </c:pt>
                <c:pt idx="102">
                  <c:v>9.1020045022605078E-4</c:v>
                </c:pt>
                <c:pt idx="103">
                  <c:v>-0.34714451266068458</c:v>
                </c:pt>
                <c:pt idx="104">
                  <c:v>-0.25723876656455374</c:v>
                </c:pt>
                <c:pt idx="105">
                  <c:v>0.11936031950668891</c:v>
                </c:pt>
                <c:pt idx="106">
                  <c:v>-0.417660233528243</c:v>
                </c:pt>
                <c:pt idx="107">
                  <c:v>-4.1267793019180432E-2</c:v>
                </c:pt>
                <c:pt idx="108">
                  <c:v>-0.36619915337636938</c:v>
                </c:pt>
                <c:pt idx="109">
                  <c:v>-0.12189727168198136</c:v>
                </c:pt>
                <c:pt idx="110">
                  <c:v>2.5901688463856765E-2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7D-4810-A866-67FB5986C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590912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 experience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90912"/>
        <c:crosses val="autoZero"/>
        <c:crossBetween val="midCat"/>
      </c:valAx>
      <c:valAx>
        <c:axId val="307590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Years of training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Лист1!$N$3:$N$113</c:f>
              <c:numCache>
                <c:formatCode>General</c:formatCode>
                <c:ptCount val="111"/>
                <c:pt idx="0">
                  <c:v>0.31424926213532922</c:v>
                </c:pt>
                <c:pt idx="1">
                  <c:v>0.92620835155675918</c:v>
                </c:pt>
                <c:pt idx="2">
                  <c:v>-0.90966891670753069</c:v>
                </c:pt>
                <c:pt idx="3">
                  <c:v>-0.90966891670753069</c:v>
                </c:pt>
                <c:pt idx="4">
                  <c:v>-3.3575052743932505</c:v>
                </c:pt>
                <c:pt idx="5">
                  <c:v>-0.90966891670753069</c:v>
                </c:pt>
                <c:pt idx="6">
                  <c:v>0.31424926213532922</c:v>
                </c:pt>
                <c:pt idx="7">
                  <c:v>0.31424926213532922</c:v>
                </c:pt>
                <c:pt idx="8">
                  <c:v>-0.90966891670753069</c:v>
                </c:pt>
                <c:pt idx="9">
                  <c:v>0.31424926213532922</c:v>
                </c:pt>
                <c:pt idx="10">
                  <c:v>-0.90966891670753069</c:v>
                </c:pt>
                <c:pt idx="11">
                  <c:v>1.5381674409781891</c:v>
                </c:pt>
                <c:pt idx="12">
                  <c:v>0.31424926213532922</c:v>
                </c:pt>
                <c:pt idx="13">
                  <c:v>-0.90966891670753069</c:v>
                </c:pt>
                <c:pt idx="14">
                  <c:v>0.31424926213532922</c:v>
                </c:pt>
                <c:pt idx="15">
                  <c:v>0.92620835155675918</c:v>
                </c:pt>
                <c:pt idx="16">
                  <c:v>1.5381674409781891</c:v>
                </c:pt>
                <c:pt idx="17">
                  <c:v>-0.90966891670753069</c:v>
                </c:pt>
                <c:pt idx="18">
                  <c:v>-0.90966891670753069</c:v>
                </c:pt>
                <c:pt idx="19">
                  <c:v>-0.90966891670753069</c:v>
                </c:pt>
                <c:pt idx="20">
                  <c:v>-0.90966891670753069</c:v>
                </c:pt>
                <c:pt idx="21">
                  <c:v>0.31424926213532922</c:v>
                </c:pt>
                <c:pt idx="22">
                  <c:v>0.92620835155675918</c:v>
                </c:pt>
                <c:pt idx="23">
                  <c:v>0.31424926213532922</c:v>
                </c:pt>
                <c:pt idx="24">
                  <c:v>0.92620835155675918</c:v>
                </c:pt>
                <c:pt idx="25">
                  <c:v>0.31424926213532922</c:v>
                </c:pt>
                <c:pt idx="26">
                  <c:v>-0.90966891670753069</c:v>
                </c:pt>
                <c:pt idx="27">
                  <c:v>-0.90966891670753069</c:v>
                </c:pt>
                <c:pt idx="28">
                  <c:v>0.31424926213532922</c:v>
                </c:pt>
                <c:pt idx="29">
                  <c:v>-0.90966891670753069</c:v>
                </c:pt>
                <c:pt idx="30">
                  <c:v>-0.90966891670753069</c:v>
                </c:pt>
                <c:pt idx="31">
                  <c:v>0.31424926213532922</c:v>
                </c:pt>
                <c:pt idx="32">
                  <c:v>1.5381674409781891</c:v>
                </c:pt>
                <c:pt idx="33">
                  <c:v>-0.90966891670753069</c:v>
                </c:pt>
                <c:pt idx="34">
                  <c:v>0.31424926213532922</c:v>
                </c:pt>
                <c:pt idx="35">
                  <c:v>1.5381674409781891</c:v>
                </c:pt>
                <c:pt idx="36">
                  <c:v>1.5381674409781891</c:v>
                </c:pt>
                <c:pt idx="37">
                  <c:v>1.5381674409781891</c:v>
                </c:pt>
                <c:pt idx="38">
                  <c:v>0.31424926213532922</c:v>
                </c:pt>
                <c:pt idx="39">
                  <c:v>0.31424926213532922</c:v>
                </c:pt>
                <c:pt idx="40">
                  <c:v>-0.90966891670753069</c:v>
                </c:pt>
                <c:pt idx="41">
                  <c:v>-0.90966891670753069</c:v>
                </c:pt>
                <c:pt idx="42">
                  <c:v>0.31424926213532922</c:v>
                </c:pt>
                <c:pt idx="43">
                  <c:v>1.5381674409781891</c:v>
                </c:pt>
                <c:pt idx="44">
                  <c:v>0.31424926213532922</c:v>
                </c:pt>
                <c:pt idx="45">
                  <c:v>-0.90966891670753069</c:v>
                </c:pt>
                <c:pt idx="46">
                  <c:v>0.31424926213532922</c:v>
                </c:pt>
                <c:pt idx="47">
                  <c:v>1.5381674409781891</c:v>
                </c:pt>
                <c:pt idx="48">
                  <c:v>-0.90966891670753069</c:v>
                </c:pt>
                <c:pt idx="49">
                  <c:v>0.31424926213532922</c:v>
                </c:pt>
                <c:pt idx="50">
                  <c:v>0.31424926213532922</c:v>
                </c:pt>
                <c:pt idx="51">
                  <c:v>1.5381674409781891</c:v>
                </c:pt>
                <c:pt idx="52">
                  <c:v>0.31424926213532922</c:v>
                </c:pt>
                <c:pt idx="53">
                  <c:v>-0.90966891670753069</c:v>
                </c:pt>
                <c:pt idx="54">
                  <c:v>0.31424926213532922</c:v>
                </c:pt>
                <c:pt idx="55">
                  <c:v>-0.90966891670753069</c:v>
                </c:pt>
                <c:pt idx="56">
                  <c:v>0.31424926213532922</c:v>
                </c:pt>
                <c:pt idx="57">
                  <c:v>-0.90966891670753069</c:v>
                </c:pt>
                <c:pt idx="58">
                  <c:v>1.5381674409781891</c:v>
                </c:pt>
                <c:pt idx="59">
                  <c:v>0.31424926213532922</c:v>
                </c:pt>
                <c:pt idx="60">
                  <c:v>0.31424926213532922</c:v>
                </c:pt>
                <c:pt idx="61">
                  <c:v>0.31424926213532922</c:v>
                </c:pt>
                <c:pt idx="62">
                  <c:v>-0.90966891670753069</c:v>
                </c:pt>
                <c:pt idx="63">
                  <c:v>1.5381674409781891</c:v>
                </c:pt>
                <c:pt idx="64">
                  <c:v>-0.90966891670753069</c:v>
                </c:pt>
                <c:pt idx="65">
                  <c:v>0.31424926213532922</c:v>
                </c:pt>
                <c:pt idx="66">
                  <c:v>0.31424926213532922</c:v>
                </c:pt>
                <c:pt idx="67">
                  <c:v>-0.90966891670753069</c:v>
                </c:pt>
                <c:pt idx="68">
                  <c:v>0.31424926213532922</c:v>
                </c:pt>
                <c:pt idx="69">
                  <c:v>-0.90966891670753069</c:v>
                </c:pt>
                <c:pt idx="70">
                  <c:v>0.31424926213532922</c:v>
                </c:pt>
                <c:pt idx="71">
                  <c:v>-0.90966891670753069</c:v>
                </c:pt>
                <c:pt idx="72">
                  <c:v>1.5381674409781891</c:v>
                </c:pt>
                <c:pt idx="73">
                  <c:v>0.31424926213532922</c:v>
                </c:pt>
                <c:pt idx="74">
                  <c:v>1.5381674409781891</c:v>
                </c:pt>
                <c:pt idx="75">
                  <c:v>0.31424926213532922</c:v>
                </c:pt>
                <c:pt idx="76">
                  <c:v>-0.90966891670753069</c:v>
                </c:pt>
                <c:pt idx="77">
                  <c:v>-0.90966891670753069</c:v>
                </c:pt>
                <c:pt idx="78">
                  <c:v>0.31424926213532922</c:v>
                </c:pt>
                <c:pt idx="79">
                  <c:v>0.92620835155675918</c:v>
                </c:pt>
                <c:pt idx="80">
                  <c:v>-0.90966891670753069</c:v>
                </c:pt>
                <c:pt idx="81">
                  <c:v>-0.90966891670753069</c:v>
                </c:pt>
                <c:pt idx="82">
                  <c:v>1.5381674409781891</c:v>
                </c:pt>
                <c:pt idx="83">
                  <c:v>-0.90966891670753069</c:v>
                </c:pt>
                <c:pt idx="84">
                  <c:v>0.92620835155675918</c:v>
                </c:pt>
                <c:pt idx="85">
                  <c:v>-0.90966891670753069</c:v>
                </c:pt>
                <c:pt idx="86">
                  <c:v>0.31424926213532922</c:v>
                </c:pt>
                <c:pt idx="87">
                  <c:v>1.5381674409781891</c:v>
                </c:pt>
                <c:pt idx="88">
                  <c:v>-0.90966891670753069</c:v>
                </c:pt>
                <c:pt idx="89">
                  <c:v>-0.90966891670753069</c:v>
                </c:pt>
                <c:pt idx="90">
                  <c:v>1.5381674409781891</c:v>
                </c:pt>
                <c:pt idx="91">
                  <c:v>0.31424926213532922</c:v>
                </c:pt>
                <c:pt idx="92">
                  <c:v>1.5381674409781891</c:v>
                </c:pt>
                <c:pt idx="93">
                  <c:v>0.31424926213532922</c:v>
                </c:pt>
                <c:pt idx="94">
                  <c:v>-0.90966891670753069</c:v>
                </c:pt>
                <c:pt idx="95">
                  <c:v>-0.90966891670753069</c:v>
                </c:pt>
                <c:pt idx="96">
                  <c:v>-0.90966891670753069</c:v>
                </c:pt>
                <c:pt idx="97">
                  <c:v>-0.90966891670753069</c:v>
                </c:pt>
                <c:pt idx="98">
                  <c:v>0.31424926213532922</c:v>
                </c:pt>
                <c:pt idx="99">
                  <c:v>1.5381674409781891</c:v>
                </c:pt>
                <c:pt idx="100">
                  <c:v>0.31424926213532922</c:v>
                </c:pt>
                <c:pt idx="101">
                  <c:v>-0.90966891670753069</c:v>
                </c:pt>
                <c:pt idx="102">
                  <c:v>0.31424926213532922</c:v>
                </c:pt>
                <c:pt idx="103">
                  <c:v>-0.90966891670753069</c:v>
                </c:pt>
                <c:pt idx="104">
                  <c:v>-0.90966891670753069</c:v>
                </c:pt>
                <c:pt idx="105">
                  <c:v>-0.90966891670753069</c:v>
                </c:pt>
                <c:pt idx="106">
                  <c:v>1.5381674409781891</c:v>
                </c:pt>
                <c:pt idx="107">
                  <c:v>-0.90966891670753069</c:v>
                </c:pt>
                <c:pt idx="108">
                  <c:v>-0.90966891670753069</c:v>
                </c:pt>
                <c:pt idx="109">
                  <c:v>0.31424926213532922</c:v>
                </c:pt>
                <c:pt idx="110">
                  <c:v>-2.7455461849718206</c:v>
                </c:pt>
              </c:numCache>
            </c:numRef>
          </c:xVal>
          <c:yVal>
            <c:numRef>
              <c:f>Лист3!$D$29:$D$139</c:f>
              <c:numCache>
                <c:formatCode>General</c:formatCode>
                <c:ptCount val="111"/>
                <c:pt idx="0">
                  <c:v>3.3063752601670715E-2</c:v>
                </c:pt>
                <c:pt idx="1">
                  <c:v>-0.32629775333634153</c:v>
                </c:pt>
                <c:pt idx="2">
                  <c:v>-0.11999649371560295</c:v>
                </c:pt>
                <c:pt idx="3">
                  <c:v>-5.9048443727797162E-3</c:v>
                </c:pt>
                <c:pt idx="4">
                  <c:v>-0.40131094359332026</c:v>
                </c:pt>
                <c:pt idx="5">
                  <c:v>-0.74253209202353854</c:v>
                </c:pt>
                <c:pt idx="6">
                  <c:v>-0.4297884378738871</c:v>
                </c:pt>
                <c:pt idx="7">
                  <c:v>-0.23732834116885104</c:v>
                </c:pt>
                <c:pt idx="8">
                  <c:v>-0.12577089219116644</c:v>
                </c:pt>
                <c:pt idx="9">
                  <c:v>3.7712988672119585E-2</c:v>
                </c:pt>
                <c:pt idx="10">
                  <c:v>3.2472580163951048E-2</c:v>
                </c:pt>
                <c:pt idx="11">
                  <c:v>-0.33769771681511951</c:v>
                </c:pt>
                <c:pt idx="12">
                  <c:v>-0.38857353931784466</c:v>
                </c:pt>
                <c:pt idx="13">
                  <c:v>-0.2867642281943158</c:v>
                </c:pt>
                <c:pt idx="14">
                  <c:v>-0.22170528950591772</c:v>
                </c:pt>
                <c:pt idx="15">
                  <c:v>-0.35840114465793871</c:v>
                </c:pt>
                <c:pt idx="16">
                  <c:v>0.8281413141404208</c:v>
                </c:pt>
                <c:pt idx="17">
                  <c:v>-8.8112619851294371E-2</c:v>
                </c:pt>
                <c:pt idx="18">
                  <c:v>-0.44779499098960396</c:v>
                </c:pt>
                <c:pt idx="19">
                  <c:v>-0.21414892151453113</c:v>
                </c:pt>
                <c:pt idx="20">
                  <c:v>-0.21386478033439216</c:v>
                </c:pt>
                <c:pt idx="21">
                  <c:v>-4.2514236185069609E-2</c:v>
                </c:pt>
                <c:pt idx="22">
                  <c:v>-0.10608662616230938</c:v>
                </c:pt>
                <c:pt idx="23">
                  <c:v>-8.0537732002221474E-2</c:v>
                </c:pt>
                <c:pt idx="24">
                  <c:v>0.31874206849609649</c:v>
                </c:pt>
                <c:pt idx="25">
                  <c:v>-3.3641015484965675E-2</c:v>
                </c:pt>
                <c:pt idx="26">
                  <c:v>5.90985441296E-2</c:v>
                </c:pt>
                <c:pt idx="27">
                  <c:v>-0.33748398517780853</c:v>
                </c:pt>
                <c:pt idx="28">
                  <c:v>0.78012583365437549</c:v>
                </c:pt>
                <c:pt idx="29">
                  <c:v>1.4080038143393758E-2</c:v>
                </c:pt>
                <c:pt idx="30">
                  <c:v>0.18641901631290436</c:v>
                </c:pt>
                <c:pt idx="31">
                  <c:v>8.8484635340754347E-2</c:v>
                </c:pt>
                <c:pt idx="32">
                  <c:v>1.248908488124729</c:v>
                </c:pt>
                <c:pt idx="33">
                  <c:v>-0.37191486726665901</c:v>
                </c:pt>
                <c:pt idx="34">
                  <c:v>1.3170918549704846</c:v>
                </c:pt>
                <c:pt idx="35">
                  <c:v>-8.6571353363912529E-2</c:v>
                </c:pt>
                <c:pt idx="36">
                  <c:v>-0.3537864113867788</c:v>
                </c:pt>
                <c:pt idx="37">
                  <c:v>0.34916127344577008</c:v>
                </c:pt>
                <c:pt idx="38">
                  <c:v>0.46545573978940902</c:v>
                </c:pt>
                <c:pt idx="39">
                  <c:v>-0.34817813736764969</c:v>
                </c:pt>
                <c:pt idx="40">
                  <c:v>3.1996878318022948E-2</c:v>
                </c:pt>
                <c:pt idx="41">
                  <c:v>5.2214012329193871E-2</c:v>
                </c:pt>
                <c:pt idx="42">
                  <c:v>0.22442673959485937</c:v>
                </c:pt>
                <c:pt idx="43">
                  <c:v>-0.15383943366775668</c:v>
                </c:pt>
                <c:pt idx="44">
                  <c:v>-0.34214908968522179</c:v>
                </c:pt>
                <c:pt idx="45">
                  <c:v>-0.20352243154502883</c:v>
                </c:pt>
                <c:pt idx="46">
                  <c:v>0.14097212448664853</c:v>
                </c:pt>
                <c:pt idx="47">
                  <c:v>-0.27381269581772238</c:v>
                </c:pt>
                <c:pt idx="48">
                  <c:v>0.12928229109656125</c:v>
                </c:pt>
                <c:pt idx="49">
                  <c:v>-0.27751092466012195</c:v>
                </c:pt>
                <c:pt idx="50">
                  <c:v>-0.34658406801673902</c:v>
                </c:pt>
                <c:pt idx="51">
                  <c:v>-9.9986862628880013E-2</c:v>
                </c:pt>
                <c:pt idx="52">
                  <c:v>6.9777320248051167E-2</c:v>
                </c:pt>
                <c:pt idx="53">
                  <c:v>9.832522407144606E-2</c:v>
                </c:pt>
                <c:pt idx="54">
                  <c:v>-6.5393496733887058E-3</c:v>
                </c:pt>
                <c:pt idx="55">
                  <c:v>0.12947041680105492</c:v>
                </c:pt>
                <c:pt idx="56">
                  <c:v>-0.16860586249474352</c:v>
                </c:pt>
                <c:pt idx="57">
                  <c:v>-0.11326619169061442</c:v>
                </c:pt>
                <c:pt idx="58">
                  <c:v>-0.4897334857839547</c:v>
                </c:pt>
                <c:pt idx="59">
                  <c:v>0.29663766714993078</c:v>
                </c:pt>
                <c:pt idx="60">
                  <c:v>-0.14561914222418104</c:v>
                </c:pt>
                <c:pt idx="61">
                  <c:v>-2.0457757714995806E-2</c:v>
                </c:pt>
                <c:pt idx="62">
                  <c:v>0.22155297750137726</c:v>
                </c:pt>
                <c:pt idx="63">
                  <c:v>-0.30657818583444701</c:v>
                </c:pt>
                <c:pt idx="64">
                  <c:v>9.1362574649692885E-2</c:v>
                </c:pt>
                <c:pt idx="65">
                  <c:v>-0.21432562282351031</c:v>
                </c:pt>
                <c:pt idx="66">
                  <c:v>-9.6407668977380623E-2</c:v>
                </c:pt>
                <c:pt idx="67">
                  <c:v>-0.13473016533148152</c:v>
                </c:pt>
                <c:pt idx="68">
                  <c:v>-0.2352764678263104</c:v>
                </c:pt>
                <c:pt idx="69">
                  <c:v>-0.22147669851179685</c:v>
                </c:pt>
                <c:pt idx="70">
                  <c:v>0.88212693098327488</c:v>
                </c:pt>
                <c:pt idx="71">
                  <c:v>0.53941800496829684</c:v>
                </c:pt>
                <c:pt idx="72">
                  <c:v>-0.42786291133695914</c:v>
                </c:pt>
                <c:pt idx="73">
                  <c:v>1.0664722107342663</c:v>
                </c:pt>
                <c:pt idx="74">
                  <c:v>0.57488055576952468</c:v>
                </c:pt>
                <c:pt idx="75">
                  <c:v>1.3781864173924092</c:v>
                </c:pt>
                <c:pt idx="76">
                  <c:v>8.3924319283779025E-2</c:v>
                </c:pt>
                <c:pt idx="77">
                  <c:v>0.15715499879013883</c:v>
                </c:pt>
                <c:pt idx="78">
                  <c:v>0.12056342980968876</c:v>
                </c:pt>
                <c:pt idx="79">
                  <c:v>0.25463303018384165</c:v>
                </c:pt>
                <c:pt idx="80">
                  <c:v>1.9925712263184505</c:v>
                </c:pt>
                <c:pt idx="81">
                  <c:v>-2.8803783347836842E-2</c:v>
                </c:pt>
                <c:pt idx="82">
                  <c:v>-0.18735030381754597</c:v>
                </c:pt>
                <c:pt idx="83">
                  <c:v>-8.2114204060873441E-2</c:v>
                </c:pt>
                <c:pt idx="84">
                  <c:v>-0.66685063017468837</c:v>
                </c:pt>
                <c:pt idx="85">
                  <c:v>9.5321851135282021E-2</c:v>
                </c:pt>
                <c:pt idx="86">
                  <c:v>-0.38078795832894902</c:v>
                </c:pt>
                <c:pt idx="87">
                  <c:v>-0.10862783183398644</c:v>
                </c:pt>
                <c:pt idx="88">
                  <c:v>-0.13478205501662327</c:v>
                </c:pt>
                <c:pt idx="89">
                  <c:v>0.17942815319074379</c:v>
                </c:pt>
                <c:pt idx="90">
                  <c:v>0.4844734460785296</c:v>
                </c:pt>
                <c:pt idx="91">
                  <c:v>6.712003711436898E-2</c:v>
                </c:pt>
                <c:pt idx="92">
                  <c:v>-0.28619235915485564</c:v>
                </c:pt>
                <c:pt idx="93">
                  <c:v>-0.34758066239537233</c:v>
                </c:pt>
                <c:pt idx="94">
                  <c:v>-0.33781675200602002</c:v>
                </c:pt>
                <c:pt idx="95">
                  <c:v>8.9200222938504242E-2</c:v>
                </c:pt>
                <c:pt idx="96">
                  <c:v>0.54129621549934637</c:v>
                </c:pt>
                <c:pt idx="97">
                  <c:v>0.49874971943130936</c:v>
                </c:pt>
                <c:pt idx="98">
                  <c:v>-0.14840816151964581</c:v>
                </c:pt>
                <c:pt idx="99">
                  <c:v>-0.39742863662406935</c:v>
                </c:pt>
                <c:pt idx="100">
                  <c:v>-0.88896222900692545</c:v>
                </c:pt>
                <c:pt idx="101">
                  <c:v>0.13543637594240743</c:v>
                </c:pt>
                <c:pt idx="102">
                  <c:v>9.1020045022605078E-4</c:v>
                </c:pt>
                <c:pt idx="103">
                  <c:v>-0.34714451266068458</c:v>
                </c:pt>
                <c:pt idx="104">
                  <c:v>-0.25723876656455374</c:v>
                </c:pt>
                <c:pt idx="105">
                  <c:v>0.11936031950668891</c:v>
                </c:pt>
                <c:pt idx="106">
                  <c:v>-0.417660233528243</c:v>
                </c:pt>
                <c:pt idx="107">
                  <c:v>-4.1267793019180432E-2</c:v>
                </c:pt>
                <c:pt idx="108">
                  <c:v>-0.36619915337636938</c:v>
                </c:pt>
                <c:pt idx="109">
                  <c:v>-0.12189727168198136</c:v>
                </c:pt>
                <c:pt idx="110">
                  <c:v>2.5901688463856765E-2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15-448A-A698-5CB9DFC8C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589664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of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9664"/>
        <c:crosses val="autoZero"/>
        <c:crossBetween val="midCat"/>
      </c:valAx>
      <c:valAx>
        <c:axId val="307589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Tariff category assigned after training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Лист1!$O$3:$O$113</c:f>
              <c:numCache>
                <c:formatCode>General</c:formatCode>
                <c:ptCount val="111"/>
                <c:pt idx="0">
                  <c:v>1.6046259168959089</c:v>
                </c:pt>
                <c:pt idx="1">
                  <c:v>-1.4929997661553238</c:v>
                </c:pt>
                <c:pt idx="2">
                  <c:v>-1.4929997661553238</c:v>
                </c:pt>
                <c:pt idx="3">
                  <c:v>5.5813075370292599E-2</c:v>
                </c:pt>
                <c:pt idx="4">
                  <c:v>5.5813075370292599E-2</c:v>
                </c:pt>
                <c:pt idx="5">
                  <c:v>-1.4929997661553238</c:v>
                </c:pt>
                <c:pt idx="6">
                  <c:v>5.5813075370292599E-2</c:v>
                </c:pt>
                <c:pt idx="7">
                  <c:v>5.5813075370292599E-2</c:v>
                </c:pt>
                <c:pt idx="8">
                  <c:v>5.5813075370292599E-2</c:v>
                </c:pt>
                <c:pt idx="9">
                  <c:v>-1.4929997661553238</c:v>
                </c:pt>
                <c:pt idx="10">
                  <c:v>-1.4929997661553238</c:v>
                </c:pt>
                <c:pt idx="11">
                  <c:v>5.5813075370292599E-2</c:v>
                </c:pt>
                <c:pt idx="12">
                  <c:v>5.5813075370292599E-2</c:v>
                </c:pt>
                <c:pt idx="13">
                  <c:v>5.5813075370292599E-2</c:v>
                </c:pt>
                <c:pt idx="14">
                  <c:v>5.5813075370292599E-2</c:v>
                </c:pt>
                <c:pt idx="15">
                  <c:v>5.5813075370292599E-2</c:v>
                </c:pt>
                <c:pt idx="16">
                  <c:v>1.6046259168959089</c:v>
                </c:pt>
                <c:pt idx="17">
                  <c:v>5.5813075370292599E-2</c:v>
                </c:pt>
                <c:pt idx="18">
                  <c:v>5.5813075370292599E-2</c:v>
                </c:pt>
                <c:pt idx="19">
                  <c:v>5.5813075370292599E-2</c:v>
                </c:pt>
                <c:pt idx="20">
                  <c:v>-1.4929997661553238</c:v>
                </c:pt>
                <c:pt idx="21">
                  <c:v>5.5813075370292599E-2</c:v>
                </c:pt>
                <c:pt idx="22">
                  <c:v>5.5813075370292599E-2</c:v>
                </c:pt>
                <c:pt idx="23">
                  <c:v>-1.4929997661553238</c:v>
                </c:pt>
                <c:pt idx="24">
                  <c:v>5.5813075370292599E-2</c:v>
                </c:pt>
                <c:pt idx="25">
                  <c:v>-1.4929997661553238</c:v>
                </c:pt>
                <c:pt idx="26">
                  <c:v>1.6046259168959089</c:v>
                </c:pt>
                <c:pt idx="27">
                  <c:v>5.5813075370292599E-2</c:v>
                </c:pt>
                <c:pt idx="28">
                  <c:v>5.5813075370292599E-2</c:v>
                </c:pt>
                <c:pt idx="29">
                  <c:v>5.5813075370292599E-2</c:v>
                </c:pt>
                <c:pt idx="30">
                  <c:v>-1.4929997661553238</c:v>
                </c:pt>
                <c:pt idx="31">
                  <c:v>-1.4929997661553238</c:v>
                </c:pt>
                <c:pt idx="32">
                  <c:v>5.5813075370292599E-2</c:v>
                </c:pt>
                <c:pt idx="33">
                  <c:v>1.6046259168959089</c:v>
                </c:pt>
                <c:pt idx="34">
                  <c:v>-1.4929997661553238</c:v>
                </c:pt>
                <c:pt idx="35">
                  <c:v>5.5813075370292599E-2</c:v>
                </c:pt>
                <c:pt idx="36">
                  <c:v>5.5813075370292599E-2</c:v>
                </c:pt>
                <c:pt idx="37">
                  <c:v>1.6046259168959089</c:v>
                </c:pt>
                <c:pt idx="38">
                  <c:v>-1.4929997661553238</c:v>
                </c:pt>
                <c:pt idx="39">
                  <c:v>5.5813075370292599E-2</c:v>
                </c:pt>
                <c:pt idx="40">
                  <c:v>5.5813075370292599E-2</c:v>
                </c:pt>
                <c:pt idx="41">
                  <c:v>-1.4929997661553238</c:v>
                </c:pt>
                <c:pt idx="42">
                  <c:v>5.5813075370292599E-2</c:v>
                </c:pt>
                <c:pt idx="43">
                  <c:v>-1.4929997661553238</c:v>
                </c:pt>
                <c:pt idx="44">
                  <c:v>5.5813075370292599E-2</c:v>
                </c:pt>
                <c:pt idx="45">
                  <c:v>5.5813075370292599E-2</c:v>
                </c:pt>
                <c:pt idx="46">
                  <c:v>5.5813075370292599E-2</c:v>
                </c:pt>
                <c:pt idx="47">
                  <c:v>5.5813075370292599E-2</c:v>
                </c:pt>
                <c:pt idx="48">
                  <c:v>5.5813075370292599E-2</c:v>
                </c:pt>
                <c:pt idx="49">
                  <c:v>5.5813075370292599E-2</c:v>
                </c:pt>
                <c:pt idx="50">
                  <c:v>5.5813075370292599E-2</c:v>
                </c:pt>
                <c:pt idx="51">
                  <c:v>5.5813075370292599E-2</c:v>
                </c:pt>
                <c:pt idx="52">
                  <c:v>1.6046259168959089</c:v>
                </c:pt>
                <c:pt idx="53">
                  <c:v>5.5813075370292599E-2</c:v>
                </c:pt>
                <c:pt idx="54">
                  <c:v>5.5813075370292599E-2</c:v>
                </c:pt>
                <c:pt idx="55">
                  <c:v>1.6046259168959089</c:v>
                </c:pt>
                <c:pt idx="56">
                  <c:v>1.6046259168959089</c:v>
                </c:pt>
                <c:pt idx="57">
                  <c:v>-1.4929997661553238</c:v>
                </c:pt>
                <c:pt idx="58">
                  <c:v>5.5813075370292599E-2</c:v>
                </c:pt>
                <c:pt idx="59">
                  <c:v>5.5813075370292599E-2</c:v>
                </c:pt>
                <c:pt idx="60">
                  <c:v>1.6046259168959089</c:v>
                </c:pt>
                <c:pt idx="61">
                  <c:v>5.5813075370292599E-2</c:v>
                </c:pt>
                <c:pt idx="62">
                  <c:v>-1.4929997661553238</c:v>
                </c:pt>
                <c:pt idx="63">
                  <c:v>5.5813075370292599E-2</c:v>
                </c:pt>
                <c:pt idx="64">
                  <c:v>-1.4929997661553238</c:v>
                </c:pt>
                <c:pt idx="65">
                  <c:v>5.5813075370292599E-2</c:v>
                </c:pt>
                <c:pt idx="66">
                  <c:v>5.5813075370292599E-2</c:v>
                </c:pt>
                <c:pt idx="67">
                  <c:v>5.5813075370292599E-2</c:v>
                </c:pt>
                <c:pt idx="68">
                  <c:v>5.5813075370292599E-2</c:v>
                </c:pt>
                <c:pt idx="69">
                  <c:v>5.5813075370292599E-2</c:v>
                </c:pt>
                <c:pt idx="70">
                  <c:v>5.5813075370292599E-2</c:v>
                </c:pt>
                <c:pt idx="71">
                  <c:v>5.5813075370292599E-2</c:v>
                </c:pt>
                <c:pt idx="72">
                  <c:v>5.5813075370292599E-2</c:v>
                </c:pt>
                <c:pt idx="73">
                  <c:v>1.6046259168959089</c:v>
                </c:pt>
                <c:pt idx="74">
                  <c:v>1.6046259168959089</c:v>
                </c:pt>
                <c:pt idx="75">
                  <c:v>1.6046259168959089</c:v>
                </c:pt>
                <c:pt idx="76">
                  <c:v>1.6046259168959089</c:v>
                </c:pt>
                <c:pt idx="77">
                  <c:v>5.5813075370292599E-2</c:v>
                </c:pt>
                <c:pt idx="78">
                  <c:v>1.6046259168959089</c:v>
                </c:pt>
                <c:pt idx="79">
                  <c:v>-1.4929997661553238</c:v>
                </c:pt>
                <c:pt idx="80">
                  <c:v>-1.4929997661553238</c:v>
                </c:pt>
                <c:pt idx="81">
                  <c:v>5.5813075370292599E-2</c:v>
                </c:pt>
                <c:pt idx="82">
                  <c:v>1.6046259168959089</c:v>
                </c:pt>
                <c:pt idx="83">
                  <c:v>5.5813075370292599E-2</c:v>
                </c:pt>
                <c:pt idx="84">
                  <c:v>-1.4929997661553238</c:v>
                </c:pt>
                <c:pt idx="85">
                  <c:v>5.5813075370292599E-2</c:v>
                </c:pt>
                <c:pt idx="86">
                  <c:v>5.5813075370292599E-2</c:v>
                </c:pt>
                <c:pt idx="87">
                  <c:v>5.5813075370292599E-2</c:v>
                </c:pt>
                <c:pt idx="88">
                  <c:v>5.5813075370292599E-2</c:v>
                </c:pt>
                <c:pt idx="89">
                  <c:v>5.5813075370292599E-2</c:v>
                </c:pt>
                <c:pt idx="90">
                  <c:v>1.6046259168959089</c:v>
                </c:pt>
                <c:pt idx="91">
                  <c:v>-1.4929997661553238</c:v>
                </c:pt>
                <c:pt idx="92">
                  <c:v>1.6046259168959089</c:v>
                </c:pt>
                <c:pt idx="93">
                  <c:v>5.5813075370292599E-2</c:v>
                </c:pt>
                <c:pt idx="94">
                  <c:v>5.5813075370292599E-2</c:v>
                </c:pt>
                <c:pt idx="95">
                  <c:v>1.6046259168959089</c:v>
                </c:pt>
                <c:pt idx="96">
                  <c:v>-1.4929997661553238</c:v>
                </c:pt>
                <c:pt idx="97">
                  <c:v>-1.4929997661553238</c:v>
                </c:pt>
                <c:pt idx="98">
                  <c:v>1.6046259168959089</c:v>
                </c:pt>
                <c:pt idx="99">
                  <c:v>5.5813075370292599E-2</c:v>
                </c:pt>
                <c:pt idx="100">
                  <c:v>5.5813075370292599E-2</c:v>
                </c:pt>
                <c:pt idx="101">
                  <c:v>5.5813075370292599E-2</c:v>
                </c:pt>
                <c:pt idx="102">
                  <c:v>1.6046259168959089</c:v>
                </c:pt>
                <c:pt idx="103">
                  <c:v>5.5813075370292599E-2</c:v>
                </c:pt>
                <c:pt idx="104">
                  <c:v>5.5813075370292599E-2</c:v>
                </c:pt>
                <c:pt idx="105">
                  <c:v>-1.4929997661553238</c:v>
                </c:pt>
                <c:pt idx="106">
                  <c:v>1.6046259168959089</c:v>
                </c:pt>
                <c:pt idx="107">
                  <c:v>5.5813075370292599E-2</c:v>
                </c:pt>
                <c:pt idx="108">
                  <c:v>5.5813075370292599E-2</c:v>
                </c:pt>
                <c:pt idx="109">
                  <c:v>5.5813075370292599E-2</c:v>
                </c:pt>
                <c:pt idx="110">
                  <c:v>-1.4929997661553238</c:v>
                </c:pt>
              </c:numCache>
            </c:numRef>
          </c:xVal>
          <c:yVal>
            <c:numRef>
              <c:f>Лист3!$D$29:$D$139</c:f>
              <c:numCache>
                <c:formatCode>General</c:formatCode>
                <c:ptCount val="111"/>
                <c:pt idx="0">
                  <c:v>3.3063752601670715E-2</c:v>
                </c:pt>
                <c:pt idx="1">
                  <c:v>-0.32629775333634153</c:v>
                </c:pt>
                <c:pt idx="2">
                  <c:v>-0.11999649371560295</c:v>
                </c:pt>
                <c:pt idx="3">
                  <c:v>-5.9048443727797162E-3</c:v>
                </c:pt>
                <c:pt idx="4">
                  <c:v>-0.40131094359332026</c:v>
                </c:pt>
                <c:pt idx="5">
                  <c:v>-0.74253209202353854</c:v>
                </c:pt>
                <c:pt idx="6">
                  <c:v>-0.4297884378738871</c:v>
                </c:pt>
                <c:pt idx="7">
                  <c:v>-0.23732834116885104</c:v>
                </c:pt>
                <c:pt idx="8">
                  <c:v>-0.12577089219116644</c:v>
                </c:pt>
                <c:pt idx="9">
                  <c:v>3.7712988672119585E-2</c:v>
                </c:pt>
                <c:pt idx="10">
                  <c:v>3.2472580163951048E-2</c:v>
                </c:pt>
                <c:pt idx="11">
                  <c:v>-0.33769771681511951</c:v>
                </c:pt>
                <c:pt idx="12">
                  <c:v>-0.38857353931784466</c:v>
                </c:pt>
                <c:pt idx="13">
                  <c:v>-0.2867642281943158</c:v>
                </c:pt>
                <c:pt idx="14">
                  <c:v>-0.22170528950591772</c:v>
                </c:pt>
                <c:pt idx="15">
                  <c:v>-0.35840114465793871</c:v>
                </c:pt>
                <c:pt idx="16">
                  <c:v>0.8281413141404208</c:v>
                </c:pt>
                <c:pt idx="17">
                  <c:v>-8.8112619851294371E-2</c:v>
                </c:pt>
                <c:pt idx="18">
                  <c:v>-0.44779499098960396</c:v>
                </c:pt>
                <c:pt idx="19">
                  <c:v>-0.21414892151453113</c:v>
                </c:pt>
                <c:pt idx="20">
                  <c:v>-0.21386478033439216</c:v>
                </c:pt>
                <c:pt idx="21">
                  <c:v>-4.2514236185069609E-2</c:v>
                </c:pt>
                <c:pt idx="22">
                  <c:v>-0.10608662616230938</c:v>
                </c:pt>
                <c:pt idx="23">
                  <c:v>-8.0537732002221474E-2</c:v>
                </c:pt>
                <c:pt idx="24">
                  <c:v>0.31874206849609649</c:v>
                </c:pt>
                <c:pt idx="25">
                  <c:v>-3.3641015484965675E-2</c:v>
                </c:pt>
                <c:pt idx="26">
                  <c:v>5.90985441296E-2</c:v>
                </c:pt>
                <c:pt idx="27">
                  <c:v>-0.33748398517780853</c:v>
                </c:pt>
                <c:pt idx="28">
                  <c:v>0.78012583365437549</c:v>
                </c:pt>
                <c:pt idx="29">
                  <c:v>1.4080038143393758E-2</c:v>
                </c:pt>
                <c:pt idx="30">
                  <c:v>0.18641901631290436</c:v>
                </c:pt>
                <c:pt idx="31">
                  <c:v>8.8484635340754347E-2</c:v>
                </c:pt>
                <c:pt idx="32">
                  <c:v>1.248908488124729</c:v>
                </c:pt>
                <c:pt idx="33">
                  <c:v>-0.37191486726665901</c:v>
                </c:pt>
                <c:pt idx="34">
                  <c:v>1.3170918549704846</c:v>
                </c:pt>
                <c:pt idx="35">
                  <c:v>-8.6571353363912529E-2</c:v>
                </c:pt>
                <c:pt idx="36">
                  <c:v>-0.3537864113867788</c:v>
                </c:pt>
                <c:pt idx="37">
                  <c:v>0.34916127344577008</c:v>
                </c:pt>
                <c:pt idx="38">
                  <c:v>0.46545573978940902</c:v>
                </c:pt>
                <c:pt idx="39">
                  <c:v>-0.34817813736764969</c:v>
                </c:pt>
                <c:pt idx="40">
                  <c:v>3.1996878318022948E-2</c:v>
                </c:pt>
                <c:pt idx="41">
                  <c:v>5.2214012329193871E-2</c:v>
                </c:pt>
                <c:pt idx="42">
                  <c:v>0.22442673959485937</c:v>
                </c:pt>
                <c:pt idx="43">
                  <c:v>-0.15383943366775668</c:v>
                </c:pt>
                <c:pt idx="44">
                  <c:v>-0.34214908968522179</c:v>
                </c:pt>
                <c:pt idx="45">
                  <c:v>-0.20352243154502883</c:v>
                </c:pt>
                <c:pt idx="46">
                  <c:v>0.14097212448664853</c:v>
                </c:pt>
                <c:pt idx="47">
                  <c:v>-0.27381269581772238</c:v>
                </c:pt>
                <c:pt idx="48">
                  <c:v>0.12928229109656125</c:v>
                </c:pt>
                <c:pt idx="49">
                  <c:v>-0.27751092466012195</c:v>
                </c:pt>
                <c:pt idx="50">
                  <c:v>-0.34658406801673902</c:v>
                </c:pt>
                <c:pt idx="51">
                  <c:v>-9.9986862628880013E-2</c:v>
                </c:pt>
                <c:pt idx="52">
                  <c:v>6.9777320248051167E-2</c:v>
                </c:pt>
                <c:pt idx="53">
                  <c:v>9.832522407144606E-2</c:v>
                </c:pt>
                <c:pt idx="54">
                  <c:v>-6.5393496733887058E-3</c:v>
                </c:pt>
                <c:pt idx="55">
                  <c:v>0.12947041680105492</c:v>
                </c:pt>
                <c:pt idx="56">
                  <c:v>-0.16860586249474352</c:v>
                </c:pt>
                <c:pt idx="57">
                  <c:v>-0.11326619169061442</c:v>
                </c:pt>
                <c:pt idx="58">
                  <c:v>-0.4897334857839547</c:v>
                </c:pt>
                <c:pt idx="59">
                  <c:v>0.29663766714993078</c:v>
                </c:pt>
                <c:pt idx="60">
                  <c:v>-0.14561914222418104</c:v>
                </c:pt>
                <c:pt idx="61">
                  <c:v>-2.0457757714995806E-2</c:v>
                </c:pt>
                <c:pt idx="62">
                  <c:v>0.22155297750137726</c:v>
                </c:pt>
                <c:pt idx="63">
                  <c:v>-0.30657818583444701</c:v>
                </c:pt>
                <c:pt idx="64">
                  <c:v>9.1362574649692885E-2</c:v>
                </c:pt>
                <c:pt idx="65">
                  <c:v>-0.21432562282351031</c:v>
                </c:pt>
                <c:pt idx="66">
                  <c:v>-9.6407668977380623E-2</c:v>
                </c:pt>
                <c:pt idx="67">
                  <c:v>-0.13473016533148152</c:v>
                </c:pt>
                <c:pt idx="68">
                  <c:v>-0.2352764678263104</c:v>
                </c:pt>
                <c:pt idx="69">
                  <c:v>-0.22147669851179685</c:v>
                </c:pt>
                <c:pt idx="70">
                  <c:v>0.88212693098327488</c:v>
                </c:pt>
                <c:pt idx="71">
                  <c:v>0.53941800496829684</c:v>
                </c:pt>
                <c:pt idx="72">
                  <c:v>-0.42786291133695914</c:v>
                </c:pt>
                <c:pt idx="73">
                  <c:v>1.0664722107342663</c:v>
                </c:pt>
                <c:pt idx="74">
                  <c:v>0.57488055576952468</c:v>
                </c:pt>
                <c:pt idx="75">
                  <c:v>1.3781864173924092</c:v>
                </c:pt>
                <c:pt idx="76">
                  <c:v>8.3924319283779025E-2</c:v>
                </c:pt>
                <c:pt idx="77">
                  <c:v>0.15715499879013883</c:v>
                </c:pt>
                <c:pt idx="78">
                  <c:v>0.12056342980968876</c:v>
                </c:pt>
                <c:pt idx="79">
                  <c:v>0.25463303018384165</c:v>
                </c:pt>
                <c:pt idx="80">
                  <c:v>1.9925712263184505</c:v>
                </c:pt>
                <c:pt idx="81">
                  <c:v>-2.8803783347836842E-2</c:v>
                </c:pt>
                <c:pt idx="82">
                  <c:v>-0.18735030381754597</c:v>
                </c:pt>
                <c:pt idx="83">
                  <c:v>-8.2114204060873441E-2</c:v>
                </c:pt>
                <c:pt idx="84">
                  <c:v>-0.66685063017468837</c:v>
                </c:pt>
                <c:pt idx="85">
                  <c:v>9.5321851135282021E-2</c:v>
                </c:pt>
                <c:pt idx="86">
                  <c:v>-0.38078795832894902</c:v>
                </c:pt>
                <c:pt idx="87">
                  <c:v>-0.10862783183398644</c:v>
                </c:pt>
                <c:pt idx="88">
                  <c:v>-0.13478205501662327</c:v>
                </c:pt>
                <c:pt idx="89">
                  <c:v>0.17942815319074379</c:v>
                </c:pt>
                <c:pt idx="90">
                  <c:v>0.4844734460785296</c:v>
                </c:pt>
                <c:pt idx="91">
                  <c:v>6.712003711436898E-2</c:v>
                </c:pt>
                <c:pt idx="92">
                  <c:v>-0.28619235915485564</c:v>
                </c:pt>
                <c:pt idx="93">
                  <c:v>-0.34758066239537233</c:v>
                </c:pt>
                <c:pt idx="94">
                  <c:v>-0.33781675200602002</c:v>
                </c:pt>
                <c:pt idx="95">
                  <c:v>8.9200222938504242E-2</c:v>
                </c:pt>
                <c:pt idx="96">
                  <c:v>0.54129621549934637</c:v>
                </c:pt>
                <c:pt idx="97">
                  <c:v>0.49874971943130936</c:v>
                </c:pt>
                <c:pt idx="98">
                  <c:v>-0.14840816151964581</c:v>
                </c:pt>
                <c:pt idx="99">
                  <c:v>-0.39742863662406935</c:v>
                </c:pt>
                <c:pt idx="100">
                  <c:v>-0.88896222900692545</c:v>
                </c:pt>
                <c:pt idx="101">
                  <c:v>0.13543637594240743</c:v>
                </c:pt>
                <c:pt idx="102">
                  <c:v>9.1020045022605078E-4</c:v>
                </c:pt>
                <c:pt idx="103">
                  <c:v>-0.34714451266068458</c:v>
                </c:pt>
                <c:pt idx="104">
                  <c:v>-0.25723876656455374</c:v>
                </c:pt>
                <c:pt idx="105">
                  <c:v>0.11936031950668891</c:v>
                </c:pt>
                <c:pt idx="106">
                  <c:v>-0.417660233528243</c:v>
                </c:pt>
                <c:pt idx="107">
                  <c:v>-4.1267793019180432E-2</c:v>
                </c:pt>
                <c:pt idx="108">
                  <c:v>-0.36619915337636938</c:v>
                </c:pt>
                <c:pt idx="109">
                  <c:v>-0.12189727168198136</c:v>
                </c:pt>
                <c:pt idx="110">
                  <c:v>2.5901688463856765E-2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B8-4653-8792-BE587DAD6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5888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Tariff category assigned after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5888"/>
        <c:crosses val="autoZero"/>
        <c:crossBetween val="midCat"/>
      </c:valAx>
      <c:valAx>
        <c:axId val="307605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Technical training at the factory(1=yes, 0=no)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Лист1!$P$3:$P$113</c:f>
              <c:numCache>
                <c:formatCode>General</c:formatCode>
                <c:ptCount val="111"/>
                <c:pt idx="0">
                  <c:v>-1.1210205295108828</c:v>
                </c:pt>
                <c:pt idx="1">
                  <c:v>0.82324945135955463</c:v>
                </c:pt>
                <c:pt idx="2">
                  <c:v>-1.1210205295108828</c:v>
                </c:pt>
                <c:pt idx="3">
                  <c:v>0.82324945135955463</c:v>
                </c:pt>
                <c:pt idx="4">
                  <c:v>-1.1210205295108828</c:v>
                </c:pt>
                <c:pt idx="5">
                  <c:v>-1.1210205295108828</c:v>
                </c:pt>
                <c:pt idx="6">
                  <c:v>-1.1210205295108828</c:v>
                </c:pt>
                <c:pt idx="7">
                  <c:v>-1.1210205295108828</c:v>
                </c:pt>
                <c:pt idx="8">
                  <c:v>-1.1210205295108828</c:v>
                </c:pt>
                <c:pt idx="9">
                  <c:v>-1.1210205295108828</c:v>
                </c:pt>
                <c:pt idx="10">
                  <c:v>0.82324945135955463</c:v>
                </c:pt>
                <c:pt idx="11">
                  <c:v>-1.1210205295108828</c:v>
                </c:pt>
                <c:pt idx="12">
                  <c:v>0.82324945135955463</c:v>
                </c:pt>
                <c:pt idx="13">
                  <c:v>-1.1210205295108828</c:v>
                </c:pt>
                <c:pt idx="14">
                  <c:v>-1.1210205295108828</c:v>
                </c:pt>
                <c:pt idx="15">
                  <c:v>-1.1210205295108828</c:v>
                </c:pt>
                <c:pt idx="16">
                  <c:v>0.82324945135955463</c:v>
                </c:pt>
                <c:pt idx="17">
                  <c:v>-1.1210205295108828</c:v>
                </c:pt>
                <c:pt idx="18">
                  <c:v>0.82324945135955463</c:v>
                </c:pt>
                <c:pt idx="19">
                  <c:v>-1.1210205295108828</c:v>
                </c:pt>
                <c:pt idx="20">
                  <c:v>-1.1210205295108828</c:v>
                </c:pt>
                <c:pt idx="21">
                  <c:v>-1.1210205295108828</c:v>
                </c:pt>
                <c:pt idx="22">
                  <c:v>0.82324945135955463</c:v>
                </c:pt>
                <c:pt idx="23">
                  <c:v>-1.1210205295108828</c:v>
                </c:pt>
                <c:pt idx="24">
                  <c:v>0.82324945135955463</c:v>
                </c:pt>
                <c:pt idx="25">
                  <c:v>0.82324945135955463</c:v>
                </c:pt>
                <c:pt idx="26">
                  <c:v>0.82324945135955463</c:v>
                </c:pt>
                <c:pt idx="27">
                  <c:v>-1.1210205295108828</c:v>
                </c:pt>
                <c:pt idx="28">
                  <c:v>0.82324945135955463</c:v>
                </c:pt>
                <c:pt idx="29">
                  <c:v>-1.1210205295108828</c:v>
                </c:pt>
                <c:pt idx="30">
                  <c:v>-1.1210205295108828</c:v>
                </c:pt>
                <c:pt idx="31">
                  <c:v>-1.1210205295108828</c:v>
                </c:pt>
                <c:pt idx="32">
                  <c:v>-1.1210205295108828</c:v>
                </c:pt>
                <c:pt idx="33">
                  <c:v>0.82324945135955463</c:v>
                </c:pt>
                <c:pt idx="34">
                  <c:v>-1.1210205295108828</c:v>
                </c:pt>
                <c:pt idx="35">
                  <c:v>0.82324945135955463</c:v>
                </c:pt>
                <c:pt idx="36">
                  <c:v>0.82324945135955463</c:v>
                </c:pt>
                <c:pt idx="37">
                  <c:v>0.82324945135955463</c:v>
                </c:pt>
                <c:pt idx="38">
                  <c:v>0.82324945135955463</c:v>
                </c:pt>
                <c:pt idx="39">
                  <c:v>0.82324945135955463</c:v>
                </c:pt>
                <c:pt idx="40">
                  <c:v>0.82324945135955463</c:v>
                </c:pt>
                <c:pt idx="41">
                  <c:v>-1.1210205295108828</c:v>
                </c:pt>
                <c:pt idx="42">
                  <c:v>0.82324945135955463</c:v>
                </c:pt>
                <c:pt idx="43">
                  <c:v>-1.1210205295108828</c:v>
                </c:pt>
                <c:pt idx="44">
                  <c:v>0.82324945135955463</c:v>
                </c:pt>
                <c:pt idx="45">
                  <c:v>-1.1210205295108828</c:v>
                </c:pt>
                <c:pt idx="46">
                  <c:v>-1.1210205295108828</c:v>
                </c:pt>
                <c:pt idx="47">
                  <c:v>-1.1210205295108828</c:v>
                </c:pt>
                <c:pt idx="48">
                  <c:v>-1.1210205295108828</c:v>
                </c:pt>
                <c:pt idx="49">
                  <c:v>0.82324945135955463</c:v>
                </c:pt>
                <c:pt idx="50">
                  <c:v>0.82324945135955463</c:v>
                </c:pt>
                <c:pt idx="51">
                  <c:v>0.82324945135955463</c:v>
                </c:pt>
                <c:pt idx="52">
                  <c:v>-1.1210205295108828</c:v>
                </c:pt>
                <c:pt idx="53">
                  <c:v>-1.1210205295108828</c:v>
                </c:pt>
                <c:pt idx="54">
                  <c:v>0.82324945135955463</c:v>
                </c:pt>
                <c:pt idx="55">
                  <c:v>0.82324945135955463</c:v>
                </c:pt>
                <c:pt idx="56">
                  <c:v>0.82324945135955463</c:v>
                </c:pt>
                <c:pt idx="57">
                  <c:v>-1.1210205295108828</c:v>
                </c:pt>
                <c:pt idx="58">
                  <c:v>2.7675194322299923</c:v>
                </c:pt>
                <c:pt idx="59">
                  <c:v>-1.1210205295108828</c:v>
                </c:pt>
                <c:pt idx="60">
                  <c:v>0.82324945135955463</c:v>
                </c:pt>
                <c:pt idx="61">
                  <c:v>0.82324945135955463</c:v>
                </c:pt>
                <c:pt idx="62">
                  <c:v>0.82324945135955463</c:v>
                </c:pt>
                <c:pt idx="63">
                  <c:v>-1.1210205295108828</c:v>
                </c:pt>
                <c:pt idx="64">
                  <c:v>-1.1210205295108828</c:v>
                </c:pt>
                <c:pt idx="65">
                  <c:v>-1.1210205295108828</c:v>
                </c:pt>
                <c:pt idx="66">
                  <c:v>0.82324945135955463</c:v>
                </c:pt>
                <c:pt idx="67">
                  <c:v>0.82324945135955463</c:v>
                </c:pt>
                <c:pt idx="68">
                  <c:v>-1.1210205295108828</c:v>
                </c:pt>
                <c:pt idx="69">
                  <c:v>-1.1210205295108828</c:v>
                </c:pt>
                <c:pt idx="70">
                  <c:v>0.82324945135955463</c:v>
                </c:pt>
                <c:pt idx="71">
                  <c:v>0.82324945135955463</c:v>
                </c:pt>
                <c:pt idx="72">
                  <c:v>0.82324945135955463</c:v>
                </c:pt>
                <c:pt idx="73">
                  <c:v>0.82324945135955463</c:v>
                </c:pt>
                <c:pt idx="74">
                  <c:v>0.82324945135955463</c:v>
                </c:pt>
                <c:pt idx="75">
                  <c:v>0.82324945135955463</c:v>
                </c:pt>
                <c:pt idx="76">
                  <c:v>-1.1210205295108828</c:v>
                </c:pt>
                <c:pt idx="77">
                  <c:v>-1.1210205295108828</c:v>
                </c:pt>
                <c:pt idx="78">
                  <c:v>0.82324945135955463</c:v>
                </c:pt>
                <c:pt idx="79">
                  <c:v>-1.1210205295108828</c:v>
                </c:pt>
                <c:pt idx="80">
                  <c:v>-1.1210205295108828</c:v>
                </c:pt>
                <c:pt idx="81">
                  <c:v>0.82324945135955463</c:v>
                </c:pt>
                <c:pt idx="82">
                  <c:v>0.82324945135955463</c:v>
                </c:pt>
                <c:pt idx="83">
                  <c:v>0.82324945135955463</c:v>
                </c:pt>
                <c:pt idx="84">
                  <c:v>-1.1210205295108828</c:v>
                </c:pt>
                <c:pt idx="85">
                  <c:v>-1.1210205295108828</c:v>
                </c:pt>
                <c:pt idx="86">
                  <c:v>0.82324945135955463</c:v>
                </c:pt>
                <c:pt idx="87">
                  <c:v>-1.1210205295108828</c:v>
                </c:pt>
                <c:pt idx="88">
                  <c:v>0.82324945135955463</c:v>
                </c:pt>
                <c:pt idx="89">
                  <c:v>0.82324945135955463</c:v>
                </c:pt>
                <c:pt idx="90">
                  <c:v>0.82324945135955463</c:v>
                </c:pt>
                <c:pt idx="91">
                  <c:v>0.82324945135955463</c:v>
                </c:pt>
                <c:pt idx="92">
                  <c:v>0.82324945135955463</c:v>
                </c:pt>
                <c:pt idx="93">
                  <c:v>0.82324945135955463</c:v>
                </c:pt>
                <c:pt idx="94">
                  <c:v>0.82324945135955463</c:v>
                </c:pt>
                <c:pt idx="95">
                  <c:v>-1.1210205295108828</c:v>
                </c:pt>
                <c:pt idx="96">
                  <c:v>0.82324945135955463</c:v>
                </c:pt>
                <c:pt idx="97">
                  <c:v>0.82324945135955463</c:v>
                </c:pt>
                <c:pt idx="98">
                  <c:v>0.82324945135955463</c:v>
                </c:pt>
                <c:pt idx="99">
                  <c:v>0.82324945135955463</c:v>
                </c:pt>
                <c:pt idx="100">
                  <c:v>0.82324945135955463</c:v>
                </c:pt>
                <c:pt idx="101">
                  <c:v>0.82324945135955463</c:v>
                </c:pt>
                <c:pt idx="102">
                  <c:v>0.82324945135955463</c:v>
                </c:pt>
                <c:pt idx="103">
                  <c:v>0.82324945135955463</c:v>
                </c:pt>
                <c:pt idx="104">
                  <c:v>-1.1210205295108828</c:v>
                </c:pt>
                <c:pt idx="105">
                  <c:v>0.82324945135955463</c:v>
                </c:pt>
                <c:pt idx="106">
                  <c:v>0.82324945135955463</c:v>
                </c:pt>
                <c:pt idx="107">
                  <c:v>0.82324945135955463</c:v>
                </c:pt>
                <c:pt idx="108">
                  <c:v>0.82324945135955463</c:v>
                </c:pt>
                <c:pt idx="109">
                  <c:v>0.82324945135955463</c:v>
                </c:pt>
                <c:pt idx="110">
                  <c:v>-1.1210205295108828</c:v>
                </c:pt>
              </c:numCache>
            </c:numRef>
          </c:xVal>
          <c:yVal>
            <c:numRef>
              <c:f>Лист3!$D$29:$D$139</c:f>
              <c:numCache>
                <c:formatCode>General</c:formatCode>
                <c:ptCount val="111"/>
                <c:pt idx="0">
                  <c:v>3.3063752601670715E-2</c:v>
                </c:pt>
                <c:pt idx="1">
                  <c:v>-0.32629775333634153</c:v>
                </c:pt>
                <c:pt idx="2">
                  <c:v>-0.11999649371560295</c:v>
                </c:pt>
                <c:pt idx="3">
                  <c:v>-5.9048443727797162E-3</c:v>
                </c:pt>
                <c:pt idx="4">
                  <c:v>-0.40131094359332026</c:v>
                </c:pt>
                <c:pt idx="5">
                  <c:v>-0.74253209202353854</c:v>
                </c:pt>
                <c:pt idx="6">
                  <c:v>-0.4297884378738871</c:v>
                </c:pt>
                <c:pt idx="7">
                  <c:v>-0.23732834116885104</c:v>
                </c:pt>
                <c:pt idx="8">
                  <c:v>-0.12577089219116644</c:v>
                </c:pt>
                <c:pt idx="9">
                  <c:v>3.7712988672119585E-2</c:v>
                </c:pt>
                <c:pt idx="10">
                  <c:v>3.2472580163951048E-2</c:v>
                </c:pt>
                <c:pt idx="11">
                  <c:v>-0.33769771681511951</c:v>
                </c:pt>
                <c:pt idx="12">
                  <c:v>-0.38857353931784466</c:v>
                </c:pt>
                <c:pt idx="13">
                  <c:v>-0.2867642281943158</c:v>
                </c:pt>
                <c:pt idx="14">
                  <c:v>-0.22170528950591772</c:v>
                </c:pt>
                <c:pt idx="15">
                  <c:v>-0.35840114465793871</c:v>
                </c:pt>
                <c:pt idx="16">
                  <c:v>0.8281413141404208</c:v>
                </c:pt>
                <c:pt idx="17">
                  <c:v>-8.8112619851294371E-2</c:v>
                </c:pt>
                <c:pt idx="18">
                  <c:v>-0.44779499098960396</c:v>
                </c:pt>
                <c:pt idx="19">
                  <c:v>-0.21414892151453113</c:v>
                </c:pt>
                <c:pt idx="20">
                  <c:v>-0.21386478033439216</c:v>
                </c:pt>
                <c:pt idx="21">
                  <c:v>-4.2514236185069609E-2</c:v>
                </c:pt>
                <c:pt idx="22">
                  <c:v>-0.10608662616230938</c:v>
                </c:pt>
                <c:pt idx="23">
                  <c:v>-8.0537732002221474E-2</c:v>
                </c:pt>
                <c:pt idx="24">
                  <c:v>0.31874206849609649</c:v>
                </c:pt>
                <c:pt idx="25">
                  <c:v>-3.3641015484965675E-2</c:v>
                </c:pt>
                <c:pt idx="26">
                  <c:v>5.90985441296E-2</c:v>
                </c:pt>
                <c:pt idx="27">
                  <c:v>-0.33748398517780853</c:v>
                </c:pt>
                <c:pt idx="28">
                  <c:v>0.78012583365437549</c:v>
                </c:pt>
                <c:pt idx="29">
                  <c:v>1.4080038143393758E-2</c:v>
                </c:pt>
                <c:pt idx="30">
                  <c:v>0.18641901631290436</c:v>
                </c:pt>
                <c:pt idx="31">
                  <c:v>8.8484635340754347E-2</c:v>
                </c:pt>
                <c:pt idx="32">
                  <c:v>1.248908488124729</c:v>
                </c:pt>
                <c:pt idx="33">
                  <c:v>-0.37191486726665901</c:v>
                </c:pt>
                <c:pt idx="34">
                  <c:v>1.3170918549704846</c:v>
                </c:pt>
                <c:pt idx="35">
                  <c:v>-8.6571353363912529E-2</c:v>
                </c:pt>
                <c:pt idx="36">
                  <c:v>-0.3537864113867788</c:v>
                </c:pt>
                <c:pt idx="37">
                  <c:v>0.34916127344577008</c:v>
                </c:pt>
                <c:pt idx="38">
                  <c:v>0.46545573978940902</c:v>
                </c:pt>
                <c:pt idx="39">
                  <c:v>-0.34817813736764969</c:v>
                </c:pt>
                <c:pt idx="40">
                  <c:v>3.1996878318022948E-2</c:v>
                </c:pt>
                <c:pt idx="41">
                  <c:v>5.2214012329193871E-2</c:v>
                </c:pt>
                <c:pt idx="42">
                  <c:v>0.22442673959485937</c:v>
                </c:pt>
                <c:pt idx="43">
                  <c:v>-0.15383943366775668</c:v>
                </c:pt>
                <c:pt idx="44">
                  <c:v>-0.34214908968522179</c:v>
                </c:pt>
                <c:pt idx="45">
                  <c:v>-0.20352243154502883</c:v>
                </c:pt>
                <c:pt idx="46">
                  <c:v>0.14097212448664853</c:v>
                </c:pt>
                <c:pt idx="47">
                  <c:v>-0.27381269581772238</c:v>
                </c:pt>
                <c:pt idx="48">
                  <c:v>0.12928229109656125</c:v>
                </c:pt>
                <c:pt idx="49">
                  <c:v>-0.27751092466012195</c:v>
                </c:pt>
                <c:pt idx="50">
                  <c:v>-0.34658406801673902</c:v>
                </c:pt>
                <c:pt idx="51">
                  <c:v>-9.9986862628880013E-2</c:v>
                </c:pt>
                <c:pt idx="52">
                  <c:v>6.9777320248051167E-2</c:v>
                </c:pt>
                <c:pt idx="53">
                  <c:v>9.832522407144606E-2</c:v>
                </c:pt>
                <c:pt idx="54">
                  <c:v>-6.5393496733887058E-3</c:v>
                </c:pt>
                <c:pt idx="55">
                  <c:v>0.12947041680105492</c:v>
                </c:pt>
                <c:pt idx="56">
                  <c:v>-0.16860586249474352</c:v>
                </c:pt>
                <c:pt idx="57">
                  <c:v>-0.11326619169061442</c:v>
                </c:pt>
                <c:pt idx="58">
                  <c:v>-0.4897334857839547</c:v>
                </c:pt>
                <c:pt idx="59">
                  <c:v>0.29663766714993078</c:v>
                </c:pt>
                <c:pt idx="60">
                  <c:v>-0.14561914222418104</c:v>
                </c:pt>
                <c:pt idx="61">
                  <c:v>-2.0457757714995806E-2</c:v>
                </c:pt>
                <c:pt idx="62">
                  <c:v>0.22155297750137726</c:v>
                </c:pt>
                <c:pt idx="63">
                  <c:v>-0.30657818583444701</c:v>
                </c:pt>
                <c:pt idx="64">
                  <c:v>9.1362574649692885E-2</c:v>
                </c:pt>
                <c:pt idx="65">
                  <c:v>-0.21432562282351031</c:v>
                </c:pt>
                <c:pt idx="66">
                  <c:v>-9.6407668977380623E-2</c:v>
                </c:pt>
                <c:pt idx="67">
                  <c:v>-0.13473016533148152</c:v>
                </c:pt>
                <c:pt idx="68">
                  <c:v>-0.2352764678263104</c:v>
                </c:pt>
                <c:pt idx="69">
                  <c:v>-0.22147669851179685</c:v>
                </c:pt>
                <c:pt idx="70">
                  <c:v>0.88212693098327488</c:v>
                </c:pt>
                <c:pt idx="71">
                  <c:v>0.53941800496829684</c:v>
                </c:pt>
                <c:pt idx="72">
                  <c:v>-0.42786291133695914</c:v>
                </c:pt>
                <c:pt idx="73">
                  <c:v>1.0664722107342663</c:v>
                </c:pt>
                <c:pt idx="74">
                  <c:v>0.57488055576952468</c:v>
                </c:pt>
                <c:pt idx="75">
                  <c:v>1.3781864173924092</c:v>
                </c:pt>
                <c:pt idx="76">
                  <c:v>8.3924319283779025E-2</c:v>
                </c:pt>
                <c:pt idx="77">
                  <c:v>0.15715499879013883</c:v>
                </c:pt>
                <c:pt idx="78">
                  <c:v>0.12056342980968876</c:v>
                </c:pt>
                <c:pt idx="79">
                  <c:v>0.25463303018384165</c:v>
                </c:pt>
                <c:pt idx="80">
                  <c:v>1.9925712263184505</c:v>
                </c:pt>
                <c:pt idx="81">
                  <c:v>-2.8803783347836842E-2</c:v>
                </c:pt>
                <c:pt idx="82">
                  <c:v>-0.18735030381754597</c:v>
                </c:pt>
                <c:pt idx="83">
                  <c:v>-8.2114204060873441E-2</c:v>
                </c:pt>
                <c:pt idx="84">
                  <c:v>-0.66685063017468837</c:v>
                </c:pt>
                <c:pt idx="85">
                  <c:v>9.5321851135282021E-2</c:v>
                </c:pt>
                <c:pt idx="86">
                  <c:v>-0.38078795832894902</c:v>
                </c:pt>
                <c:pt idx="87">
                  <c:v>-0.10862783183398644</c:v>
                </c:pt>
                <c:pt idx="88">
                  <c:v>-0.13478205501662327</c:v>
                </c:pt>
                <c:pt idx="89">
                  <c:v>0.17942815319074379</c:v>
                </c:pt>
                <c:pt idx="90">
                  <c:v>0.4844734460785296</c:v>
                </c:pt>
                <c:pt idx="91">
                  <c:v>6.712003711436898E-2</c:v>
                </c:pt>
                <c:pt idx="92">
                  <c:v>-0.28619235915485564</c:v>
                </c:pt>
                <c:pt idx="93">
                  <c:v>-0.34758066239537233</c:v>
                </c:pt>
                <c:pt idx="94">
                  <c:v>-0.33781675200602002</c:v>
                </c:pt>
                <c:pt idx="95">
                  <c:v>8.9200222938504242E-2</c:v>
                </c:pt>
                <c:pt idx="96">
                  <c:v>0.54129621549934637</c:v>
                </c:pt>
                <c:pt idx="97">
                  <c:v>0.49874971943130936</c:v>
                </c:pt>
                <c:pt idx="98">
                  <c:v>-0.14840816151964581</c:v>
                </c:pt>
                <c:pt idx="99">
                  <c:v>-0.39742863662406935</c:v>
                </c:pt>
                <c:pt idx="100">
                  <c:v>-0.88896222900692545</c:v>
                </c:pt>
                <c:pt idx="101">
                  <c:v>0.13543637594240743</c:v>
                </c:pt>
                <c:pt idx="102">
                  <c:v>9.1020045022605078E-4</c:v>
                </c:pt>
                <c:pt idx="103">
                  <c:v>-0.34714451266068458</c:v>
                </c:pt>
                <c:pt idx="104">
                  <c:v>-0.25723876656455374</c:v>
                </c:pt>
                <c:pt idx="105">
                  <c:v>0.11936031950668891</c:v>
                </c:pt>
                <c:pt idx="106">
                  <c:v>-0.417660233528243</c:v>
                </c:pt>
                <c:pt idx="107">
                  <c:v>-4.1267793019180432E-2</c:v>
                </c:pt>
                <c:pt idx="108">
                  <c:v>-0.36619915337636938</c:v>
                </c:pt>
                <c:pt idx="109">
                  <c:v>-0.12189727168198136</c:v>
                </c:pt>
                <c:pt idx="110">
                  <c:v>2.5901688463856765E-2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79-4EE3-B77D-ED512AB2F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588832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Technical training at the factory(1=yes, 0=no)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832"/>
        <c:crosses val="autoZero"/>
        <c:crossBetween val="midCat"/>
      </c:valAx>
      <c:valAx>
        <c:axId val="307588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production norms performance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Лист1!$L$3:$L$113</c:f>
              <c:numCache>
                <c:formatCode>General</c:formatCode>
                <c:ptCount val="111"/>
                <c:pt idx="0">
                  <c:v>0.66569265165952718</c:v>
                </c:pt>
                <c:pt idx="1">
                  <c:v>0.86388277504139799</c:v>
                </c:pt>
                <c:pt idx="2">
                  <c:v>0.83085108781108619</c:v>
                </c:pt>
                <c:pt idx="3">
                  <c:v>0.36840746658672091</c:v>
                </c:pt>
                <c:pt idx="4">
                  <c:v>0.46750252827765632</c:v>
                </c:pt>
                <c:pt idx="5">
                  <c:v>0.40143915381703271</c:v>
                </c:pt>
                <c:pt idx="6">
                  <c:v>0.79781940058077438</c:v>
                </c:pt>
                <c:pt idx="7">
                  <c:v>-0.9198283353954394</c:v>
                </c:pt>
                <c:pt idx="8">
                  <c:v>-0.820733273704504</c:v>
                </c:pt>
                <c:pt idx="9">
                  <c:v>-0.820733273704504</c:v>
                </c:pt>
                <c:pt idx="10">
                  <c:v>-0.62254315032263319</c:v>
                </c:pt>
                <c:pt idx="11">
                  <c:v>-0.55647977586200958</c:v>
                </c:pt>
                <c:pt idx="12">
                  <c:v>-0.52344808863169778</c:v>
                </c:pt>
                <c:pt idx="13">
                  <c:v>-0.52344808863169778</c:v>
                </c:pt>
                <c:pt idx="14">
                  <c:v>-0.49041640140138598</c:v>
                </c:pt>
                <c:pt idx="15">
                  <c:v>-0.49041640140138598</c:v>
                </c:pt>
                <c:pt idx="16">
                  <c:v>-0.12706784186795614</c:v>
                </c:pt>
                <c:pt idx="17">
                  <c:v>-1.0189233970863749</c:v>
                </c:pt>
                <c:pt idx="18">
                  <c:v>-1.1180184587773103</c:v>
                </c:pt>
                <c:pt idx="19">
                  <c:v>-1.1180184587773103</c:v>
                </c:pt>
                <c:pt idx="20">
                  <c:v>-0.9528600226257512</c:v>
                </c:pt>
                <c:pt idx="21">
                  <c:v>-0.39132133971045058</c:v>
                </c:pt>
                <c:pt idx="22">
                  <c:v>-0.25919459078920337</c:v>
                </c:pt>
                <c:pt idx="23">
                  <c:v>-0.39132133971045058</c:v>
                </c:pt>
                <c:pt idx="24">
                  <c:v>-0.39132133971045058</c:v>
                </c:pt>
                <c:pt idx="25">
                  <c:v>-0.39132133971045058</c:v>
                </c:pt>
                <c:pt idx="26">
                  <c:v>-0.39132133971045058</c:v>
                </c:pt>
                <c:pt idx="27">
                  <c:v>-1.0189233970863749</c:v>
                </c:pt>
                <c:pt idx="28">
                  <c:v>-0.78770158647419219</c:v>
                </c:pt>
                <c:pt idx="29">
                  <c:v>-0.9198283353954394</c:v>
                </c:pt>
                <c:pt idx="30">
                  <c:v>-0.820733273704504</c:v>
                </c:pt>
                <c:pt idx="31">
                  <c:v>-0.9528600226257512</c:v>
                </c:pt>
                <c:pt idx="32">
                  <c:v>0.2032490304351619</c:v>
                </c:pt>
                <c:pt idx="33">
                  <c:v>2.3503087004054293</c:v>
                </c:pt>
                <c:pt idx="34">
                  <c:v>-0.72163821201356859</c:v>
                </c:pt>
                <c:pt idx="35">
                  <c:v>1.524516519647634</c:v>
                </c:pt>
                <c:pt idx="36">
                  <c:v>2.9118473833207297</c:v>
                </c:pt>
                <c:pt idx="37">
                  <c:v>1.689674955799193</c:v>
                </c:pt>
                <c:pt idx="38">
                  <c:v>1.3923897707263868</c:v>
                </c:pt>
                <c:pt idx="39">
                  <c:v>1.194199647344516</c:v>
                </c:pt>
                <c:pt idx="40">
                  <c:v>-0.62254315032263319</c:v>
                </c:pt>
                <c:pt idx="41">
                  <c:v>-1.1180184587773103</c:v>
                </c:pt>
                <c:pt idx="42">
                  <c:v>1.9539284536416874</c:v>
                </c:pt>
                <c:pt idx="43">
                  <c:v>0.30234409212609731</c:v>
                </c:pt>
                <c:pt idx="44">
                  <c:v>0.46750252827765632</c:v>
                </c:pt>
                <c:pt idx="45">
                  <c:v>7.1122281513914684E-2</c:v>
                </c:pt>
                <c:pt idx="46">
                  <c:v>-0.78770158647419219</c:v>
                </c:pt>
                <c:pt idx="47">
                  <c:v>-0.62254315032263319</c:v>
                </c:pt>
                <c:pt idx="48">
                  <c:v>0.50053421550796817</c:v>
                </c:pt>
                <c:pt idx="49">
                  <c:v>-0.49041640140138598</c:v>
                </c:pt>
                <c:pt idx="50">
                  <c:v>0.50053421550796817</c:v>
                </c:pt>
                <c:pt idx="51">
                  <c:v>-0.9528600226257512</c:v>
                </c:pt>
                <c:pt idx="52">
                  <c:v>1.524516519647634</c:v>
                </c:pt>
                <c:pt idx="53">
                  <c:v>1.8218017047204402</c:v>
                </c:pt>
                <c:pt idx="54">
                  <c:v>-0.16009952909826794</c:v>
                </c:pt>
                <c:pt idx="55">
                  <c:v>-0.65557483755294499</c:v>
                </c:pt>
                <c:pt idx="56">
                  <c:v>-0.8537649609348158</c:v>
                </c:pt>
                <c:pt idx="57">
                  <c:v>-0.16009952909826794</c:v>
                </c:pt>
                <c:pt idx="58">
                  <c:v>-0.16009952909826794</c:v>
                </c:pt>
                <c:pt idx="59">
                  <c:v>-0.62254315032263319</c:v>
                </c:pt>
                <c:pt idx="60">
                  <c:v>1.2932947090354514</c:v>
                </c:pt>
                <c:pt idx="61">
                  <c:v>1.2932947090354514</c:v>
                </c:pt>
                <c:pt idx="62">
                  <c:v>-0.78770158647419219</c:v>
                </c:pt>
                <c:pt idx="63">
                  <c:v>7.1122281513914684E-2</c:v>
                </c:pt>
                <c:pt idx="64">
                  <c:v>-0.75466989924388039</c:v>
                </c:pt>
                <c:pt idx="65">
                  <c:v>-1.1180184587773103</c:v>
                </c:pt>
                <c:pt idx="66">
                  <c:v>-1.0189233970863749</c:v>
                </c:pt>
                <c:pt idx="67">
                  <c:v>-1.0189233970863749</c:v>
                </c:pt>
                <c:pt idx="68">
                  <c:v>-1.0849867715469985</c:v>
                </c:pt>
                <c:pt idx="69">
                  <c:v>-1.1180184587773103</c:v>
                </c:pt>
                <c:pt idx="70">
                  <c:v>-0.52344808863169778</c:v>
                </c:pt>
                <c:pt idx="71">
                  <c:v>-0.52344808863169778</c:v>
                </c:pt>
                <c:pt idx="72">
                  <c:v>0.83085108781108619</c:v>
                </c:pt>
                <c:pt idx="73">
                  <c:v>1.524516519647634</c:v>
                </c:pt>
                <c:pt idx="74">
                  <c:v>1.524516519647634</c:v>
                </c:pt>
                <c:pt idx="75">
                  <c:v>1.524516519647634</c:v>
                </c:pt>
                <c:pt idx="76">
                  <c:v>-0.55647977586200958</c:v>
                </c:pt>
                <c:pt idx="77">
                  <c:v>-0.68860652478325679</c:v>
                </c:pt>
                <c:pt idx="78">
                  <c:v>-0.12706784186795614</c:v>
                </c:pt>
                <c:pt idx="79">
                  <c:v>-0.8867966481651276</c:v>
                </c:pt>
                <c:pt idx="80">
                  <c:v>-0.25919459078920337</c:v>
                </c:pt>
                <c:pt idx="81">
                  <c:v>-0.68860652478325679</c:v>
                </c:pt>
                <c:pt idx="82">
                  <c:v>-0.68860652478325679</c:v>
                </c:pt>
                <c:pt idx="83">
                  <c:v>1.194199647344516</c:v>
                </c:pt>
                <c:pt idx="84">
                  <c:v>0.79781940058077438</c:v>
                </c:pt>
                <c:pt idx="85">
                  <c:v>-0.78770158647419219</c:v>
                </c:pt>
                <c:pt idx="86">
                  <c:v>5.0589070532910769E-3</c:v>
                </c:pt>
                <c:pt idx="87">
                  <c:v>-0.16009952909826794</c:v>
                </c:pt>
                <c:pt idx="88">
                  <c:v>-0.39132133971045058</c:v>
                </c:pt>
                <c:pt idx="89">
                  <c:v>-0.9198283353954394</c:v>
                </c:pt>
                <c:pt idx="90">
                  <c:v>2.8788156960904181</c:v>
                </c:pt>
                <c:pt idx="91">
                  <c:v>2.3503087004054293</c:v>
                </c:pt>
                <c:pt idx="92">
                  <c:v>-0.22616290355889154</c:v>
                </c:pt>
                <c:pt idx="93">
                  <c:v>2.18515026425387</c:v>
                </c:pt>
                <c:pt idx="94">
                  <c:v>-0.49041640140138598</c:v>
                </c:pt>
                <c:pt idx="95">
                  <c:v>-0.39132133971045058</c:v>
                </c:pt>
                <c:pt idx="96">
                  <c:v>-1.0519550843166867</c:v>
                </c:pt>
                <c:pt idx="97">
                  <c:v>-1.0519550843166867</c:v>
                </c:pt>
                <c:pt idx="98">
                  <c:v>5.0589070532910769E-3</c:v>
                </c:pt>
                <c:pt idx="99">
                  <c:v>-0.62254315032263319</c:v>
                </c:pt>
                <c:pt idx="100">
                  <c:v>0.79781940058077438</c:v>
                </c:pt>
                <c:pt idx="101">
                  <c:v>0.83085108781108619</c:v>
                </c:pt>
                <c:pt idx="102">
                  <c:v>0.83085108781108619</c:v>
                </c:pt>
                <c:pt idx="103">
                  <c:v>-0.9528600226257512</c:v>
                </c:pt>
                <c:pt idx="104">
                  <c:v>0.79781940058077438</c:v>
                </c:pt>
                <c:pt idx="105">
                  <c:v>-0.8867966481651276</c:v>
                </c:pt>
                <c:pt idx="106">
                  <c:v>1.3923897707263868</c:v>
                </c:pt>
                <c:pt idx="107">
                  <c:v>-0.39132133971045058</c:v>
                </c:pt>
                <c:pt idx="108">
                  <c:v>0.79781940058077438</c:v>
                </c:pt>
                <c:pt idx="109">
                  <c:v>0.30234409212609731</c:v>
                </c:pt>
                <c:pt idx="110">
                  <c:v>-1.1180184587773103</c:v>
                </c:pt>
              </c:numCache>
            </c:numRef>
          </c:xVal>
          <c:yVal>
            <c:numRef>
              <c:f>Лист1!$K$3:$K$113</c:f>
              <c:numCache>
                <c:formatCode>General</c:formatCode>
                <c:ptCount val="111"/>
                <c:pt idx="0">
                  <c:v>0.65802588201924328</c:v>
                </c:pt>
                <c:pt idx="1">
                  <c:v>0.34631167536110058</c:v>
                </c:pt>
                <c:pt idx="2">
                  <c:v>0.40865451669272912</c:v>
                </c:pt>
                <c:pt idx="3">
                  <c:v>0.34631167536110058</c:v>
                </c:pt>
                <c:pt idx="4">
                  <c:v>-0.1212596346261135</c:v>
                </c:pt>
                <c:pt idx="5">
                  <c:v>-0.58883094461332763</c:v>
                </c:pt>
                <c:pt idx="6">
                  <c:v>0.19045457203202923</c:v>
                </c:pt>
                <c:pt idx="7">
                  <c:v>-1.0875736752663561</c:v>
                </c:pt>
                <c:pt idx="8">
                  <c:v>-0.90054515127147028</c:v>
                </c:pt>
                <c:pt idx="9">
                  <c:v>-0.83820230993984179</c:v>
                </c:pt>
                <c:pt idx="10">
                  <c:v>-0.58883094461332763</c:v>
                </c:pt>
                <c:pt idx="11">
                  <c:v>-0.83820230993984179</c:v>
                </c:pt>
                <c:pt idx="12">
                  <c:v>-0.7758594686082132</c:v>
                </c:pt>
                <c:pt idx="13">
                  <c:v>-0.80703088927402755</c:v>
                </c:pt>
                <c:pt idx="14">
                  <c:v>-0.68234520661077036</c:v>
                </c:pt>
                <c:pt idx="15">
                  <c:v>-0.80703088927402755</c:v>
                </c:pt>
                <c:pt idx="16">
                  <c:v>0.90739724734575755</c:v>
                </c:pt>
                <c:pt idx="17">
                  <c:v>-1.0252308339347274</c:v>
                </c:pt>
                <c:pt idx="18">
                  <c:v>-1.3681164612586845</c:v>
                </c:pt>
                <c:pt idx="19">
                  <c:v>-1.2434307785954273</c:v>
                </c:pt>
                <c:pt idx="20">
                  <c:v>-1.212259357929613</c:v>
                </c:pt>
                <c:pt idx="21">
                  <c:v>-0.43297384128425626</c:v>
                </c:pt>
                <c:pt idx="22">
                  <c:v>-0.27711673795518488</c:v>
                </c:pt>
                <c:pt idx="23">
                  <c:v>-0.58883094461332763</c:v>
                </c:pt>
                <c:pt idx="24">
                  <c:v>3.4597468702957865E-2</c:v>
                </c:pt>
                <c:pt idx="25">
                  <c:v>-0.43297384128425626</c:v>
                </c:pt>
                <c:pt idx="26">
                  <c:v>-0.1212596346261135</c:v>
                </c:pt>
                <c:pt idx="27">
                  <c:v>-1.2746021992612415</c:v>
                </c:pt>
                <c:pt idx="28">
                  <c:v>0.15928315136621496</c:v>
                </c:pt>
                <c:pt idx="29">
                  <c:v>-0.83820230993984179</c:v>
                </c:pt>
                <c:pt idx="30">
                  <c:v>-0.71351662727658471</c:v>
                </c:pt>
                <c:pt idx="31">
                  <c:v>-0.90054515127147028</c:v>
                </c:pt>
                <c:pt idx="32">
                  <c:v>1.4061399779987858</c:v>
                </c:pt>
                <c:pt idx="33">
                  <c:v>1.7801970259885571</c:v>
                </c:pt>
                <c:pt idx="34">
                  <c:v>0.5333401993559862</c:v>
                </c:pt>
                <c:pt idx="35">
                  <c:v>1.2814542953355288</c:v>
                </c:pt>
                <c:pt idx="36">
                  <c:v>2.2165969153099572</c:v>
                </c:pt>
                <c:pt idx="37">
                  <c:v>1.998396970649257</c:v>
                </c:pt>
                <c:pt idx="38">
                  <c:v>1.5931685019936714</c:v>
                </c:pt>
                <c:pt idx="39">
                  <c:v>0.72036872335087188</c:v>
                </c:pt>
                <c:pt idx="40">
                  <c:v>-0.4641452619500705</c:v>
                </c:pt>
                <c:pt idx="41">
                  <c:v>-1.0875736752663561</c:v>
                </c:pt>
                <c:pt idx="42">
                  <c:v>1.9360541293176285</c:v>
                </c:pt>
                <c:pt idx="43">
                  <c:v>-5.8916793294484952E-2</c:v>
                </c:pt>
                <c:pt idx="44">
                  <c:v>9.6940310034586405E-2</c:v>
                </c:pt>
                <c:pt idx="45">
                  <c:v>-0.21477389662355631</c:v>
                </c:pt>
                <c:pt idx="46">
                  <c:v>-0.58883094461332763</c:v>
                </c:pt>
                <c:pt idx="47">
                  <c:v>-0.83820230993984179</c:v>
                </c:pt>
                <c:pt idx="48">
                  <c:v>0.47099735802435766</c:v>
                </c:pt>
                <c:pt idx="49">
                  <c:v>-0.65117378594495612</c:v>
                </c:pt>
                <c:pt idx="50">
                  <c:v>0.12811173070040069</c:v>
                </c:pt>
                <c:pt idx="51">
                  <c:v>-0.83820230993984179</c:v>
                </c:pt>
                <c:pt idx="52">
                  <c:v>1.4373113986646002</c:v>
                </c:pt>
                <c:pt idx="53">
                  <c:v>1.5931685019936714</c:v>
                </c:pt>
                <c:pt idx="54">
                  <c:v>-9.0088213960299229E-2</c:v>
                </c:pt>
                <c:pt idx="55">
                  <c:v>-0.27711673795518488</c:v>
                </c:pt>
                <c:pt idx="56">
                  <c:v>-0.71351662727658471</c:v>
                </c:pt>
                <c:pt idx="57">
                  <c:v>-0.43297384128425626</c:v>
                </c:pt>
                <c:pt idx="58">
                  <c:v>-0.43297384128425626</c:v>
                </c:pt>
                <c:pt idx="59">
                  <c:v>-0.27711673795518488</c:v>
                </c:pt>
                <c:pt idx="60">
                  <c:v>1.1255971920064574</c:v>
                </c:pt>
                <c:pt idx="61">
                  <c:v>1.1255971920064574</c:v>
                </c:pt>
                <c:pt idx="62">
                  <c:v>-0.52648810328169904</c:v>
                </c:pt>
                <c:pt idx="63">
                  <c:v>-0.27711673795518488</c:v>
                </c:pt>
                <c:pt idx="64">
                  <c:v>-0.74468804794239896</c:v>
                </c:pt>
                <c:pt idx="65">
                  <c:v>-1.212259357929613</c:v>
                </c:pt>
                <c:pt idx="66">
                  <c:v>-0.90054515127147028</c:v>
                </c:pt>
                <c:pt idx="67">
                  <c:v>-0.96288799260309887</c:v>
                </c:pt>
                <c:pt idx="68">
                  <c:v>-1.212259357929613</c:v>
                </c:pt>
                <c:pt idx="69">
                  <c:v>-1.2434307785954273</c:v>
                </c:pt>
                <c:pt idx="70">
                  <c:v>0.50216877869017196</c:v>
                </c:pt>
                <c:pt idx="71">
                  <c:v>0.12811173070040069</c:v>
                </c:pt>
                <c:pt idx="72">
                  <c:v>0.34631167536110058</c:v>
                </c:pt>
                <c:pt idx="73">
                  <c:v>2.5283111219680996</c:v>
                </c:pt>
                <c:pt idx="74">
                  <c:v>2.0607398119808855</c:v>
                </c:pt>
                <c:pt idx="75">
                  <c:v>2.8400253286262425</c:v>
                </c:pt>
                <c:pt idx="76">
                  <c:v>-0.33945957928681342</c:v>
                </c:pt>
                <c:pt idx="77">
                  <c:v>-0.52648810328169904</c:v>
                </c:pt>
                <c:pt idx="78">
                  <c:v>0.19045457203202923</c:v>
                </c:pt>
                <c:pt idx="79">
                  <c:v>-0.65117378594495612</c:v>
                </c:pt>
                <c:pt idx="80">
                  <c:v>1.5806999337273457</c:v>
                </c:pt>
                <c:pt idx="81">
                  <c:v>-0.58883094461332763</c:v>
                </c:pt>
                <c:pt idx="82">
                  <c:v>-0.58883094461332763</c:v>
                </c:pt>
                <c:pt idx="83">
                  <c:v>0.96974008867738604</c:v>
                </c:pt>
                <c:pt idx="84">
                  <c:v>-0.15243105529192777</c:v>
                </c:pt>
                <c:pt idx="85">
                  <c:v>-0.65117378594495612</c:v>
                </c:pt>
                <c:pt idx="86">
                  <c:v>-0.30828815862099912</c:v>
                </c:pt>
                <c:pt idx="87">
                  <c:v>-0.27711673795518488</c:v>
                </c:pt>
                <c:pt idx="88">
                  <c:v>-0.43297384128425626</c:v>
                </c:pt>
                <c:pt idx="89">
                  <c:v>-0.56389380808067613</c:v>
                </c:pt>
                <c:pt idx="90">
                  <c:v>3.1517395352843853</c:v>
                </c:pt>
                <c:pt idx="91">
                  <c:v>2.0295683913150713</c:v>
                </c:pt>
                <c:pt idx="92">
                  <c:v>-0.27711673795518488</c:v>
                </c:pt>
                <c:pt idx="93">
                  <c:v>1.5619970813278572</c:v>
                </c:pt>
                <c:pt idx="94">
                  <c:v>-0.71351662727658471</c:v>
                </c:pt>
                <c:pt idx="95">
                  <c:v>-0.21477389662355631</c:v>
                </c:pt>
                <c:pt idx="96">
                  <c:v>-0.43297384128425626</c:v>
                </c:pt>
                <c:pt idx="97">
                  <c:v>-0.48284811434955904</c:v>
                </c:pt>
                <c:pt idx="98">
                  <c:v>3.4597468702957865E-2</c:v>
                </c:pt>
                <c:pt idx="99">
                  <c:v>-0.83820230993984179</c:v>
                </c:pt>
                <c:pt idx="100">
                  <c:v>-0.15243105529192777</c:v>
                </c:pt>
                <c:pt idx="101">
                  <c:v>0.8762258266799432</c:v>
                </c:pt>
                <c:pt idx="102">
                  <c:v>0.8762258266799432</c:v>
                </c:pt>
                <c:pt idx="103">
                  <c:v>-1.1187450959321703</c:v>
                </c:pt>
                <c:pt idx="104">
                  <c:v>0.34631167536110058</c:v>
                </c:pt>
                <c:pt idx="105">
                  <c:v>-0.71351662727658471</c:v>
                </c:pt>
                <c:pt idx="106">
                  <c:v>0.96974008867738604</c:v>
                </c:pt>
                <c:pt idx="107">
                  <c:v>-0.33945957928681342</c:v>
                </c:pt>
                <c:pt idx="108">
                  <c:v>0.34631167536110058</c:v>
                </c:pt>
                <c:pt idx="109">
                  <c:v>0.19045457203202923</c:v>
                </c:pt>
                <c:pt idx="110">
                  <c:v>-1.1499165165979846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2D-4844-BA75-13F43FE1CD9F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Лист1!$L$3:$L$113</c:f>
              <c:numCache>
                <c:formatCode>General</c:formatCode>
                <c:ptCount val="111"/>
                <c:pt idx="0">
                  <c:v>0.66569265165952718</c:v>
                </c:pt>
                <c:pt idx="1">
                  <c:v>0.86388277504139799</c:v>
                </c:pt>
                <c:pt idx="2">
                  <c:v>0.83085108781108619</c:v>
                </c:pt>
                <c:pt idx="3">
                  <c:v>0.36840746658672091</c:v>
                </c:pt>
                <c:pt idx="4">
                  <c:v>0.46750252827765632</c:v>
                </c:pt>
                <c:pt idx="5">
                  <c:v>0.40143915381703271</c:v>
                </c:pt>
                <c:pt idx="6">
                  <c:v>0.79781940058077438</c:v>
                </c:pt>
                <c:pt idx="7">
                  <c:v>-0.9198283353954394</c:v>
                </c:pt>
                <c:pt idx="8">
                  <c:v>-0.820733273704504</c:v>
                </c:pt>
                <c:pt idx="9">
                  <c:v>-0.820733273704504</c:v>
                </c:pt>
                <c:pt idx="10">
                  <c:v>-0.62254315032263319</c:v>
                </c:pt>
                <c:pt idx="11">
                  <c:v>-0.55647977586200958</c:v>
                </c:pt>
                <c:pt idx="12">
                  <c:v>-0.52344808863169778</c:v>
                </c:pt>
                <c:pt idx="13">
                  <c:v>-0.52344808863169778</c:v>
                </c:pt>
                <c:pt idx="14">
                  <c:v>-0.49041640140138598</c:v>
                </c:pt>
                <c:pt idx="15">
                  <c:v>-0.49041640140138598</c:v>
                </c:pt>
                <c:pt idx="16">
                  <c:v>-0.12706784186795614</c:v>
                </c:pt>
                <c:pt idx="17">
                  <c:v>-1.0189233970863749</c:v>
                </c:pt>
                <c:pt idx="18">
                  <c:v>-1.1180184587773103</c:v>
                </c:pt>
                <c:pt idx="19">
                  <c:v>-1.1180184587773103</c:v>
                </c:pt>
                <c:pt idx="20">
                  <c:v>-0.9528600226257512</c:v>
                </c:pt>
                <c:pt idx="21">
                  <c:v>-0.39132133971045058</c:v>
                </c:pt>
                <c:pt idx="22">
                  <c:v>-0.25919459078920337</c:v>
                </c:pt>
                <c:pt idx="23">
                  <c:v>-0.39132133971045058</c:v>
                </c:pt>
                <c:pt idx="24">
                  <c:v>-0.39132133971045058</c:v>
                </c:pt>
                <c:pt idx="25">
                  <c:v>-0.39132133971045058</c:v>
                </c:pt>
                <c:pt idx="26">
                  <c:v>-0.39132133971045058</c:v>
                </c:pt>
                <c:pt idx="27">
                  <c:v>-1.0189233970863749</c:v>
                </c:pt>
                <c:pt idx="28">
                  <c:v>-0.78770158647419219</c:v>
                </c:pt>
                <c:pt idx="29">
                  <c:v>-0.9198283353954394</c:v>
                </c:pt>
                <c:pt idx="30">
                  <c:v>-0.820733273704504</c:v>
                </c:pt>
                <c:pt idx="31">
                  <c:v>-0.9528600226257512</c:v>
                </c:pt>
                <c:pt idx="32">
                  <c:v>0.2032490304351619</c:v>
                </c:pt>
                <c:pt idx="33">
                  <c:v>2.3503087004054293</c:v>
                </c:pt>
                <c:pt idx="34">
                  <c:v>-0.72163821201356859</c:v>
                </c:pt>
                <c:pt idx="35">
                  <c:v>1.524516519647634</c:v>
                </c:pt>
                <c:pt idx="36">
                  <c:v>2.9118473833207297</c:v>
                </c:pt>
                <c:pt idx="37">
                  <c:v>1.689674955799193</c:v>
                </c:pt>
                <c:pt idx="38">
                  <c:v>1.3923897707263868</c:v>
                </c:pt>
                <c:pt idx="39">
                  <c:v>1.194199647344516</c:v>
                </c:pt>
                <c:pt idx="40">
                  <c:v>-0.62254315032263319</c:v>
                </c:pt>
                <c:pt idx="41">
                  <c:v>-1.1180184587773103</c:v>
                </c:pt>
                <c:pt idx="42">
                  <c:v>1.9539284536416874</c:v>
                </c:pt>
                <c:pt idx="43">
                  <c:v>0.30234409212609731</c:v>
                </c:pt>
                <c:pt idx="44">
                  <c:v>0.46750252827765632</c:v>
                </c:pt>
                <c:pt idx="45">
                  <c:v>7.1122281513914684E-2</c:v>
                </c:pt>
                <c:pt idx="46">
                  <c:v>-0.78770158647419219</c:v>
                </c:pt>
                <c:pt idx="47">
                  <c:v>-0.62254315032263319</c:v>
                </c:pt>
                <c:pt idx="48">
                  <c:v>0.50053421550796817</c:v>
                </c:pt>
                <c:pt idx="49">
                  <c:v>-0.49041640140138598</c:v>
                </c:pt>
                <c:pt idx="50">
                  <c:v>0.50053421550796817</c:v>
                </c:pt>
                <c:pt idx="51">
                  <c:v>-0.9528600226257512</c:v>
                </c:pt>
                <c:pt idx="52">
                  <c:v>1.524516519647634</c:v>
                </c:pt>
                <c:pt idx="53">
                  <c:v>1.8218017047204402</c:v>
                </c:pt>
                <c:pt idx="54">
                  <c:v>-0.16009952909826794</c:v>
                </c:pt>
                <c:pt idx="55">
                  <c:v>-0.65557483755294499</c:v>
                </c:pt>
                <c:pt idx="56">
                  <c:v>-0.8537649609348158</c:v>
                </c:pt>
                <c:pt idx="57">
                  <c:v>-0.16009952909826794</c:v>
                </c:pt>
                <c:pt idx="58">
                  <c:v>-0.16009952909826794</c:v>
                </c:pt>
                <c:pt idx="59">
                  <c:v>-0.62254315032263319</c:v>
                </c:pt>
                <c:pt idx="60">
                  <c:v>1.2932947090354514</c:v>
                </c:pt>
                <c:pt idx="61">
                  <c:v>1.2932947090354514</c:v>
                </c:pt>
                <c:pt idx="62">
                  <c:v>-0.78770158647419219</c:v>
                </c:pt>
                <c:pt idx="63">
                  <c:v>7.1122281513914684E-2</c:v>
                </c:pt>
                <c:pt idx="64">
                  <c:v>-0.75466989924388039</c:v>
                </c:pt>
                <c:pt idx="65">
                  <c:v>-1.1180184587773103</c:v>
                </c:pt>
                <c:pt idx="66">
                  <c:v>-1.0189233970863749</c:v>
                </c:pt>
                <c:pt idx="67">
                  <c:v>-1.0189233970863749</c:v>
                </c:pt>
                <c:pt idx="68">
                  <c:v>-1.0849867715469985</c:v>
                </c:pt>
                <c:pt idx="69">
                  <c:v>-1.1180184587773103</c:v>
                </c:pt>
                <c:pt idx="70">
                  <c:v>-0.52344808863169778</c:v>
                </c:pt>
                <c:pt idx="71">
                  <c:v>-0.52344808863169778</c:v>
                </c:pt>
                <c:pt idx="72">
                  <c:v>0.83085108781108619</c:v>
                </c:pt>
                <c:pt idx="73">
                  <c:v>1.524516519647634</c:v>
                </c:pt>
                <c:pt idx="74">
                  <c:v>1.524516519647634</c:v>
                </c:pt>
                <c:pt idx="75">
                  <c:v>1.524516519647634</c:v>
                </c:pt>
                <c:pt idx="76">
                  <c:v>-0.55647977586200958</c:v>
                </c:pt>
                <c:pt idx="77">
                  <c:v>-0.68860652478325679</c:v>
                </c:pt>
                <c:pt idx="78">
                  <c:v>-0.12706784186795614</c:v>
                </c:pt>
                <c:pt idx="79">
                  <c:v>-0.8867966481651276</c:v>
                </c:pt>
                <c:pt idx="80">
                  <c:v>-0.25919459078920337</c:v>
                </c:pt>
                <c:pt idx="81">
                  <c:v>-0.68860652478325679</c:v>
                </c:pt>
                <c:pt idx="82">
                  <c:v>-0.68860652478325679</c:v>
                </c:pt>
                <c:pt idx="83">
                  <c:v>1.194199647344516</c:v>
                </c:pt>
                <c:pt idx="84">
                  <c:v>0.79781940058077438</c:v>
                </c:pt>
                <c:pt idx="85">
                  <c:v>-0.78770158647419219</c:v>
                </c:pt>
                <c:pt idx="86">
                  <c:v>5.0589070532910769E-3</c:v>
                </c:pt>
                <c:pt idx="87">
                  <c:v>-0.16009952909826794</c:v>
                </c:pt>
                <c:pt idx="88">
                  <c:v>-0.39132133971045058</c:v>
                </c:pt>
                <c:pt idx="89">
                  <c:v>-0.9198283353954394</c:v>
                </c:pt>
                <c:pt idx="90">
                  <c:v>2.8788156960904181</c:v>
                </c:pt>
                <c:pt idx="91">
                  <c:v>2.3503087004054293</c:v>
                </c:pt>
                <c:pt idx="92">
                  <c:v>-0.22616290355889154</c:v>
                </c:pt>
                <c:pt idx="93">
                  <c:v>2.18515026425387</c:v>
                </c:pt>
                <c:pt idx="94">
                  <c:v>-0.49041640140138598</c:v>
                </c:pt>
                <c:pt idx="95">
                  <c:v>-0.39132133971045058</c:v>
                </c:pt>
                <c:pt idx="96">
                  <c:v>-1.0519550843166867</c:v>
                </c:pt>
                <c:pt idx="97">
                  <c:v>-1.0519550843166867</c:v>
                </c:pt>
                <c:pt idx="98">
                  <c:v>5.0589070532910769E-3</c:v>
                </c:pt>
                <c:pt idx="99">
                  <c:v>-0.62254315032263319</c:v>
                </c:pt>
                <c:pt idx="100">
                  <c:v>0.79781940058077438</c:v>
                </c:pt>
                <c:pt idx="101">
                  <c:v>0.83085108781108619</c:v>
                </c:pt>
                <c:pt idx="102">
                  <c:v>0.83085108781108619</c:v>
                </c:pt>
                <c:pt idx="103">
                  <c:v>-0.9528600226257512</c:v>
                </c:pt>
                <c:pt idx="104">
                  <c:v>0.79781940058077438</c:v>
                </c:pt>
                <c:pt idx="105">
                  <c:v>-0.8867966481651276</c:v>
                </c:pt>
                <c:pt idx="106">
                  <c:v>1.3923897707263868</c:v>
                </c:pt>
                <c:pt idx="107">
                  <c:v>-0.39132133971045058</c:v>
                </c:pt>
                <c:pt idx="108">
                  <c:v>0.79781940058077438</c:v>
                </c:pt>
                <c:pt idx="109">
                  <c:v>0.30234409212609731</c:v>
                </c:pt>
                <c:pt idx="110">
                  <c:v>-1.1180184587773103</c:v>
                </c:pt>
              </c:numCache>
            </c:numRef>
          </c:xVal>
          <c:yVal>
            <c:numRef>
              <c:f>Лист3!$B$29:$B$139</c:f>
              <c:numCache>
                <c:formatCode>General</c:formatCode>
                <c:ptCount val="111"/>
                <c:pt idx="0">
                  <c:v>0.62496212941757256</c:v>
                </c:pt>
                <c:pt idx="1">
                  <c:v>0.67260942869744211</c:v>
                </c:pt>
                <c:pt idx="2">
                  <c:v>0.52865101040833207</c:v>
                </c:pt>
                <c:pt idx="3">
                  <c:v>0.3522165197338803</c:v>
                </c:pt>
                <c:pt idx="4">
                  <c:v>0.28005130896720676</c:v>
                </c:pt>
                <c:pt idx="5">
                  <c:v>0.15370114741021093</c:v>
                </c:pt>
                <c:pt idx="6">
                  <c:v>0.6202430099059163</c:v>
                </c:pt>
                <c:pt idx="7">
                  <c:v>-0.85024533409750502</c:v>
                </c:pt>
                <c:pt idx="8">
                  <c:v>-0.77477425908030384</c:v>
                </c:pt>
                <c:pt idx="9">
                  <c:v>-0.87591529861196138</c:v>
                </c:pt>
                <c:pt idx="10">
                  <c:v>-0.62130352477727868</c:v>
                </c:pt>
                <c:pt idx="11">
                  <c:v>-0.50050459312472229</c:v>
                </c:pt>
                <c:pt idx="12">
                  <c:v>-0.38728592929036854</c:v>
                </c:pt>
                <c:pt idx="13">
                  <c:v>-0.52026666107971176</c:v>
                </c:pt>
                <c:pt idx="14">
                  <c:v>-0.46063991710485264</c:v>
                </c:pt>
                <c:pt idx="15">
                  <c:v>-0.44862974461608884</c:v>
                </c:pt>
                <c:pt idx="16">
                  <c:v>7.925593320533672E-2</c:v>
                </c:pt>
                <c:pt idx="17">
                  <c:v>-0.93711821408343299</c:v>
                </c:pt>
                <c:pt idx="18">
                  <c:v>-0.92032147026908051</c:v>
                </c:pt>
                <c:pt idx="19">
                  <c:v>-1.0292818570808961</c:v>
                </c:pt>
                <c:pt idx="20">
                  <c:v>-0.99839457759522088</c:v>
                </c:pt>
                <c:pt idx="21">
                  <c:v>-0.39045960509918665</c:v>
                </c:pt>
                <c:pt idx="22">
                  <c:v>-0.1710301117928755</c:v>
                </c:pt>
                <c:pt idx="23">
                  <c:v>-0.50829321261110616</c:v>
                </c:pt>
                <c:pt idx="24">
                  <c:v>-0.28414459979313861</c:v>
                </c:pt>
                <c:pt idx="25">
                  <c:v>-0.39933282579929058</c:v>
                </c:pt>
                <c:pt idx="26">
                  <c:v>-0.1803581787557135</c:v>
                </c:pt>
                <c:pt idx="27">
                  <c:v>-0.93711821408343299</c:v>
                </c:pt>
                <c:pt idx="28">
                  <c:v>-0.62084268228816053</c:v>
                </c:pt>
                <c:pt idx="29">
                  <c:v>-0.85228234808323555</c:v>
                </c:pt>
                <c:pt idx="30">
                  <c:v>-0.89993564358948908</c:v>
                </c:pt>
                <c:pt idx="31">
                  <c:v>-0.98902978661222463</c:v>
                </c:pt>
                <c:pt idx="32">
                  <c:v>0.15723148987405669</c:v>
                </c:pt>
                <c:pt idx="33">
                  <c:v>2.1521118932552161</c:v>
                </c:pt>
                <c:pt idx="34">
                  <c:v>-0.78375165561449833</c:v>
                </c:pt>
                <c:pt idx="35">
                  <c:v>1.3680256486994413</c:v>
                </c:pt>
                <c:pt idx="36">
                  <c:v>2.570383326696736</c:v>
                </c:pt>
                <c:pt idx="37">
                  <c:v>1.649235697203487</c:v>
                </c:pt>
                <c:pt idx="38">
                  <c:v>1.1277127622042624</c:v>
                </c:pt>
                <c:pt idx="39">
                  <c:v>1.0685468607185216</c:v>
                </c:pt>
                <c:pt idx="40">
                  <c:v>-0.49614214026809345</c:v>
                </c:pt>
                <c:pt idx="41">
                  <c:v>-1.1397876875955499</c:v>
                </c:pt>
                <c:pt idx="42">
                  <c:v>1.7116273897227692</c:v>
                </c:pt>
                <c:pt idx="43">
                  <c:v>9.4922640373271722E-2</c:v>
                </c:pt>
                <c:pt idx="44">
                  <c:v>0.4390893997198082</c:v>
                </c:pt>
                <c:pt idx="45">
                  <c:v>-1.1251465078527485E-2</c:v>
                </c:pt>
                <c:pt idx="46">
                  <c:v>-0.72980306909997616</c:v>
                </c:pt>
                <c:pt idx="47">
                  <c:v>-0.56438961412211941</c:v>
                </c:pt>
                <c:pt idx="48">
                  <c:v>0.34171506692779641</c:v>
                </c:pt>
                <c:pt idx="49">
                  <c:v>-0.37366286128483417</c:v>
                </c:pt>
                <c:pt idx="50">
                  <c:v>0.47469579871713968</c:v>
                </c:pt>
                <c:pt idx="51">
                  <c:v>-0.73821544731096178</c:v>
                </c:pt>
                <c:pt idx="52">
                  <c:v>1.3675340784165491</c:v>
                </c:pt>
                <c:pt idx="53">
                  <c:v>1.4948432779222254</c:v>
                </c:pt>
                <c:pt idx="54">
                  <c:v>-8.3548864286910524E-2</c:v>
                </c:pt>
                <c:pt idx="55">
                  <c:v>-0.4065871547562398</c:v>
                </c:pt>
                <c:pt idx="56">
                  <c:v>-0.54491076478184119</c:v>
                </c:pt>
                <c:pt idx="57">
                  <c:v>-0.31970764959364184</c:v>
                </c:pt>
                <c:pt idx="58">
                  <c:v>5.6759644499698447E-2</c:v>
                </c:pt>
                <c:pt idx="59">
                  <c:v>-0.57375440510511566</c:v>
                </c:pt>
                <c:pt idx="60">
                  <c:v>1.2712163342306384</c:v>
                </c:pt>
                <c:pt idx="61">
                  <c:v>1.1460549497214532</c:v>
                </c:pt>
                <c:pt idx="62">
                  <c:v>-0.7480410807830763</c:v>
                </c:pt>
                <c:pt idx="63">
                  <c:v>2.9461447879262137E-2</c:v>
                </c:pt>
                <c:pt idx="64">
                  <c:v>-0.83605062259209184</c:v>
                </c:pt>
                <c:pt idx="65">
                  <c:v>-0.99793373510610273</c:v>
                </c:pt>
                <c:pt idx="66">
                  <c:v>-0.80413748229408966</c:v>
                </c:pt>
                <c:pt idx="67">
                  <c:v>-0.82815782727161735</c:v>
                </c:pt>
                <c:pt idx="68">
                  <c:v>-0.97698289010330264</c:v>
                </c:pt>
                <c:pt idx="69">
                  <c:v>-1.0219540800836304</c:v>
                </c:pt>
                <c:pt idx="70">
                  <c:v>-0.37995815229310287</c:v>
                </c:pt>
                <c:pt idx="71">
                  <c:v>-0.41130627426789618</c:v>
                </c:pt>
                <c:pt idx="72">
                  <c:v>0.77417458669805972</c:v>
                </c:pt>
                <c:pt idx="73">
                  <c:v>1.4618389112338332</c:v>
                </c:pt>
                <c:pt idx="74">
                  <c:v>1.4858592562113608</c:v>
                </c:pt>
                <c:pt idx="75">
                  <c:v>1.4618389112338332</c:v>
                </c:pt>
                <c:pt idx="76">
                  <c:v>-0.42338389857059244</c:v>
                </c:pt>
                <c:pt idx="77">
                  <c:v>-0.68364310207183787</c:v>
                </c:pt>
                <c:pt idx="78">
                  <c:v>6.9891142222340469E-2</c:v>
                </c:pt>
                <c:pt idx="79">
                  <c:v>-0.90580681612879776</c:v>
                </c:pt>
                <c:pt idx="80">
                  <c:v>-0.41187129259110489</c:v>
                </c:pt>
                <c:pt idx="81">
                  <c:v>-0.56002716126549079</c:v>
                </c:pt>
                <c:pt idx="82">
                  <c:v>-0.40148064079578166</c:v>
                </c:pt>
                <c:pt idx="83">
                  <c:v>1.0518542927382595</c:v>
                </c:pt>
                <c:pt idx="84">
                  <c:v>0.51441957488276058</c:v>
                </c:pt>
                <c:pt idx="85">
                  <c:v>-0.74649563708023814</c:v>
                </c:pt>
                <c:pt idx="86">
                  <c:v>7.2499799707949883E-2</c:v>
                </c:pt>
                <c:pt idx="87">
                  <c:v>-0.16848890612119843</c:v>
                </c:pt>
                <c:pt idx="88">
                  <c:v>-0.29819178626763299</c:v>
                </c:pt>
                <c:pt idx="89">
                  <c:v>-0.74332196127141992</c:v>
                </c:pt>
                <c:pt idx="90">
                  <c:v>2.6672660892058557</c:v>
                </c:pt>
                <c:pt idx="91">
                  <c:v>1.9624483542007023</c:v>
                </c:pt>
                <c:pt idx="92">
                  <c:v>9.0756211996707789E-3</c:v>
                </c:pt>
                <c:pt idx="93">
                  <c:v>1.9095777437232295</c:v>
                </c:pt>
                <c:pt idx="94">
                  <c:v>-0.3756998752705647</c:v>
                </c:pt>
                <c:pt idx="95">
                  <c:v>-0.30397411956206055</c:v>
                </c:pt>
                <c:pt idx="96">
                  <c:v>-0.97427005678360268</c:v>
                </c:pt>
                <c:pt idx="97">
                  <c:v>-0.9815978337808684</c:v>
                </c:pt>
                <c:pt idx="98">
                  <c:v>0.18300563022260366</c:v>
                </c:pt>
                <c:pt idx="99">
                  <c:v>-0.44077367331577244</c:v>
                </c:pt>
                <c:pt idx="100">
                  <c:v>0.73653117371499766</c:v>
                </c:pt>
                <c:pt idx="101">
                  <c:v>0.74078945073753577</c:v>
                </c:pt>
                <c:pt idx="102">
                  <c:v>0.87531562622971715</c:v>
                </c:pt>
                <c:pt idx="103">
                  <c:v>-0.77160058327148573</c:v>
                </c:pt>
                <c:pt idx="104">
                  <c:v>0.60355044192565432</c:v>
                </c:pt>
                <c:pt idx="105">
                  <c:v>-0.83287694678327362</c:v>
                </c:pt>
                <c:pt idx="106">
                  <c:v>1.387400322205629</c:v>
                </c:pt>
                <c:pt idx="107">
                  <c:v>-0.29819178626763299</c:v>
                </c:pt>
                <c:pt idx="108">
                  <c:v>0.71251082873746996</c:v>
                </c:pt>
                <c:pt idx="109">
                  <c:v>0.31235184371401059</c:v>
                </c:pt>
                <c:pt idx="110">
                  <c:v>-1.1758182050618413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2D-4844-BA75-13F43FE1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6304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production norms performance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6304"/>
        <c:crosses val="autoZero"/>
        <c:crossBetween val="midCat"/>
      </c:valAx>
      <c:valAx>
        <c:axId val="307606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 experience (years)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Лист1!$M$3:$M$113</c:f>
              <c:numCache>
                <c:formatCode>General</c:formatCode>
                <c:ptCount val="111"/>
                <c:pt idx="0">
                  <c:v>1.0517567376375871</c:v>
                </c:pt>
                <c:pt idx="1">
                  <c:v>1.7953554502348619</c:v>
                </c:pt>
                <c:pt idx="2">
                  <c:v>-1.1790394001542375</c:v>
                </c:pt>
                <c:pt idx="3">
                  <c:v>-0.43544068755696258</c:v>
                </c:pt>
                <c:pt idx="4">
                  <c:v>-0.43544068755696258</c:v>
                </c:pt>
                <c:pt idx="5">
                  <c:v>-0.43544068755696258</c:v>
                </c:pt>
                <c:pt idx="6">
                  <c:v>1.0517567376375871</c:v>
                </c:pt>
                <c:pt idx="7">
                  <c:v>1.0517567376375871</c:v>
                </c:pt>
                <c:pt idx="8">
                  <c:v>-0.43544068755696258</c:v>
                </c:pt>
                <c:pt idx="9">
                  <c:v>0.30815802504031226</c:v>
                </c:pt>
                <c:pt idx="10">
                  <c:v>0.30815802504031226</c:v>
                </c:pt>
                <c:pt idx="11">
                  <c:v>-0.43544068755696258</c:v>
                </c:pt>
                <c:pt idx="12">
                  <c:v>-0.43544068755696258</c:v>
                </c:pt>
                <c:pt idx="13">
                  <c:v>-0.43544068755696258</c:v>
                </c:pt>
                <c:pt idx="14">
                  <c:v>-1.1790394001542375</c:v>
                </c:pt>
                <c:pt idx="15">
                  <c:v>-1.1790394001542375</c:v>
                </c:pt>
                <c:pt idx="16">
                  <c:v>1.0517567376375871</c:v>
                </c:pt>
                <c:pt idx="17">
                  <c:v>-1.1790394001542375</c:v>
                </c:pt>
                <c:pt idx="18">
                  <c:v>-0.43544068755696258</c:v>
                </c:pt>
                <c:pt idx="19">
                  <c:v>-0.43544068755696258</c:v>
                </c:pt>
                <c:pt idx="20">
                  <c:v>-1.1790394001542375</c:v>
                </c:pt>
                <c:pt idx="21">
                  <c:v>0.30815802504031226</c:v>
                </c:pt>
                <c:pt idx="22">
                  <c:v>1.7953554502348619</c:v>
                </c:pt>
                <c:pt idx="23">
                  <c:v>0.30815802504031226</c:v>
                </c:pt>
                <c:pt idx="24">
                  <c:v>1.7953554502348619</c:v>
                </c:pt>
                <c:pt idx="25">
                  <c:v>0.30815802504031226</c:v>
                </c:pt>
                <c:pt idx="26">
                  <c:v>-0.43544068755696258</c:v>
                </c:pt>
                <c:pt idx="27">
                  <c:v>-1.1790394001542375</c:v>
                </c:pt>
                <c:pt idx="28">
                  <c:v>0.30815802504031226</c:v>
                </c:pt>
                <c:pt idx="29">
                  <c:v>-1.1790394001542375</c:v>
                </c:pt>
                <c:pt idx="30">
                  <c:v>0.30815802504031226</c:v>
                </c:pt>
                <c:pt idx="31">
                  <c:v>0.30815802504031226</c:v>
                </c:pt>
                <c:pt idx="32">
                  <c:v>-1.1790394001542375</c:v>
                </c:pt>
                <c:pt idx="33">
                  <c:v>1.0517567376375871</c:v>
                </c:pt>
                <c:pt idx="34">
                  <c:v>-0.43544068755696258</c:v>
                </c:pt>
                <c:pt idx="35">
                  <c:v>1.7953554502348619</c:v>
                </c:pt>
                <c:pt idx="36">
                  <c:v>0.30815802504031226</c:v>
                </c:pt>
                <c:pt idx="37">
                  <c:v>-0.43544068755696258</c:v>
                </c:pt>
                <c:pt idx="38">
                  <c:v>0.30815802504031226</c:v>
                </c:pt>
                <c:pt idx="39">
                  <c:v>1.0517567376375871</c:v>
                </c:pt>
                <c:pt idx="40">
                  <c:v>-0.43544068755696258</c:v>
                </c:pt>
                <c:pt idx="41">
                  <c:v>-1.1790394001542375</c:v>
                </c:pt>
                <c:pt idx="42">
                  <c:v>1.7953554502348619</c:v>
                </c:pt>
                <c:pt idx="43">
                  <c:v>1.7953554502348619</c:v>
                </c:pt>
                <c:pt idx="44">
                  <c:v>1.7953554502348619</c:v>
                </c:pt>
                <c:pt idx="45">
                  <c:v>-0.43544068755696258</c:v>
                </c:pt>
                <c:pt idx="46">
                  <c:v>0.30815802504031226</c:v>
                </c:pt>
                <c:pt idx="47">
                  <c:v>0.30815802504031226</c:v>
                </c:pt>
                <c:pt idx="48">
                  <c:v>1.0517567376375871</c:v>
                </c:pt>
                <c:pt idx="49">
                  <c:v>1.0517567376375871</c:v>
                </c:pt>
                <c:pt idx="50">
                  <c:v>1.0517567376375871</c:v>
                </c:pt>
                <c:pt idx="51">
                  <c:v>0.30815802504031226</c:v>
                </c:pt>
                <c:pt idx="52">
                  <c:v>0.30815802504031226</c:v>
                </c:pt>
                <c:pt idx="53">
                  <c:v>-1.1790394001542375</c:v>
                </c:pt>
                <c:pt idx="54">
                  <c:v>0.30815802504031226</c:v>
                </c:pt>
                <c:pt idx="55">
                  <c:v>-0.43544068755696258</c:v>
                </c:pt>
                <c:pt idx="56">
                  <c:v>-1.1790394001542375</c:v>
                </c:pt>
                <c:pt idx="57">
                  <c:v>-1.1790394001542375</c:v>
                </c:pt>
                <c:pt idx="58">
                  <c:v>-0.43544068755696258</c:v>
                </c:pt>
                <c:pt idx="59">
                  <c:v>-1.1790394001542375</c:v>
                </c:pt>
                <c:pt idx="60">
                  <c:v>1.0517567376375871</c:v>
                </c:pt>
                <c:pt idx="61">
                  <c:v>1.7953554502348619</c:v>
                </c:pt>
                <c:pt idx="62">
                  <c:v>-1.1790394001542375</c:v>
                </c:pt>
                <c:pt idx="63">
                  <c:v>0.30815802504031226</c:v>
                </c:pt>
                <c:pt idx="64">
                  <c:v>-0.43544068755696258</c:v>
                </c:pt>
                <c:pt idx="65">
                  <c:v>-1.1790394001542375</c:v>
                </c:pt>
                <c:pt idx="66">
                  <c:v>-1.1790394001542375</c:v>
                </c:pt>
                <c:pt idx="67">
                  <c:v>-1.1790394001542375</c:v>
                </c:pt>
                <c:pt idx="68">
                  <c:v>-0.43544068755696258</c:v>
                </c:pt>
                <c:pt idx="69">
                  <c:v>-1.1790394001542375</c:v>
                </c:pt>
                <c:pt idx="70">
                  <c:v>-1.1790394001542375</c:v>
                </c:pt>
                <c:pt idx="71">
                  <c:v>-0.43544068755696258</c:v>
                </c:pt>
                <c:pt idx="72">
                  <c:v>1.7953554502348619</c:v>
                </c:pt>
                <c:pt idx="73">
                  <c:v>1.7953554502348619</c:v>
                </c:pt>
                <c:pt idx="74">
                  <c:v>1.7953554502348619</c:v>
                </c:pt>
                <c:pt idx="75">
                  <c:v>1.7953554502348619</c:v>
                </c:pt>
                <c:pt idx="76">
                  <c:v>-1.1790394001542375</c:v>
                </c:pt>
                <c:pt idx="77">
                  <c:v>1.7953554502348619</c:v>
                </c:pt>
                <c:pt idx="78">
                  <c:v>-0.43544068755696258</c:v>
                </c:pt>
                <c:pt idx="79">
                  <c:v>-1.1790394001542375</c:v>
                </c:pt>
                <c:pt idx="80">
                  <c:v>-0.43544068755696258</c:v>
                </c:pt>
                <c:pt idx="81">
                  <c:v>0.30815802504031226</c:v>
                </c:pt>
                <c:pt idx="82">
                  <c:v>1.0517567376375871</c:v>
                </c:pt>
                <c:pt idx="83">
                  <c:v>0.30815802504031226</c:v>
                </c:pt>
                <c:pt idx="84">
                  <c:v>1.0517567376375871</c:v>
                </c:pt>
                <c:pt idx="85">
                  <c:v>-0.43544068755696258</c:v>
                </c:pt>
                <c:pt idx="86">
                  <c:v>-1.1790394001542375</c:v>
                </c:pt>
                <c:pt idx="87">
                  <c:v>0.30815802504031226</c:v>
                </c:pt>
                <c:pt idx="88">
                  <c:v>-0.43544068755696258</c:v>
                </c:pt>
                <c:pt idx="89">
                  <c:v>-1.1790394001542375</c:v>
                </c:pt>
                <c:pt idx="90">
                  <c:v>-0.43544068755696258</c:v>
                </c:pt>
                <c:pt idx="91">
                  <c:v>-1.1790394001542375</c:v>
                </c:pt>
                <c:pt idx="92">
                  <c:v>-0.43544068755696258</c:v>
                </c:pt>
                <c:pt idx="93">
                  <c:v>1.7953554502348619</c:v>
                </c:pt>
                <c:pt idx="94">
                  <c:v>-1.1790394001542375</c:v>
                </c:pt>
                <c:pt idx="95">
                  <c:v>1.0517567376375871</c:v>
                </c:pt>
                <c:pt idx="96">
                  <c:v>-1.1790394001542375</c:v>
                </c:pt>
                <c:pt idx="97">
                  <c:v>-0.43544068755696258</c:v>
                </c:pt>
                <c:pt idx="98">
                  <c:v>-0.43544068755696258</c:v>
                </c:pt>
                <c:pt idx="99">
                  <c:v>-1.1790394001542375</c:v>
                </c:pt>
                <c:pt idx="100">
                  <c:v>0.30815802504031226</c:v>
                </c:pt>
                <c:pt idx="101">
                  <c:v>0.30815802504031226</c:v>
                </c:pt>
                <c:pt idx="102">
                  <c:v>1.0517567376375871</c:v>
                </c:pt>
                <c:pt idx="103">
                  <c:v>-1.1790394001542375</c:v>
                </c:pt>
                <c:pt idx="104">
                  <c:v>0.30815802504031226</c:v>
                </c:pt>
                <c:pt idx="105">
                  <c:v>-1.1790394001542375</c:v>
                </c:pt>
                <c:pt idx="106">
                  <c:v>0.30815802504031226</c:v>
                </c:pt>
                <c:pt idx="107">
                  <c:v>-0.43544068755696258</c:v>
                </c:pt>
                <c:pt idx="108">
                  <c:v>0.30815802504031226</c:v>
                </c:pt>
                <c:pt idx="109">
                  <c:v>0.30815802504031226</c:v>
                </c:pt>
                <c:pt idx="110">
                  <c:v>-1.1790394001542375</c:v>
                </c:pt>
              </c:numCache>
            </c:numRef>
          </c:xVal>
          <c:yVal>
            <c:numRef>
              <c:f>Лист1!$K$3:$K$113</c:f>
              <c:numCache>
                <c:formatCode>General</c:formatCode>
                <c:ptCount val="111"/>
                <c:pt idx="0">
                  <c:v>0.65802588201924328</c:v>
                </c:pt>
                <c:pt idx="1">
                  <c:v>0.34631167536110058</c:v>
                </c:pt>
                <c:pt idx="2">
                  <c:v>0.40865451669272912</c:v>
                </c:pt>
                <c:pt idx="3">
                  <c:v>0.34631167536110058</c:v>
                </c:pt>
                <c:pt idx="4">
                  <c:v>-0.1212596346261135</c:v>
                </c:pt>
                <c:pt idx="5">
                  <c:v>-0.58883094461332763</c:v>
                </c:pt>
                <c:pt idx="6">
                  <c:v>0.19045457203202923</c:v>
                </c:pt>
                <c:pt idx="7">
                  <c:v>-1.0875736752663561</c:v>
                </c:pt>
                <c:pt idx="8">
                  <c:v>-0.90054515127147028</c:v>
                </c:pt>
                <c:pt idx="9">
                  <c:v>-0.83820230993984179</c:v>
                </c:pt>
                <c:pt idx="10">
                  <c:v>-0.58883094461332763</c:v>
                </c:pt>
                <c:pt idx="11">
                  <c:v>-0.83820230993984179</c:v>
                </c:pt>
                <c:pt idx="12">
                  <c:v>-0.7758594686082132</c:v>
                </c:pt>
                <c:pt idx="13">
                  <c:v>-0.80703088927402755</c:v>
                </c:pt>
                <c:pt idx="14">
                  <c:v>-0.68234520661077036</c:v>
                </c:pt>
                <c:pt idx="15">
                  <c:v>-0.80703088927402755</c:v>
                </c:pt>
                <c:pt idx="16">
                  <c:v>0.90739724734575755</c:v>
                </c:pt>
                <c:pt idx="17">
                  <c:v>-1.0252308339347274</c:v>
                </c:pt>
                <c:pt idx="18">
                  <c:v>-1.3681164612586845</c:v>
                </c:pt>
                <c:pt idx="19">
                  <c:v>-1.2434307785954273</c:v>
                </c:pt>
                <c:pt idx="20">
                  <c:v>-1.212259357929613</c:v>
                </c:pt>
                <c:pt idx="21">
                  <c:v>-0.43297384128425626</c:v>
                </c:pt>
                <c:pt idx="22">
                  <c:v>-0.27711673795518488</c:v>
                </c:pt>
                <c:pt idx="23">
                  <c:v>-0.58883094461332763</c:v>
                </c:pt>
                <c:pt idx="24">
                  <c:v>3.4597468702957865E-2</c:v>
                </c:pt>
                <c:pt idx="25">
                  <c:v>-0.43297384128425626</c:v>
                </c:pt>
                <c:pt idx="26">
                  <c:v>-0.1212596346261135</c:v>
                </c:pt>
                <c:pt idx="27">
                  <c:v>-1.2746021992612415</c:v>
                </c:pt>
                <c:pt idx="28">
                  <c:v>0.15928315136621496</c:v>
                </c:pt>
                <c:pt idx="29">
                  <c:v>-0.83820230993984179</c:v>
                </c:pt>
                <c:pt idx="30">
                  <c:v>-0.71351662727658471</c:v>
                </c:pt>
                <c:pt idx="31">
                  <c:v>-0.90054515127147028</c:v>
                </c:pt>
                <c:pt idx="32">
                  <c:v>1.4061399779987858</c:v>
                </c:pt>
                <c:pt idx="33">
                  <c:v>1.7801970259885571</c:v>
                </c:pt>
                <c:pt idx="34">
                  <c:v>0.5333401993559862</c:v>
                </c:pt>
                <c:pt idx="35">
                  <c:v>1.2814542953355288</c:v>
                </c:pt>
                <c:pt idx="36">
                  <c:v>2.2165969153099572</c:v>
                </c:pt>
                <c:pt idx="37">
                  <c:v>1.998396970649257</c:v>
                </c:pt>
                <c:pt idx="38">
                  <c:v>1.5931685019936714</c:v>
                </c:pt>
                <c:pt idx="39">
                  <c:v>0.72036872335087188</c:v>
                </c:pt>
                <c:pt idx="40">
                  <c:v>-0.4641452619500705</c:v>
                </c:pt>
                <c:pt idx="41">
                  <c:v>-1.0875736752663561</c:v>
                </c:pt>
                <c:pt idx="42">
                  <c:v>1.9360541293176285</c:v>
                </c:pt>
                <c:pt idx="43">
                  <c:v>-5.8916793294484952E-2</c:v>
                </c:pt>
                <c:pt idx="44">
                  <c:v>9.6940310034586405E-2</c:v>
                </c:pt>
                <c:pt idx="45">
                  <c:v>-0.21477389662355631</c:v>
                </c:pt>
                <c:pt idx="46">
                  <c:v>-0.58883094461332763</c:v>
                </c:pt>
                <c:pt idx="47">
                  <c:v>-0.83820230993984179</c:v>
                </c:pt>
                <c:pt idx="48">
                  <c:v>0.47099735802435766</c:v>
                </c:pt>
                <c:pt idx="49">
                  <c:v>-0.65117378594495612</c:v>
                </c:pt>
                <c:pt idx="50">
                  <c:v>0.12811173070040069</c:v>
                </c:pt>
                <c:pt idx="51">
                  <c:v>-0.83820230993984179</c:v>
                </c:pt>
                <c:pt idx="52">
                  <c:v>1.4373113986646002</c:v>
                </c:pt>
                <c:pt idx="53">
                  <c:v>1.5931685019936714</c:v>
                </c:pt>
                <c:pt idx="54">
                  <c:v>-9.0088213960299229E-2</c:v>
                </c:pt>
                <c:pt idx="55">
                  <c:v>-0.27711673795518488</c:v>
                </c:pt>
                <c:pt idx="56">
                  <c:v>-0.71351662727658471</c:v>
                </c:pt>
                <c:pt idx="57">
                  <c:v>-0.43297384128425626</c:v>
                </c:pt>
                <c:pt idx="58">
                  <c:v>-0.43297384128425626</c:v>
                </c:pt>
                <c:pt idx="59">
                  <c:v>-0.27711673795518488</c:v>
                </c:pt>
                <c:pt idx="60">
                  <c:v>1.1255971920064574</c:v>
                </c:pt>
                <c:pt idx="61">
                  <c:v>1.1255971920064574</c:v>
                </c:pt>
                <c:pt idx="62">
                  <c:v>-0.52648810328169904</c:v>
                </c:pt>
                <c:pt idx="63">
                  <c:v>-0.27711673795518488</c:v>
                </c:pt>
                <c:pt idx="64">
                  <c:v>-0.74468804794239896</c:v>
                </c:pt>
                <c:pt idx="65">
                  <c:v>-1.212259357929613</c:v>
                </c:pt>
                <c:pt idx="66">
                  <c:v>-0.90054515127147028</c:v>
                </c:pt>
                <c:pt idx="67">
                  <c:v>-0.96288799260309887</c:v>
                </c:pt>
                <c:pt idx="68">
                  <c:v>-1.212259357929613</c:v>
                </c:pt>
                <c:pt idx="69">
                  <c:v>-1.2434307785954273</c:v>
                </c:pt>
                <c:pt idx="70">
                  <c:v>0.50216877869017196</c:v>
                </c:pt>
                <c:pt idx="71">
                  <c:v>0.12811173070040069</c:v>
                </c:pt>
                <c:pt idx="72">
                  <c:v>0.34631167536110058</c:v>
                </c:pt>
                <c:pt idx="73">
                  <c:v>2.5283111219680996</c:v>
                </c:pt>
                <c:pt idx="74">
                  <c:v>2.0607398119808855</c:v>
                </c:pt>
                <c:pt idx="75">
                  <c:v>2.8400253286262425</c:v>
                </c:pt>
                <c:pt idx="76">
                  <c:v>-0.33945957928681342</c:v>
                </c:pt>
                <c:pt idx="77">
                  <c:v>-0.52648810328169904</c:v>
                </c:pt>
                <c:pt idx="78">
                  <c:v>0.19045457203202923</c:v>
                </c:pt>
                <c:pt idx="79">
                  <c:v>-0.65117378594495612</c:v>
                </c:pt>
                <c:pt idx="80">
                  <c:v>1.5806999337273457</c:v>
                </c:pt>
                <c:pt idx="81">
                  <c:v>-0.58883094461332763</c:v>
                </c:pt>
                <c:pt idx="82">
                  <c:v>-0.58883094461332763</c:v>
                </c:pt>
                <c:pt idx="83">
                  <c:v>0.96974008867738604</c:v>
                </c:pt>
                <c:pt idx="84">
                  <c:v>-0.15243105529192777</c:v>
                </c:pt>
                <c:pt idx="85">
                  <c:v>-0.65117378594495612</c:v>
                </c:pt>
                <c:pt idx="86">
                  <c:v>-0.30828815862099912</c:v>
                </c:pt>
                <c:pt idx="87">
                  <c:v>-0.27711673795518488</c:v>
                </c:pt>
                <c:pt idx="88">
                  <c:v>-0.43297384128425626</c:v>
                </c:pt>
                <c:pt idx="89">
                  <c:v>-0.56389380808067613</c:v>
                </c:pt>
                <c:pt idx="90">
                  <c:v>3.1517395352843853</c:v>
                </c:pt>
                <c:pt idx="91">
                  <c:v>2.0295683913150713</c:v>
                </c:pt>
                <c:pt idx="92">
                  <c:v>-0.27711673795518488</c:v>
                </c:pt>
                <c:pt idx="93">
                  <c:v>1.5619970813278572</c:v>
                </c:pt>
                <c:pt idx="94">
                  <c:v>-0.71351662727658471</c:v>
                </c:pt>
                <c:pt idx="95">
                  <c:v>-0.21477389662355631</c:v>
                </c:pt>
                <c:pt idx="96">
                  <c:v>-0.43297384128425626</c:v>
                </c:pt>
                <c:pt idx="97">
                  <c:v>-0.48284811434955904</c:v>
                </c:pt>
                <c:pt idx="98">
                  <c:v>3.4597468702957865E-2</c:v>
                </c:pt>
                <c:pt idx="99">
                  <c:v>-0.83820230993984179</c:v>
                </c:pt>
                <c:pt idx="100">
                  <c:v>-0.15243105529192777</c:v>
                </c:pt>
                <c:pt idx="101">
                  <c:v>0.8762258266799432</c:v>
                </c:pt>
                <c:pt idx="102">
                  <c:v>0.8762258266799432</c:v>
                </c:pt>
                <c:pt idx="103">
                  <c:v>-1.1187450959321703</c:v>
                </c:pt>
                <c:pt idx="104">
                  <c:v>0.34631167536110058</c:v>
                </c:pt>
                <c:pt idx="105">
                  <c:v>-0.71351662727658471</c:v>
                </c:pt>
                <c:pt idx="106">
                  <c:v>0.96974008867738604</c:v>
                </c:pt>
                <c:pt idx="107">
                  <c:v>-0.33945957928681342</c:v>
                </c:pt>
                <c:pt idx="108">
                  <c:v>0.34631167536110058</c:v>
                </c:pt>
                <c:pt idx="109">
                  <c:v>0.19045457203202923</c:v>
                </c:pt>
                <c:pt idx="110">
                  <c:v>-1.1499165165979846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37-40BC-A309-4634CD51654E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Лист1!$M$3:$M$113</c:f>
              <c:numCache>
                <c:formatCode>General</c:formatCode>
                <c:ptCount val="111"/>
                <c:pt idx="0">
                  <c:v>1.0517567376375871</c:v>
                </c:pt>
                <c:pt idx="1">
                  <c:v>1.7953554502348619</c:v>
                </c:pt>
                <c:pt idx="2">
                  <c:v>-1.1790394001542375</c:v>
                </c:pt>
                <c:pt idx="3">
                  <c:v>-0.43544068755696258</c:v>
                </c:pt>
                <c:pt idx="4">
                  <c:v>-0.43544068755696258</c:v>
                </c:pt>
                <c:pt idx="5">
                  <c:v>-0.43544068755696258</c:v>
                </c:pt>
                <c:pt idx="6">
                  <c:v>1.0517567376375871</c:v>
                </c:pt>
                <c:pt idx="7">
                  <c:v>1.0517567376375871</c:v>
                </c:pt>
                <c:pt idx="8">
                  <c:v>-0.43544068755696258</c:v>
                </c:pt>
                <c:pt idx="9">
                  <c:v>0.30815802504031226</c:v>
                </c:pt>
                <c:pt idx="10">
                  <c:v>0.30815802504031226</c:v>
                </c:pt>
                <c:pt idx="11">
                  <c:v>-0.43544068755696258</c:v>
                </c:pt>
                <c:pt idx="12">
                  <c:v>-0.43544068755696258</c:v>
                </c:pt>
                <c:pt idx="13">
                  <c:v>-0.43544068755696258</c:v>
                </c:pt>
                <c:pt idx="14">
                  <c:v>-1.1790394001542375</c:v>
                </c:pt>
                <c:pt idx="15">
                  <c:v>-1.1790394001542375</c:v>
                </c:pt>
                <c:pt idx="16">
                  <c:v>1.0517567376375871</c:v>
                </c:pt>
                <c:pt idx="17">
                  <c:v>-1.1790394001542375</c:v>
                </c:pt>
                <c:pt idx="18">
                  <c:v>-0.43544068755696258</c:v>
                </c:pt>
                <c:pt idx="19">
                  <c:v>-0.43544068755696258</c:v>
                </c:pt>
                <c:pt idx="20">
                  <c:v>-1.1790394001542375</c:v>
                </c:pt>
                <c:pt idx="21">
                  <c:v>0.30815802504031226</c:v>
                </c:pt>
                <c:pt idx="22">
                  <c:v>1.7953554502348619</c:v>
                </c:pt>
                <c:pt idx="23">
                  <c:v>0.30815802504031226</c:v>
                </c:pt>
                <c:pt idx="24">
                  <c:v>1.7953554502348619</c:v>
                </c:pt>
                <c:pt idx="25">
                  <c:v>0.30815802504031226</c:v>
                </c:pt>
                <c:pt idx="26">
                  <c:v>-0.43544068755696258</c:v>
                </c:pt>
                <c:pt idx="27">
                  <c:v>-1.1790394001542375</c:v>
                </c:pt>
                <c:pt idx="28">
                  <c:v>0.30815802504031226</c:v>
                </c:pt>
                <c:pt idx="29">
                  <c:v>-1.1790394001542375</c:v>
                </c:pt>
                <c:pt idx="30">
                  <c:v>0.30815802504031226</c:v>
                </c:pt>
                <c:pt idx="31">
                  <c:v>0.30815802504031226</c:v>
                </c:pt>
                <c:pt idx="32">
                  <c:v>-1.1790394001542375</c:v>
                </c:pt>
                <c:pt idx="33">
                  <c:v>1.0517567376375871</c:v>
                </c:pt>
                <c:pt idx="34">
                  <c:v>-0.43544068755696258</c:v>
                </c:pt>
                <c:pt idx="35">
                  <c:v>1.7953554502348619</c:v>
                </c:pt>
                <c:pt idx="36">
                  <c:v>0.30815802504031226</c:v>
                </c:pt>
                <c:pt idx="37">
                  <c:v>-0.43544068755696258</c:v>
                </c:pt>
                <c:pt idx="38">
                  <c:v>0.30815802504031226</c:v>
                </c:pt>
                <c:pt idx="39">
                  <c:v>1.0517567376375871</c:v>
                </c:pt>
                <c:pt idx="40">
                  <c:v>-0.43544068755696258</c:v>
                </c:pt>
                <c:pt idx="41">
                  <c:v>-1.1790394001542375</c:v>
                </c:pt>
                <c:pt idx="42">
                  <c:v>1.7953554502348619</c:v>
                </c:pt>
                <c:pt idx="43">
                  <c:v>1.7953554502348619</c:v>
                </c:pt>
                <c:pt idx="44">
                  <c:v>1.7953554502348619</c:v>
                </c:pt>
                <c:pt idx="45">
                  <c:v>-0.43544068755696258</c:v>
                </c:pt>
                <c:pt idx="46">
                  <c:v>0.30815802504031226</c:v>
                </c:pt>
                <c:pt idx="47">
                  <c:v>0.30815802504031226</c:v>
                </c:pt>
                <c:pt idx="48">
                  <c:v>1.0517567376375871</c:v>
                </c:pt>
                <c:pt idx="49">
                  <c:v>1.0517567376375871</c:v>
                </c:pt>
                <c:pt idx="50">
                  <c:v>1.0517567376375871</c:v>
                </c:pt>
                <c:pt idx="51">
                  <c:v>0.30815802504031226</c:v>
                </c:pt>
                <c:pt idx="52">
                  <c:v>0.30815802504031226</c:v>
                </c:pt>
                <c:pt idx="53">
                  <c:v>-1.1790394001542375</c:v>
                </c:pt>
                <c:pt idx="54">
                  <c:v>0.30815802504031226</c:v>
                </c:pt>
                <c:pt idx="55">
                  <c:v>-0.43544068755696258</c:v>
                </c:pt>
                <c:pt idx="56">
                  <c:v>-1.1790394001542375</c:v>
                </c:pt>
                <c:pt idx="57">
                  <c:v>-1.1790394001542375</c:v>
                </c:pt>
                <c:pt idx="58">
                  <c:v>-0.43544068755696258</c:v>
                </c:pt>
                <c:pt idx="59">
                  <c:v>-1.1790394001542375</c:v>
                </c:pt>
                <c:pt idx="60">
                  <c:v>1.0517567376375871</c:v>
                </c:pt>
                <c:pt idx="61">
                  <c:v>1.7953554502348619</c:v>
                </c:pt>
                <c:pt idx="62">
                  <c:v>-1.1790394001542375</c:v>
                </c:pt>
                <c:pt idx="63">
                  <c:v>0.30815802504031226</c:v>
                </c:pt>
                <c:pt idx="64">
                  <c:v>-0.43544068755696258</c:v>
                </c:pt>
                <c:pt idx="65">
                  <c:v>-1.1790394001542375</c:v>
                </c:pt>
                <c:pt idx="66">
                  <c:v>-1.1790394001542375</c:v>
                </c:pt>
                <c:pt idx="67">
                  <c:v>-1.1790394001542375</c:v>
                </c:pt>
                <c:pt idx="68">
                  <c:v>-0.43544068755696258</c:v>
                </c:pt>
                <c:pt idx="69">
                  <c:v>-1.1790394001542375</c:v>
                </c:pt>
                <c:pt idx="70">
                  <c:v>-1.1790394001542375</c:v>
                </c:pt>
                <c:pt idx="71">
                  <c:v>-0.43544068755696258</c:v>
                </c:pt>
                <c:pt idx="72">
                  <c:v>1.7953554502348619</c:v>
                </c:pt>
                <c:pt idx="73">
                  <c:v>1.7953554502348619</c:v>
                </c:pt>
                <c:pt idx="74">
                  <c:v>1.7953554502348619</c:v>
                </c:pt>
                <c:pt idx="75">
                  <c:v>1.7953554502348619</c:v>
                </c:pt>
                <c:pt idx="76">
                  <c:v>-1.1790394001542375</c:v>
                </c:pt>
                <c:pt idx="77">
                  <c:v>1.7953554502348619</c:v>
                </c:pt>
                <c:pt idx="78">
                  <c:v>-0.43544068755696258</c:v>
                </c:pt>
                <c:pt idx="79">
                  <c:v>-1.1790394001542375</c:v>
                </c:pt>
                <c:pt idx="80">
                  <c:v>-0.43544068755696258</c:v>
                </c:pt>
                <c:pt idx="81">
                  <c:v>0.30815802504031226</c:v>
                </c:pt>
                <c:pt idx="82">
                  <c:v>1.0517567376375871</c:v>
                </c:pt>
                <c:pt idx="83">
                  <c:v>0.30815802504031226</c:v>
                </c:pt>
                <c:pt idx="84">
                  <c:v>1.0517567376375871</c:v>
                </c:pt>
                <c:pt idx="85">
                  <c:v>-0.43544068755696258</c:v>
                </c:pt>
                <c:pt idx="86">
                  <c:v>-1.1790394001542375</c:v>
                </c:pt>
                <c:pt idx="87">
                  <c:v>0.30815802504031226</c:v>
                </c:pt>
                <c:pt idx="88">
                  <c:v>-0.43544068755696258</c:v>
                </c:pt>
                <c:pt idx="89">
                  <c:v>-1.1790394001542375</c:v>
                </c:pt>
                <c:pt idx="90">
                  <c:v>-0.43544068755696258</c:v>
                </c:pt>
                <c:pt idx="91">
                  <c:v>-1.1790394001542375</c:v>
                </c:pt>
                <c:pt idx="92">
                  <c:v>-0.43544068755696258</c:v>
                </c:pt>
                <c:pt idx="93">
                  <c:v>1.7953554502348619</c:v>
                </c:pt>
                <c:pt idx="94">
                  <c:v>-1.1790394001542375</c:v>
                </c:pt>
                <c:pt idx="95">
                  <c:v>1.0517567376375871</c:v>
                </c:pt>
                <c:pt idx="96">
                  <c:v>-1.1790394001542375</c:v>
                </c:pt>
                <c:pt idx="97">
                  <c:v>-0.43544068755696258</c:v>
                </c:pt>
                <c:pt idx="98">
                  <c:v>-0.43544068755696258</c:v>
                </c:pt>
                <c:pt idx="99">
                  <c:v>-1.1790394001542375</c:v>
                </c:pt>
                <c:pt idx="100">
                  <c:v>0.30815802504031226</c:v>
                </c:pt>
                <c:pt idx="101">
                  <c:v>0.30815802504031226</c:v>
                </c:pt>
                <c:pt idx="102">
                  <c:v>1.0517567376375871</c:v>
                </c:pt>
                <c:pt idx="103">
                  <c:v>-1.1790394001542375</c:v>
                </c:pt>
                <c:pt idx="104">
                  <c:v>0.30815802504031226</c:v>
                </c:pt>
                <c:pt idx="105">
                  <c:v>-1.1790394001542375</c:v>
                </c:pt>
                <c:pt idx="106">
                  <c:v>0.30815802504031226</c:v>
                </c:pt>
                <c:pt idx="107">
                  <c:v>-0.43544068755696258</c:v>
                </c:pt>
                <c:pt idx="108">
                  <c:v>0.30815802504031226</c:v>
                </c:pt>
                <c:pt idx="109">
                  <c:v>0.30815802504031226</c:v>
                </c:pt>
                <c:pt idx="110">
                  <c:v>-1.1790394001542375</c:v>
                </c:pt>
              </c:numCache>
            </c:numRef>
          </c:xVal>
          <c:yVal>
            <c:numRef>
              <c:f>Лист3!$B$29:$B$139</c:f>
              <c:numCache>
                <c:formatCode>General</c:formatCode>
                <c:ptCount val="111"/>
                <c:pt idx="0">
                  <c:v>0.62496212941757256</c:v>
                </c:pt>
                <c:pt idx="1">
                  <c:v>0.67260942869744211</c:v>
                </c:pt>
                <c:pt idx="2">
                  <c:v>0.52865101040833207</c:v>
                </c:pt>
                <c:pt idx="3">
                  <c:v>0.3522165197338803</c:v>
                </c:pt>
                <c:pt idx="4">
                  <c:v>0.28005130896720676</c:v>
                </c:pt>
                <c:pt idx="5">
                  <c:v>0.15370114741021093</c:v>
                </c:pt>
                <c:pt idx="6">
                  <c:v>0.6202430099059163</c:v>
                </c:pt>
                <c:pt idx="7">
                  <c:v>-0.85024533409750502</c:v>
                </c:pt>
                <c:pt idx="8">
                  <c:v>-0.77477425908030384</c:v>
                </c:pt>
                <c:pt idx="9">
                  <c:v>-0.87591529861196138</c:v>
                </c:pt>
                <c:pt idx="10">
                  <c:v>-0.62130352477727868</c:v>
                </c:pt>
                <c:pt idx="11">
                  <c:v>-0.50050459312472229</c:v>
                </c:pt>
                <c:pt idx="12">
                  <c:v>-0.38728592929036854</c:v>
                </c:pt>
                <c:pt idx="13">
                  <c:v>-0.52026666107971176</c:v>
                </c:pt>
                <c:pt idx="14">
                  <c:v>-0.46063991710485264</c:v>
                </c:pt>
                <c:pt idx="15">
                  <c:v>-0.44862974461608884</c:v>
                </c:pt>
                <c:pt idx="16">
                  <c:v>7.925593320533672E-2</c:v>
                </c:pt>
                <c:pt idx="17">
                  <c:v>-0.93711821408343299</c:v>
                </c:pt>
                <c:pt idx="18">
                  <c:v>-0.92032147026908051</c:v>
                </c:pt>
                <c:pt idx="19">
                  <c:v>-1.0292818570808961</c:v>
                </c:pt>
                <c:pt idx="20">
                  <c:v>-0.99839457759522088</c:v>
                </c:pt>
                <c:pt idx="21">
                  <c:v>-0.39045960509918665</c:v>
                </c:pt>
                <c:pt idx="22">
                  <c:v>-0.1710301117928755</c:v>
                </c:pt>
                <c:pt idx="23">
                  <c:v>-0.50829321261110616</c:v>
                </c:pt>
                <c:pt idx="24">
                  <c:v>-0.28414459979313861</c:v>
                </c:pt>
                <c:pt idx="25">
                  <c:v>-0.39933282579929058</c:v>
                </c:pt>
                <c:pt idx="26">
                  <c:v>-0.1803581787557135</c:v>
                </c:pt>
                <c:pt idx="27">
                  <c:v>-0.93711821408343299</c:v>
                </c:pt>
                <c:pt idx="28">
                  <c:v>-0.62084268228816053</c:v>
                </c:pt>
                <c:pt idx="29">
                  <c:v>-0.85228234808323555</c:v>
                </c:pt>
                <c:pt idx="30">
                  <c:v>-0.89993564358948908</c:v>
                </c:pt>
                <c:pt idx="31">
                  <c:v>-0.98902978661222463</c:v>
                </c:pt>
                <c:pt idx="32">
                  <c:v>0.15723148987405669</c:v>
                </c:pt>
                <c:pt idx="33">
                  <c:v>2.1521118932552161</c:v>
                </c:pt>
                <c:pt idx="34">
                  <c:v>-0.78375165561449833</c:v>
                </c:pt>
                <c:pt idx="35">
                  <c:v>1.3680256486994413</c:v>
                </c:pt>
                <c:pt idx="36">
                  <c:v>2.570383326696736</c:v>
                </c:pt>
                <c:pt idx="37">
                  <c:v>1.649235697203487</c:v>
                </c:pt>
                <c:pt idx="38">
                  <c:v>1.1277127622042624</c:v>
                </c:pt>
                <c:pt idx="39">
                  <c:v>1.0685468607185216</c:v>
                </c:pt>
                <c:pt idx="40">
                  <c:v>-0.49614214026809345</c:v>
                </c:pt>
                <c:pt idx="41">
                  <c:v>-1.1397876875955499</c:v>
                </c:pt>
                <c:pt idx="42">
                  <c:v>1.7116273897227692</c:v>
                </c:pt>
                <c:pt idx="43">
                  <c:v>9.4922640373271722E-2</c:v>
                </c:pt>
                <c:pt idx="44">
                  <c:v>0.4390893997198082</c:v>
                </c:pt>
                <c:pt idx="45">
                  <c:v>-1.1251465078527485E-2</c:v>
                </c:pt>
                <c:pt idx="46">
                  <c:v>-0.72980306909997616</c:v>
                </c:pt>
                <c:pt idx="47">
                  <c:v>-0.56438961412211941</c:v>
                </c:pt>
                <c:pt idx="48">
                  <c:v>0.34171506692779641</c:v>
                </c:pt>
                <c:pt idx="49">
                  <c:v>-0.37366286128483417</c:v>
                </c:pt>
                <c:pt idx="50">
                  <c:v>0.47469579871713968</c:v>
                </c:pt>
                <c:pt idx="51">
                  <c:v>-0.73821544731096178</c:v>
                </c:pt>
                <c:pt idx="52">
                  <c:v>1.3675340784165491</c:v>
                </c:pt>
                <c:pt idx="53">
                  <c:v>1.4948432779222254</c:v>
                </c:pt>
                <c:pt idx="54">
                  <c:v>-8.3548864286910524E-2</c:v>
                </c:pt>
                <c:pt idx="55">
                  <c:v>-0.4065871547562398</c:v>
                </c:pt>
                <c:pt idx="56">
                  <c:v>-0.54491076478184119</c:v>
                </c:pt>
                <c:pt idx="57">
                  <c:v>-0.31970764959364184</c:v>
                </c:pt>
                <c:pt idx="58">
                  <c:v>5.6759644499698447E-2</c:v>
                </c:pt>
                <c:pt idx="59">
                  <c:v>-0.57375440510511566</c:v>
                </c:pt>
                <c:pt idx="60">
                  <c:v>1.2712163342306384</c:v>
                </c:pt>
                <c:pt idx="61">
                  <c:v>1.1460549497214532</c:v>
                </c:pt>
                <c:pt idx="62">
                  <c:v>-0.7480410807830763</c:v>
                </c:pt>
                <c:pt idx="63">
                  <c:v>2.9461447879262137E-2</c:v>
                </c:pt>
                <c:pt idx="64">
                  <c:v>-0.83605062259209184</c:v>
                </c:pt>
                <c:pt idx="65">
                  <c:v>-0.99793373510610273</c:v>
                </c:pt>
                <c:pt idx="66">
                  <c:v>-0.80413748229408966</c:v>
                </c:pt>
                <c:pt idx="67">
                  <c:v>-0.82815782727161735</c:v>
                </c:pt>
                <c:pt idx="68">
                  <c:v>-0.97698289010330264</c:v>
                </c:pt>
                <c:pt idx="69">
                  <c:v>-1.0219540800836304</c:v>
                </c:pt>
                <c:pt idx="70">
                  <c:v>-0.37995815229310287</c:v>
                </c:pt>
                <c:pt idx="71">
                  <c:v>-0.41130627426789618</c:v>
                </c:pt>
                <c:pt idx="72">
                  <c:v>0.77417458669805972</c:v>
                </c:pt>
                <c:pt idx="73">
                  <c:v>1.4618389112338332</c:v>
                </c:pt>
                <c:pt idx="74">
                  <c:v>1.4858592562113608</c:v>
                </c:pt>
                <c:pt idx="75">
                  <c:v>1.4618389112338332</c:v>
                </c:pt>
                <c:pt idx="76">
                  <c:v>-0.42338389857059244</c:v>
                </c:pt>
                <c:pt idx="77">
                  <c:v>-0.68364310207183787</c:v>
                </c:pt>
                <c:pt idx="78">
                  <c:v>6.9891142222340469E-2</c:v>
                </c:pt>
                <c:pt idx="79">
                  <c:v>-0.90580681612879776</c:v>
                </c:pt>
                <c:pt idx="80">
                  <c:v>-0.41187129259110489</c:v>
                </c:pt>
                <c:pt idx="81">
                  <c:v>-0.56002716126549079</c:v>
                </c:pt>
                <c:pt idx="82">
                  <c:v>-0.40148064079578166</c:v>
                </c:pt>
                <c:pt idx="83">
                  <c:v>1.0518542927382595</c:v>
                </c:pt>
                <c:pt idx="84">
                  <c:v>0.51441957488276058</c:v>
                </c:pt>
                <c:pt idx="85">
                  <c:v>-0.74649563708023814</c:v>
                </c:pt>
                <c:pt idx="86">
                  <c:v>7.2499799707949883E-2</c:v>
                </c:pt>
                <c:pt idx="87">
                  <c:v>-0.16848890612119843</c:v>
                </c:pt>
                <c:pt idx="88">
                  <c:v>-0.29819178626763299</c:v>
                </c:pt>
                <c:pt idx="89">
                  <c:v>-0.74332196127141992</c:v>
                </c:pt>
                <c:pt idx="90">
                  <c:v>2.6672660892058557</c:v>
                </c:pt>
                <c:pt idx="91">
                  <c:v>1.9624483542007023</c:v>
                </c:pt>
                <c:pt idx="92">
                  <c:v>9.0756211996707789E-3</c:v>
                </c:pt>
                <c:pt idx="93">
                  <c:v>1.9095777437232295</c:v>
                </c:pt>
                <c:pt idx="94">
                  <c:v>-0.3756998752705647</c:v>
                </c:pt>
                <c:pt idx="95">
                  <c:v>-0.30397411956206055</c:v>
                </c:pt>
                <c:pt idx="96">
                  <c:v>-0.97427005678360268</c:v>
                </c:pt>
                <c:pt idx="97">
                  <c:v>-0.9815978337808684</c:v>
                </c:pt>
                <c:pt idx="98">
                  <c:v>0.18300563022260366</c:v>
                </c:pt>
                <c:pt idx="99">
                  <c:v>-0.44077367331577244</c:v>
                </c:pt>
                <c:pt idx="100">
                  <c:v>0.73653117371499766</c:v>
                </c:pt>
                <c:pt idx="101">
                  <c:v>0.74078945073753577</c:v>
                </c:pt>
                <c:pt idx="102">
                  <c:v>0.87531562622971715</c:v>
                </c:pt>
                <c:pt idx="103">
                  <c:v>-0.77160058327148573</c:v>
                </c:pt>
                <c:pt idx="104">
                  <c:v>0.60355044192565432</c:v>
                </c:pt>
                <c:pt idx="105">
                  <c:v>-0.83287694678327362</c:v>
                </c:pt>
                <c:pt idx="106">
                  <c:v>1.387400322205629</c:v>
                </c:pt>
                <c:pt idx="107">
                  <c:v>-0.29819178626763299</c:v>
                </c:pt>
                <c:pt idx="108">
                  <c:v>0.71251082873746996</c:v>
                </c:pt>
                <c:pt idx="109">
                  <c:v>0.31235184371401059</c:v>
                </c:pt>
                <c:pt idx="110">
                  <c:v>-1.1758182050618413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37-40BC-A309-4634CD51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7136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 experience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7136"/>
        <c:crosses val="autoZero"/>
        <c:crossBetween val="midCat"/>
      </c:valAx>
      <c:valAx>
        <c:axId val="307607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Years of training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Лист1!$N$3:$N$113</c:f>
              <c:numCache>
                <c:formatCode>General</c:formatCode>
                <c:ptCount val="111"/>
                <c:pt idx="0">
                  <c:v>0.31424926213532922</c:v>
                </c:pt>
                <c:pt idx="1">
                  <c:v>0.92620835155675918</c:v>
                </c:pt>
                <c:pt idx="2">
                  <c:v>-0.90966891670753069</c:v>
                </c:pt>
                <c:pt idx="3">
                  <c:v>-0.90966891670753069</c:v>
                </c:pt>
                <c:pt idx="4">
                  <c:v>-3.3575052743932505</c:v>
                </c:pt>
                <c:pt idx="5">
                  <c:v>-0.90966891670753069</c:v>
                </c:pt>
                <c:pt idx="6">
                  <c:v>0.31424926213532922</c:v>
                </c:pt>
                <c:pt idx="7">
                  <c:v>0.31424926213532922</c:v>
                </c:pt>
                <c:pt idx="8">
                  <c:v>-0.90966891670753069</c:v>
                </c:pt>
                <c:pt idx="9">
                  <c:v>0.31424926213532922</c:v>
                </c:pt>
                <c:pt idx="10">
                  <c:v>-0.90966891670753069</c:v>
                </c:pt>
                <c:pt idx="11">
                  <c:v>1.5381674409781891</c:v>
                </c:pt>
                <c:pt idx="12">
                  <c:v>0.31424926213532922</c:v>
                </c:pt>
                <c:pt idx="13">
                  <c:v>-0.90966891670753069</c:v>
                </c:pt>
                <c:pt idx="14">
                  <c:v>0.31424926213532922</c:v>
                </c:pt>
                <c:pt idx="15">
                  <c:v>0.92620835155675918</c:v>
                </c:pt>
                <c:pt idx="16">
                  <c:v>1.5381674409781891</c:v>
                </c:pt>
                <c:pt idx="17">
                  <c:v>-0.90966891670753069</c:v>
                </c:pt>
                <c:pt idx="18">
                  <c:v>-0.90966891670753069</c:v>
                </c:pt>
                <c:pt idx="19">
                  <c:v>-0.90966891670753069</c:v>
                </c:pt>
                <c:pt idx="20">
                  <c:v>-0.90966891670753069</c:v>
                </c:pt>
                <c:pt idx="21">
                  <c:v>0.31424926213532922</c:v>
                </c:pt>
                <c:pt idx="22">
                  <c:v>0.92620835155675918</c:v>
                </c:pt>
                <c:pt idx="23">
                  <c:v>0.31424926213532922</c:v>
                </c:pt>
                <c:pt idx="24">
                  <c:v>0.92620835155675918</c:v>
                </c:pt>
                <c:pt idx="25">
                  <c:v>0.31424926213532922</c:v>
                </c:pt>
                <c:pt idx="26">
                  <c:v>-0.90966891670753069</c:v>
                </c:pt>
                <c:pt idx="27">
                  <c:v>-0.90966891670753069</c:v>
                </c:pt>
                <c:pt idx="28">
                  <c:v>0.31424926213532922</c:v>
                </c:pt>
                <c:pt idx="29">
                  <c:v>-0.90966891670753069</c:v>
                </c:pt>
                <c:pt idx="30">
                  <c:v>-0.90966891670753069</c:v>
                </c:pt>
                <c:pt idx="31">
                  <c:v>0.31424926213532922</c:v>
                </c:pt>
                <c:pt idx="32">
                  <c:v>1.5381674409781891</c:v>
                </c:pt>
                <c:pt idx="33">
                  <c:v>-0.90966891670753069</c:v>
                </c:pt>
                <c:pt idx="34">
                  <c:v>0.31424926213532922</c:v>
                </c:pt>
                <c:pt idx="35">
                  <c:v>1.5381674409781891</c:v>
                </c:pt>
                <c:pt idx="36">
                  <c:v>1.5381674409781891</c:v>
                </c:pt>
                <c:pt idx="37">
                  <c:v>1.5381674409781891</c:v>
                </c:pt>
                <c:pt idx="38">
                  <c:v>0.31424926213532922</c:v>
                </c:pt>
                <c:pt idx="39">
                  <c:v>0.31424926213532922</c:v>
                </c:pt>
                <c:pt idx="40">
                  <c:v>-0.90966891670753069</c:v>
                </c:pt>
                <c:pt idx="41">
                  <c:v>-0.90966891670753069</c:v>
                </c:pt>
                <c:pt idx="42">
                  <c:v>0.31424926213532922</c:v>
                </c:pt>
                <c:pt idx="43">
                  <c:v>1.5381674409781891</c:v>
                </c:pt>
                <c:pt idx="44">
                  <c:v>0.31424926213532922</c:v>
                </c:pt>
                <c:pt idx="45">
                  <c:v>-0.90966891670753069</c:v>
                </c:pt>
                <c:pt idx="46">
                  <c:v>0.31424926213532922</c:v>
                </c:pt>
                <c:pt idx="47">
                  <c:v>1.5381674409781891</c:v>
                </c:pt>
                <c:pt idx="48">
                  <c:v>-0.90966891670753069</c:v>
                </c:pt>
                <c:pt idx="49">
                  <c:v>0.31424926213532922</c:v>
                </c:pt>
                <c:pt idx="50">
                  <c:v>0.31424926213532922</c:v>
                </c:pt>
                <c:pt idx="51">
                  <c:v>1.5381674409781891</c:v>
                </c:pt>
                <c:pt idx="52">
                  <c:v>0.31424926213532922</c:v>
                </c:pt>
                <c:pt idx="53">
                  <c:v>-0.90966891670753069</c:v>
                </c:pt>
                <c:pt idx="54">
                  <c:v>0.31424926213532922</c:v>
                </c:pt>
                <c:pt idx="55">
                  <c:v>-0.90966891670753069</c:v>
                </c:pt>
                <c:pt idx="56">
                  <c:v>0.31424926213532922</c:v>
                </c:pt>
                <c:pt idx="57">
                  <c:v>-0.90966891670753069</c:v>
                </c:pt>
                <c:pt idx="58">
                  <c:v>1.5381674409781891</c:v>
                </c:pt>
                <c:pt idx="59">
                  <c:v>0.31424926213532922</c:v>
                </c:pt>
                <c:pt idx="60">
                  <c:v>0.31424926213532922</c:v>
                </c:pt>
                <c:pt idx="61">
                  <c:v>0.31424926213532922</c:v>
                </c:pt>
                <c:pt idx="62">
                  <c:v>-0.90966891670753069</c:v>
                </c:pt>
                <c:pt idx="63">
                  <c:v>1.5381674409781891</c:v>
                </c:pt>
                <c:pt idx="64">
                  <c:v>-0.90966891670753069</c:v>
                </c:pt>
                <c:pt idx="65">
                  <c:v>0.31424926213532922</c:v>
                </c:pt>
                <c:pt idx="66">
                  <c:v>0.31424926213532922</c:v>
                </c:pt>
                <c:pt idx="67">
                  <c:v>-0.90966891670753069</c:v>
                </c:pt>
                <c:pt idx="68">
                  <c:v>0.31424926213532922</c:v>
                </c:pt>
                <c:pt idx="69">
                  <c:v>-0.90966891670753069</c:v>
                </c:pt>
                <c:pt idx="70">
                  <c:v>0.31424926213532922</c:v>
                </c:pt>
                <c:pt idx="71">
                  <c:v>-0.90966891670753069</c:v>
                </c:pt>
                <c:pt idx="72">
                  <c:v>1.5381674409781891</c:v>
                </c:pt>
                <c:pt idx="73">
                  <c:v>0.31424926213532922</c:v>
                </c:pt>
                <c:pt idx="74">
                  <c:v>1.5381674409781891</c:v>
                </c:pt>
                <c:pt idx="75">
                  <c:v>0.31424926213532922</c:v>
                </c:pt>
                <c:pt idx="76">
                  <c:v>-0.90966891670753069</c:v>
                </c:pt>
                <c:pt idx="77">
                  <c:v>-0.90966891670753069</c:v>
                </c:pt>
                <c:pt idx="78">
                  <c:v>0.31424926213532922</c:v>
                </c:pt>
                <c:pt idx="79">
                  <c:v>0.92620835155675918</c:v>
                </c:pt>
                <c:pt idx="80">
                  <c:v>-0.90966891670753069</c:v>
                </c:pt>
                <c:pt idx="81">
                  <c:v>-0.90966891670753069</c:v>
                </c:pt>
                <c:pt idx="82">
                  <c:v>1.5381674409781891</c:v>
                </c:pt>
                <c:pt idx="83">
                  <c:v>-0.90966891670753069</c:v>
                </c:pt>
                <c:pt idx="84">
                  <c:v>0.92620835155675918</c:v>
                </c:pt>
                <c:pt idx="85">
                  <c:v>-0.90966891670753069</c:v>
                </c:pt>
                <c:pt idx="86">
                  <c:v>0.31424926213532922</c:v>
                </c:pt>
                <c:pt idx="87">
                  <c:v>1.5381674409781891</c:v>
                </c:pt>
                <c:pt idx="88">
                  <c:v>-0.90966891670753069</c:v>
                </c:pt>
                <c:pt idx="89">
                  <c:v>-0.90966891670753069</c:v>
                </c:pt>
                <c:pt idx="90">
                  <c:v>1.5381674409781891</c:v>
                </c:pt>
                <c:pt idx="91">
                  <c:v>0.31424926213532922</c:v>
                </c:pt>
                <c:pt idx="92">
                  <c:v>1.5381674409781891</c:v>
                </c:pt>
                <c:pt idx="93">
                  <c:v>0.31424926213532922</c:v>
                </c:pt>
                <c:pt idx="94">
                  <c:v>-0.90966891670753069</c:v>
                </c:pt>
                <c:pt idx="95">
                  <c:v>-0.90966891670753069</c:v>
                </c:pt>
                <c:pt idx="96">
                  <c:v>-0.90966891670753069</c:v>
                </c:pt>
                <c:pt idx="97">
                  <c:v>-0.90966891670753069</c:v>
                </c:pt>
                <c:pt idx="98">
                  <c:v>0.31424926213532922</c:v>
                </c:pt>
                <c:pt idx="99">
                  <c:v>1.5381674409781891</c:v>
                </c:pt>
                <c:pt idx="100">
                  <c:v>0.31424926213532922</c:v>
                </c:pt>
                <c:pt idx="101">
                  <c:v>-0.90966891670753069</c:v>
                </c:pt>
                <c:pt idx="102">
                  <c:v>0.31424926213532922</c:v>
                </c:pt>
                <c:pt idx="103">
                  <c:v>-0.90966891670753069</c:v>
                </c:pt>
                <c:pt idx="104">
                  <c:v>-0.90966891670753069</c:v>
                </c:pt>
                <c:pt idx="105">
                  <c:v>-0.90966891670753069</c:v>
                </c:pt>
                <c:pt idx="106">
                  <c:v>1.5381674409781891</c:v>
                </c:pt>
                <c:pt idx="107">
                  <c:v>-0.90966891670753069</c:v>
                </c:pt>
                <c:pt idx="108">
                  <c:v>-0.90966891670753069</c:v>
                </c:pt>
                <c:pt idx="109">
                  <c:v>0.31424926213532922</c:v>
                </c:pt>
                <c:pt idx="110">
                  <c:v>-2.7455461849718206</c:v>
                </c:pt>
              </c:numCache>
            </c:numRef>
          </c:xVal>
          <c:yVal>
            <c:numRef>
              <c:f>Лист1!$K$3:$K$113</c:f>
              <c:numCache>
                <c:formatCode>General</c:formatCode>
                <c:ptCount val="111"/>
                <c:pt idx="0">
                  <c:v>0.65802588201924328</c:v>
                </c:pt>
                <c:pt idx="1">
                  <c:v>0.34631167536110058</c:v>
                </c:pt>
                <c:pt idx="2">
                  <c:v>0.40865451669272912</c:v>
                </c:pt>
                <c:pt idx="3">
                  <c:v>0.34631167536110058</c:v>
                </c:pt>
                <c:pt idx="4">
                  <c:v>-0.1212596346261135</c:v>
                </c:pt>
                <c:pt idx="5">
                  <c:v>-0.58883094461332763</c:v>
                </c:pt>
                <c:pt idx="6">
                  <c:v>0.19045457203202923</c:v>
                </c:pt>
                <c:pt idx="7">
                  <c:v>-1.0875736752663561</c:v>
                </c:pt>
                <c:pt idx="8">
                  <c:v>-0.90054515127147028</c:v>
                </c:pt>
                <c:pt idx="9">
                  <c:v>-0.83820230993984179</c:v>
                </c:pt>
                <c:pt idx="10">
                  <c:v>-0.58883094461332763</c:v>
                </c:pt>
                <c:pt idx="11">
                  <c:v>-0.83820230993984179</c:v>
                </c:pt>
                <c:pt idx="12">
                  <c:v>-0.7758594686082132</c:v>
                </c:pt>
                <c:pt idx="13">
                  <c:v>-0.80703088927402755</c:v>
                </c:pt>
                <c:pt idx="14">
                  <c:v>-0.68234520661077036</c:v>
                </c:pt>
                <c:pt idx="15">
                  <c:v>-0.80703088927402755</c:v>
                </c:pt>
                <c:pt idx="16">
                  <c:v>0.90739724734575755</c:v>
                </c:pt>
                <c:pt idx="17">
                  <c:v>-1.0252308339347274</c:v>
                </c:pt>
                <c:pt idx="18">
                  <c:v>-1.3681164612586845</c:v>
                </c:pt>
                <c:pt idx="19">
                  <c:v>-1.2434307785954273</c:v>
                </c:pt>
                <c:pt idx="20">
                  <c:v>-1.212259357929613</c:v>
                </c:pt>
                <c:pt idx="21">
                  <c:v>-0.43297384128425626</c:v>
                </c:pt>
                <c:pt idx="22">
                  <c:v>-0.27711673795518488</c:v>
                </c:pt>
                <c:pt idx="23">
                  <c:v>-0.58883094461332763</c:v>
                </c:pt>
                <c:pt idx="24">
                  <c:v>3.4597468702957865E-2</c:v>
                </c:pt>
                <c:pt idx="25">
                  <c:v>-0.43297384128425626</c:v>
                </c:pt>
                <c:pt idx="26">
                  <c:v>-0.1212596346261135</c:v>
                </c:pt>
                <c:pt idx="27">
                  <c:v>-1.2746021992612415</c:v>
                </c:pt>
                <c:pt idx="28">
                  <c:v>0.15928315136621496</c:v>
                </c:pt>
                <c:pt idx="29">
                  <c:v>-0.83820230993984179</c:v>
                </c:pt>
                <c:pt idx="30">
                  <c:v>-0.71351662727658471</c:v>
                </c:pt>
                <c:pt idx="31">
                  <c:v>-0.90054515127147028</c:v>
                </c:pt>
                <c:pt idx="32">
                  <c:v>1.4061399779987858</c:v>
                </c:pt>
                <c:pt idx="33">
                  <c:v>1.7801970259885571</c:v>
                </c:pt>
                <c:pt idx="34">
                  <c:v>0.5333401993559862</c:v>
                </c:pt>
                <c:pt idx="35">
                  <c:v>1.2814542953355288</c:v>
                </c:pt>
                <c:pt idx="36">
                  <c:v>2.2165969153099572</c:v>
                </c:pt>
                <c:pt idx="37">
                  <c:v>1.998396970649257</c:v>
                </c:pt>
                <c:pt idx="38">
                  <c:v>1.5931685019936714</c:v>
                </c:pt>
                <c:pt idx="39">
                  <c:v>0.72036872335087188</c:v>
                </c:pt>
                <c:pt idx="40">
                  <c:v>-0.4641452619500705</c:v>
                </c:pt>
                <c:pt idx="41">
                  <c:v>-1.0875736752663561</c:v>
                </c:pt>
                <c:pt idx="42">
                  <c:v>1.9360541293176285</c:v>
                </c:pt>
                <c:pt idx="43">
                  <c:v>-5.8916793294484952E-2</c:v>
                </c:pt>
                <c:pt idx="44">
                  <c:v>9.6940310034586405E-2</c:v>
                </c:pt>
                <c:pt idx="45">
                  <c:v>-0.21477389662355631</c:v>
                </c:pt>
                <c:pt idx="46">
                  <c:v>-0.58883094461332763</c:v>
                </c:pt>
                <c:pt idx="47">
                  <c:v>-0.83820230993984179</c:v>
                </c:pt>
                <c:pt idx="48">
                  <c:v>0.47099735802435766</c:v>
                </c:pt>
                <c:pt idx="49">
                  <c:v>-0.65117378594495612</c:v>
                </c:pt>
                <c:pt idx="50">
                  <c:v>0.12811173070040069</c:v>
                </c:pt>
                <c:pt idx="51">
                  <c:v>-0.83820230993984179</c:v>
                </c:pt>
                <c:pt idx="52">
                  <c:v>1.4373113986646002</c:v>
                </c:pt>
                <c:pt idx="53">
                  <c:v>1.5931685019936714</c:v>
                </c:pt>
                <c:pt idx="54">
                  <c:v>-9.0088213960299229E-2</c:v>
                </c:pt>
                <c:pt idx="55">
                  <c:v>-0.27711673795518488</c:v>
                </c:pt>
                <c:pt idx="56">
                  <c:v>-0.71351662727658471</c:v>
                </c:pt>
                <c:pt idx="57">
                  <c:v>-0.43297384128425626</c:v>
                </c:pt>
                <c:pt idx="58">
                  <c:v>-0.43297384128425626</c:v>
                </c:pt>
                <c:pt idx="59">
                  <c:v>-0.27711673795518488</c:v>
                </c:pt>
                <c:pt idx="60">
                  <c:v>1.1255971920064574</c:v>
                </c:pt>
                <c:pt idx="61">
                  <c:v>1.1255971920064574</c:v>
                </c:pt>
                <c:pt idx="62">
                  <c:v>-0.52648810328169904</c:v>
                </c:pt>
                <c:pt idx="63">
                  <c:v>-0.27711673795518488</c:v>
                </c:pt>
                <c:pt idx="64">
                  <c:v>-0.74468804794239896</c:v>
                </c:pt>
                <c:pt idx="65">
                  <c:v>-1.212259357929613</c:v>
                </c:pt>
                <c:pt idx="66">
                  <c:v>-0.90054515127147028</c:v>
                </c:pt>
                <c:pt idx="67">
                  <c:v>-0.96288799260309887</c:v>
                </c:pt>
                <c:pt idx="68">
                  <c:v>-1.212259357929613</c:v>
                </c:pt>
                <c:pt idx="69">
                  <c:v>-1.2434307785954273</c:v>
                </c:pt>
                <c:pt idx="70">
                  <c:v>0.50216877869017196</c:v>
                </c:pt>
                <c:pt idx="71">
                  <c:v>0.12811173070040069</c:v>
                </c:pt>
                <c:pt idx="72">
                  <c:v>0.34631167536110058</c:v>
                </c:pt>
                <c:pt idx="73">
                  <c:v>2.5283111219680996</c:v>
                </c:pt>
                <c:pt idx="74">
                  <c:v>2.0607398119808855</c:v>
                </c:pt>
                <c:pt idx="75">
                  <c:v>2.8400253286262425</c:v>
                </c:pt>
                <c:pt idx="76">
                  <c:v>-0.33945957928681342</c:v>
                </c:pt>
                <c:pt idx="77">
                  <c:v>-0.52648810328169904</c:v>
                </c:pt>
                <c:pt idx="78">
                  <c:v>0.19045457203202923</c:v>
                </c:pt>
                <c:pt idx="79">
                  <c:v>-0.65117378594495612</c:v>
                </c:pt>
                <c:pt idx="80">
                  <c:v>1.5806999337273457</c:v>
                </c:pt>
                <c:pt idx="81">
                  <c:v>-0.58883094461332763</c:v>
                </c:pt>
                <c:pt idx="82">
                  <c:v>-0.58883094461332763</c:v>
                </c:pt>
                <c:pt idx="83">
                  <c:v>0.96974008867738604</c:v>
                </c:pt>
                <c:pt idx="84">
                  <c:v>-0.15243105529192777</c:v>
                </c:pt>
                <c:pt idx="85">
                  <c:v>-0.65117378594495612</c:v>
                </c:pt>
                <c:pt idx="86">
                  <c:v>-0.30828815862099912</c:v>
                </c:pt>
                <c:pt idx="87">
                  <c:v>-0.27711673795518488</c:v>
                </c:pt>
                <c:pt idx="88">
                  <c:v>-0.43297384128425626</c:v>
                </c:pt>
                <c:pt idx="89">
                  <c:v>-0.56389380808067613</c:v>
                </c:pt>
                <c:pt idx="90">
                  <c:v>3.1517395352843853</c:v>
                </c:pt>
                <c:pt idx="91">
                  <c:v>2.0295683913150713</c:v>
                </c:pt>
                <c:pt idx="92">
                  <c:v>-0.27711673795518488</c:v>
                </c:pt>
                <c:pt idx="93">
                  <c:v>1.5619970813278572</c:v>
                </c:pt>
                <c:pt idx="94">
                  <c:v>-0.71351662727658471</c:v>
                </c:pt>
                <c:pt idx="95">
                  <c:v>-0.21477389662355631</c:v>
                </c:pt>
                <c:pt idx="96">
                  <c:v>-0.43297384128425626</c:v>
                </c:pt>
                <c:pt idx="97">
                  <c:v>-0.48284811434955904</c:v>
                </c:pt>
                <c:pt idx="98">
                  <c:v>3.4597468702957865E-2</c:v>
                </c:pt>
                <c:pt idx="99">
                  <c:v>-0.83820230993984179</c:v>
                </c:pt>
                <c:pt idx="100">
                  <c:v>-0.15243105529192777</c:v>
                </c:pt>
                <c:pt idx="101">
                  <c:v>0.8762258266799432</c:v>
                </c:pt>
                <c:pt idx="102">
                  <c:v>0.8762258266799432</c:v>
                </c:pt>
                <c:pt idx="103">
                  <c:v>-1.1187450959321703</c:v>
                </c:pt>
                <c:pt idx="104">
                  <c:v>0.34631167536110058</c:v>
                </c:pt>
                <c:pt idx="105">
                  <c:v>-0.71351662727658471</c:v>
                </c:pt>
                <c:pt idx="106">
                  <c:v>0.96974008867738604</c:v>
                </c:pt>
                <c:pt idx="107">
                  <c:v>-0.33945957928681342</c:v>
                </c:pt>
                <c:pt idx="108">
                  <c:v>0.34631167536110058</c:v>
                </c:pt>
                <c:pt idx="109">
                  <c:v>0.19045457203202923</c:v>
                </c:pt>
                <c:pt idx="110">
                  <c:v>-1.1499165165979846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BA-48D7-A354-F329601CCDDF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Лист1!$N$3:$N$113</c:f>
              <c:numCache>
                <c:formatCode>General</c:formatCode>
                <c:ptCount val="111"/>
                <c:pt idx="0">
                  <c:v>0.31424926213532922</c:v>
                </c:pt>
                <c:pt idx="1">
                  <c:v>0.92620835155675918</c:v>
                </c:pt>
                <c:pt idx="2">
                  <c:v>-0.90966891670753069</c:v>
                </c:pt>
                <c:pt idx="3">
                  <c:v>-0.90966891670753069</c:v>
                </c:pt>
                <c:pt idx="4">
                  <c:v>-3.3575052743932505</c:v>
                </c:pt>
                <c:pt idx="5">
                  <c:v>-0.90966891670753069</c:v>
                </c:pt>
                <c:pt idx="6">
                  <c:v>0.31424926213532922</c:v>
                </c:pt>
                <c:pt idx="7">
                  <c:v>0.31424926213532922</c:v>
                </c:pt>
                <c:pt idx="8">
                  <c:v>-0.90966891670753069</c:v>
                </c:pt>
                <c:pt idx="9">
                  <c:v>0.31424926213532922</c:v>
                </c:pt>
                <c:pt idx="10">
                  <c:v>-0.90966891670753069</c:v>
                </c:pt>
                <c:pt idx="11">
                  <c:v>1.5381674409781891</c:v>
                </c:pt>
                <c:pt idx="12">
                  <c:v>0.31424926213532922</c:v>
                </c:pt>
                <c:pt idx="13">
                  <c:v>-0.90966891670753069</c:v>
                </c:pt>
                <c:pt idx="14">
                  <c:v>0.31424926213532922</c:v>
                </c:pt>
                <c:pt idx="15">
                  <c:v>0.92620835155675918</c:v>
                </c:pt>
                <c:pt idx="16">
                  <c:v>1.5381674409781891</c:v>
                </c:pt>
                <c:pt idx="17">
                  <c:v>-0.90966891670753069</c:v>
                </c:pt>
                <c:pt idx="18">
                  <c:v>-0.90966891670753069</c:v>
                </c:pt>
                <c:pt idx="19">
                  <c:v>-0.90966891670753069</c:v>
                </c:pt>
                <c:pt idx="20">
                  <c:v>-0.90966891670753069</c:v>
                </c:pt>
                <c:pt idx="21">
                  <c:v>0.31424926213532922</c:v>
                </c:pt>
                <c:pt idx="22">
                  <c:v>0.92620835155675918</c:v>
                </c:pt>
                <c:pt idx="23">
                  <c:v>0.31424926213532922</c:v>
                </c:pt>
                <c:pt idx="24">
                  <c:v>0.92620835155675918</c:v>
                </c:pt>
                <c:pt idx="25">
                  <c:v>0.31424926213532922</c:v>
                </c:pt>
                <c:pt idx="26">
                  <c:v>-0.90966891670753069</c:v>
                </c:pt>
                <c:pt idx="27">
                  <c:v>-0.90966891670753069</c:v>
                </c:pt>
                <c:pt idx="28">
                  <c:v>0.31424926213532922</c:v>
                </c:pt>
                <c:pt idx="29">
                  <c:v>-0.90966891670753069</c:v>
                </c:pt>
                <c:pt idx="30">
                  <c:v>-0.90966891670753069</c:v>
                </c:pt>
                <c:pt idx="31">
                  <c:v>0.31424926213532922</c:v>
                </c:pt>
                <c:pt idx="32">
                  <c:v>1.5381674409781891</c:v>
                </c:pt>
                <c:pt idx="33">
                  <c:v>-0.90966891670753069</c:v>
                </c:pt>
                <c:pt idx="34">
                  <c:v>0.31424926213532922</c:v>
                </c:pt>
                <c:pt idx="35">
                  <c:v>1.5381674409781891</c:v>
                </c:pt>
                <c:pt idx="36">
                  <c:v>1.5381674409781891</c:v>
                </c:pt>
                <c:pt idx="37">
                  <c:v>1.5381674409781891</c:v>
                </c:pt>
                <c:pt idx="38">
                  <c:v>0.31424926213532922</c:v>
                </c:pt>
                <c:pt idx="39">
                  <c:v>0.31424926213532922</c:v>
                </c:pt>
                <c:pt idx="40">
                  <c:v>-0.90966891670753069</c:v>
                </c:pt>
                <c:pt idx="41">
                  <c:v>-0.90966891670753069</c:v>
                </c:pt>
                <c:pt idx="42">
                  <c:v>0.31424926213532922</c:v>
                </c:pt>
                <c:pt idx="43">
                  <c:v>1.5381674409781891</c:v>
                </c:pt>
                <c:pt idx="44">
                  <c:v>0.31424926213532922</c:v>
                </c:pt>
                <c:pt idx="45">
                  <c:v>-0.90966891670753069</c:v>
                </c:pt>
                <c:pt idx="46">
                  <c:v>0.31424926213532922</c:v>
                </c:pt>
                <c:pt idx="47">
                  <c:v>1.5381674409781891</c:v>
                </c:pt>
                <c:pt idx="48">
                  <c:v>-0.90966891670753069</c:v>
                </c:pt>
                <c:pt idx="49">
                  <c:v>0.31424926213532922</c:v>
                </c:pt>
                <c:pt idx="50">
                  <c:v>0.31424926213532922</c:v>
                </c:pt>
                <c:pt idx="51">
                  <c:v>1.5381674409781891</c:v>
                </c:pt>
                <c:pt idx="52">
                  <c:v>0.31424926213532922</c:v>
                </c:pt>
                <c:pt idx="53">
                  <c:v>-0.90966891670753069</c:v>
                </c:pt>
                <c:pt idx="54">
                  <c:v>0.31424926213532922</c:v>
                </c:pt>
                <c:pt idx="55">
                  <c:v>-0.90966891670753069</c:v>
                </c:pt>
                <c:pt idx="56">
                  <c:v>0.31424926213532922</c:v>
                </c:pt>
                <c:pt idx="57">
                  <c:v>-0.90966891670753069</c:v>
                </c:pt>
                <c:pt idx="58">
                  <c:v>1.5381674409781891</c:v>
                </c:pt>
                <c:pt idx="59">
                  <c:v>0.31424926213532922</c:v>
                </c:pt>
                <c:pt idx="60">
                  <c:v>0.31424926213532922</c:v>
                </c:pt>
                <c:pt idx="61">
                  <c:v>0.31424926213532922</c:v>
                </c:pt>
                <c:pt idx="62">
                  <c:v>-0.90966891670753069</c:v>
                </c:pt>
                <c:pt idx="63">
                  <c:v>1.5381674409781891</c:v>
                </c:pt>
                <c:pt idx="64">
                  <c:v>-0.90966891670753069</c:v>
                </c:pt>
                <c:pt idx="65">
                  <c:v>0.31424926213532922</c:v>
                </c:pt>
                <c:pt idx="66">
                  <c:v>0.31424926213532922</c:v>
                </c:pt>
                <c:pt idx="67">
                  <c:v>-0.90966891670753069</c:v>
                </c:pt>
                <c:pt idx="68">
                  <c:v>0.31424926213532922</c:v>
                </c:pt>
                <c:pt idx="69">
                  <c:v>-0.90966891670753069</c:v>
                </c:pt>
                <c:pt idx="70">
                  <c:v>0.31424926213532922</c:v>
                </c:pt>
                <c:pt idx="71">
                  <c:v>-0.90966891670753069</c:v>
                </c:pt>
                <c:pt idx="72">
                  <c:v>1.5381674409781891</c:v>
                </c:pt>
                <c:pt idx="73">
                  <c:v>0.31424926213532922</c:v>
                </c:pt>
                <c:pt idx="74">
                  <c:v>1.5381674409781891</c:v>
                </c:pt>
                <c:pt idx="75">
                  <c:v>0.31424926213532922</c:v>
                </c:pt>
                <c:pt idx="76">
                  <c:v>-0.90966891670753069</c:v>
                </c:pt>
                <c:pt idx="77">
                  <c:v>-0.90966891670753069</c:v>
                </c:pt>
                <c:pt idx="78">
                  <c:v>0.31424926213532922</c:v>
                </c:pt>
                <c:pt idx="79">
                  <c:v>0.92620835155675918</c:v>
                </c:pt>
                <c:pt idx="80">
                  <c:v>-0.90966891670753069</c:v>
                </c:pt>
                <c:pt idx="81">
                  <c:v>-0.90966891670753069</c:v>
                </c:pt>
                <c:pt idx="82">
                  <c:v>1.5381674409781891</c:v>
                </c:pt>
                <c:pt idx="83">
                  <c:v>-0.90966891670753069</c:v>
                </c:pt>
                <c:pt idx="84">
                  <c:v>0.92620835155675918</c:v>
                </c:pt>
                <c:pt idx="85">
                  <c:v>-0.90966891670753069</c:v>
                </c:pt>
                <c:pt idx="86">
                  <c:v>0.31424926213532922</c:v>
                </c:pt>
                <c:pt idx="87">
                  <c:v>1.5381674409781891</c:v>
                </c:pt>
                <c:pt idx="88">
                  <c:v>-0.90966891670753069</c:v>
                </c:pt>
                <c:pt idx="89">
                  <c:v>-0.90966891670753069</c:v>
                </c:pt>
                <c:pt idx="90">
                  <c:v>1.5381674409781891</c:v>
                </c:pt>
                <c:pt idx="91">
                  <c:v>0.31424926213532922</c:v>
                </c:pt>
                <c:pt idx="92">
                  <c:v>1.5381674409781891</c:v>
                </c:pt>
                <c:pt idx="93">
                  <c:v>0.31424926213532922</c:v>
                </c:pt>
                <c:pt idx="94">
                  <c:v>-0.90966891670753069</c:v>
                </c:pt>
                <c:pt idx="95">
                  <c:v>-0.90966891670753069</c:v>
                </c:pt>
                <c:pt idx="96">
                  <c:v>-0.90966891670753069</c:v>
                </c:pt>
                <c:pt idx="97">
                  <c:v>-0.90966891670753069</c:v>
                </c:pt>
                <c:pt idx="98">
                  <c:v>0.31424926213532922</c:v>
                </c:pt>
                <c:pt idx="99">
                  <c:v>1.5381674409781891</c:v>
                </c:pt>
                <c:pt idx="100">
                  <c:v>0.31424926213532922</c:v>
                </c:pt>
                <c:pt idx="101">
                  <c:v>-0.90966891670753069</c:v>
                </c:pt>
                <c:pt idx="102">
                  <c:v>0.31424926213532922</c:v>
                </c:pt>
                <c:pt idx="103">
                  <c:v>-0.90966891670753069</c:v>
                </c:pt>
                <c:pt idx="104">
                  <c:v>-0.90966891670753069</c:v>
                </c:pt>
                <c:pt idx="105">
                  <c:v>-0.90966891670753069</c:v>
                </c:pt>
                <c:pt idx="106">
                  <c:v>1.5381674409781891</c:v>
                </c:pt>
                <c:pt idx="107">
                  <c:v>-0.90966891670753069</c:v>
                </c:pt>
                <c:pt idx="108">
                  <c:v>-0.90966891670753069</c:v>
                </c:pt>
                <c:pt idx="109">
                  <c:v>0.31424926213532922</c:v>
                </c:pt>
                <c:pt idx="110">
                  <c:v>-2.7455461849718206</c:v>
                </c:pt>
              </c:numCache>
            </c:numRef>
          </c:xVal>
          <c:yVal>
            <c:numRef>
              <c:f>Лист3!$B$29:$B$139</c:f>
              <c:numCache>
                <c:formatCode>General</c:formatCode>
                <c:ptCount val="111"/>
                <c:pt idx="0">
                  <c:v>0.62496212941757256</c:v>
                </c:pt>
                <c:pt idx="1">
                  <c:v>0.67260942869744211</c:v>
                </c:pt>
                <c:pt idx="2">
                  <c:v>0.52865101040833207</c:v>
                </c:pt>
                <c:pt idx="3">
                  <c:v>0.3522165197338803</c:v>
                </c:pt>
                <c:pt idx="4">
                  <c:v>0.28005130896720676</c:v>
                </c:pt>
                <c:pt idx="5">
                  <c:v>0.15370114741021093</c:v>
                </c:pt>
                <c:pt idx="6">
                  <c:v>0.6202430099059163</c:v>
                </c:pt>
                <c:pt idx="7">
                  <c:v>-0.85024533409750502</c:v>
                </c:pt>
                <c:pt idx="8">
                  <c:v>-0.77477425908030384</c:v>
                </c:pt>
                <c:pt idx="9">
                  <c:v>-0.87591529861196138</c:v>
                </c:pt>
                <c:pt idx="10">
                  <c:v>-0.62130352477727868</c:v>
                </c:pt>
                <c:pt idx="11">
                  <c:v>-0.50050459312472229</c:v>
                </c:pt>
                <c:pt idx="12">
                  <c:v>-0.38728592929036854</c:v>
                </c:pt>
                <c:pt idx="13">
                  <c:v>-0.52026666107971176</c:v>
                </c:pt>
                <c:pt idx="14">
                  <c:v>-0.46063991710485264</c:v>
                </c:pt>
                <c:pt idx="15">
                  <c:v>-0.44862974461608884</c:v>
                </c:pt>
                <c:pt idx="16">
                  <c:v>7.925593320533672E-2</c:v>
                </c:pt>
                <c:pt idx="17">
                  <c:v>-0.93711821408343299</c:v>
                </c:pt>
                <c:pt idx="18">
                  <c:v>-0.92032147026908051</c:v>
                </c:pt>
                <c:pt idx="19">
                  <c:v>-1.0292818570808961</c:v>
                </c:pt>
                <c:pt idx="20">
                  <c:v>-0.99839457759522088</c:v>
                </c:pt>
                <c:pt idx="21">
                  <c:v>-0.39045960509918665</c:v>
                </c:pt>
                <c:pt idx="22">
                  <c:v>-0.1710301117928755</c:v>
                </c:pt>
                <c:pt idx="23">
                  <c:v>-0.50829321261110616</c:v>
                </c:pt>
                <c:pt idx="24">
                  <c:v>-0.28414459979313861</c:v>
                </c:pt>
                <c:pt idx="25">
                  <c:v>-0.39933282579929058</c:v>
                </c:pt>
                <c:pt idx="26">
                  <c:v>-0.1803581787557135</c:v>
                </c:pt>
                <c:pt idx="27">
                  <c:v>-0.93711821408343299</c:v>
                </c:pt>
                <c:pt idx="28">
                  <c:v>-0.62084268228816053</c:v>
                </c:pt>
                <c:pt idx="29">
                  <c:v>-0.85228234808323555</c:v>
                </c:pt>
                <c:pt idx="30">
                  <c:v>-0.89993564358948908</c:v>
                </c:pt>
                <c:pt idx="31">
                  <c:v>-0.98902978661222463</c:v>
                </c:pt>
                <c:pt idx="32">
                  <c:v>0.15723148987405669</c:v>
                </c:pt>
                <c:pt idx="33">
                  <c:v>2.1521118932552161</c:v>
                </c:pt>
                <c:pt idx="34">
                  <c:v>-0.78375165561449833</c:v>
                </c:pt>
                <c:pt idx="35">
                  <c:v>1.3680256486994413</c:v>
                </c:pt>
                <c:pt idx="36">
                  <c:v>2.570383326696736</c:v>
                </c:pt>
                <c:pt idx="37">
                  <c:v>1.649235697203487</c:v>
                </c:pt>
                <c:pt idx="38">
                  <c:v>1.1277127622042624</c:v>
                </c:pt>
                <c:pt idx="39">
                  <c:v>1.0685468607185216</c:v>
                </c:pt>
                <c:pt idx="40">
                  <c:v>-0.49614214026809345</c:v>
                </c:pt>
                <c:pt idx="41">
                  <c:v>-1.1397876875955499</c:v>
                </c:pt>
                <c:pt idx="42">
                  <c:v>1.7116273897227692</c:v>
                </c:pt>
                <c:pt idx="43">
                  <c:v>9.4922640373271722E-2</c:v>
                </c:pt>
                <c:pt idx="44">
                  <c:v>0.4390893997198082</c:v>
                </c:pt>
                <c:pt idx="45">
                  <c:v>-1.1251465078527485E-2</c:v>
                </c:pt>
                <c:pt idx="46">
                  <c:v>-0.72980306909997616</c:v>
                </c:pt>
                <c:pt idx="47">
                  <c:v>-0.56438961412211941</c:v>
                </c:pt>
                <c:pt idx="48">
                  <c:v>0.34171506692779641</c:v>
                </c:pt>
                <c:pt idx="49">
                  <c:v>-0.37366286128483417</c:v>
                </c:pt>
                <c:pt idx="50">
                  <c:v>0.47469579871713968</c:v>
                </c:pt>
                <c:pt idx="51">
                  <c:v>-0.73821544731096178</c:v>
                </c:pt>
                <c:pt idx="52">
                  <c:v>1.3675340784165491</c:v>
                </c:pt>
                <c:pt idx="53">
                  <c:v>1.4948432779222254</c:v>
                </c:pt>
                <c:pt idx="54">
                  <c:v>-8.3548864286910524E-2</c:v>
                </c:pt>
                <c:pt idx="55">
                  <c:v>-0.4065871547562398</c:v>
                </c:pt>
                <c:pt idx="56">
                  <c:v>-0.54491076478184119</c:v>
                </c:pt>
                <c:pt idx="57">
                  <c:v>-0.31970764959364184</c:v>
                </c:pt>
                <c:pt idx="58">
                  <c:v>5.6759644499698447E-2</c:v>
                </c:pt>
                <c:pt idx="59">
                  <c:v>-0.57375440510511566</c:v>
                </c:pt>
                <c:pt idx="60">
                  <c:v>1.2712163342306384</c:v>
                </c:pt>
                <c:pt idx="61">
                  <c:v>1.1460549497214532</c:v>
                </c:pt>
                <c:pt idx="62">
                  <c:v>-0.7480410807830763</c:v>
                </c:pt>
                <c:pt idx="63">
                  <c:v>2.9461447879262137E-2</c:v>
                </c:pt>
                <c:pt idx="64">
                  <c:v>-0.83605062259209184</c:v>
                </c:pt>
                <c:pt idx="65">
                  <c:v>-0.99793373510610273</c:v>
                </c:pt>
                <c:pt idx="66">
                  <c:v>-0.80413748229408966</c:v>
                </c:pt>
                <c:pt idx="67">
                  <c:v>-0.82815782727161735</c:v>
                </c:pt>
                <c:pt idx="68">
                  <c:v>-0.97698289010330264</c:v>
                </c:pt>
                <c:pt idx="69">
                  <c:v>-1.0219540800836304</c:v>
                </c:pt>
                <c:pt idx="70">
                  <c:v>-0.37995815229310287</c:v>
                </c:pt>
                <c:pt idx="71">
                  <c:v>-0.41130627426789618</c:v>
                </c:pt>
                <c:pt idx="72">
                  <c:v>0.77417458669805972</c:v>
                </c:pt>
                <c:pt idx="73">
                  <c:v>1.4618389112338332</c:v>
                </c:pt>
                <c:pt idx="74">
                  <c:v>1.4858592562113608</c:v>
                </c:pt>
                <c:pt idx="75">
                  <c:v>1.4618389112338332</c:v>
                </c:pt>
                <c:pt idx="76">
                  <c:v>-0.42338389857059244</c:v>
                </c:pt>
                <c:pt idx="77">
                  <c:v>-0.68364310207183787</c:v>
                </c:pt>
                <c:pt idx="78">
                  <c:v>6.9891142222340469E-2</c:v>
                </c:pt>
                <c:pt idx="79">
                  <c:v>-0.90580681612879776</c:v>
                </c:pt>
                <c:pt idx="80">
                  <c:v>-0.41187129259110489</c:v>
                </c:pt>
                <c:pt idx="81">
                  <c:v>-0.56002716126549079</c:v>
                </c:pt>
                <c:pt idx="82">
                  <c:v>-0.40148064079578166</c:v>
                </c:pt>
                <c:pt idx="83">
                  <c:v>1.0518542927382595</c:v>
                </c:pt>
                <c:pt idx="84">
                  <c:v>0.51441957488276058</c:v>
                </c:pt>
                <c:pt idx="85">
                  <c:v>-0.74649563708023814</c:v>
                </c:pt>
                <c:pt idx="86">
                  <c:v>7.2499799707949883E-2</c:v>
                </c:pt>
                <c:pt idx="87">
                  <c:v>-0.16848890612119843</c:v>
                </c:pt>
                <c:pt idx="88">
                  <c:v>-0.29819178626763299</c:v>
                </c:pt>
                <c:pt idx="89">
                  <c:v>-0.74332196127141992</c:v>
                </c:pt>
                <c:pt idx="90">
                  <c:v>2.6672660892058557</c:v>
                </c:pt>
                <c:pt idx="91">
                  <c:v>1.9624483542007023</c:v>
                </c:pt>
                <c:pt idx="92">
                  <c:v>9.0756211996707789E-3</c:v>
                </c:pt>
                <c:pt idx="93">
                  <c:v>1.9095777437232295</c:v>
                </c:pt>
                <c:pt idx="94">
                  <c:v>-0.3756998752705647</c:v>
                </c:pt>
                <c:pt idx="95">
                  <c:v>-0.30397411956206055</c:v>
                </c:pt>
                <c:pt idx="96">
                  <c:v>-0.97427005678360268</c:v>
                </c:pt>
                <c:pt idx="97">
                  <c:v>-0.9815978337808684</c:v>
                </c:pt>
                <c:pt idx="98">
                  <c:v>0.18300563022260366</c:v>
                </c:pt>
                <c:pt idx="99">
                  <c:v>-0.44077367331577244</c:v>
                </c:pt>
                <c:pt idx="100">
                  <c:v>0.73653117371499766</c:v>
                </c:pt>
                <c:pt idx="101">
                  <c:v>0.74078945073753577</c:v>
                </c:pt>
                <c:pt idx="102">
                  <c:v>0.87531562622971715</c:v>
                </c:pt>
                <c:pt idx="103">
                  <c:v>-0.77160058327148573</c:v>
                </c:pt>
                <c:pt idx="104">
                  <c:v>0.60355044192565432</c:v>
                </c:pt>
                <c:pt idx="105">
                  <c:v>-0.83287694678327362</c:v>
                </c:pt>
                <c:pt idx="106">
                  <c:v>1.387400322205629</c:v>
                </c:pt>
                <c:pt idx="107">
                  <c:v>-0.29819178626763299</c:v>
                </c:pt>
                <c:pt idx="108">
                  <c:v>0.71251082873746996</c:v>
                </c:pt>
                <c:pt idx="109">
                  <c:v>0.31235184371401059</c:v>
                </c:pt>
                <c:pt idx="110">
                  <c:v>-1.1758182050618413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BA-48D7-A354-F329601CC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7968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of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7968"/>
        <c:crosses val="autoZero"/>
        <c:crossBetween val="midCat"/>
      </c:valAx>
      <c:valAx>
        <c:axId val="307607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Tariff category assigned after training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Лист1!$O$3:$O$113</c:f>
              <c:numCache>
                <c:formatCode>General</c:formatCode>
                <c:ptCount val="111"/>
                <c:pt idx="0">
                  <c:v>1.6046259168959089</c:v>
                </c:pt>
                <c:pt idx="1">
                  <c:v>-1.4929997661553238</c:v>
                </c:pt>
                <c:pt idx="2">
                  <c:v>-1.4929997661553238</c:v>
                </c:pt>
                <c:pt idx="3">
                  <c:v>5.5813075370292599E-2</c:v>
                </c:pt>
                <c:pt idx="4">
                  <c:v>5.5813075370292599E-2</c:v>
                </c:pt>
                <c:pt idx="5">
                  <c:v>-1.4929997661553238</c:v>
                </c:pt>
                <c:pt idx="6">
                  <c:v>5.5813075370292599E-2</c:v>
                </c:pt>
                <c:pt idx="7">
                  <c:v>5.5813075370292599E-2</c:v>
                </c:pt>
                <c:pt idx="8">
                  <c:v>5.5813075370292599E-2</c:v>
                </c:pt>
                <c:pt idx="9">
                  <c:v>-1.4929997661553238</c:v>
                </c:pt>
                <c:pt idx="10">
                  <c:v>-1.4929997661553238</c:v>
                </c:pt>
                <c:pt idx="11">
                  <c:v>5.5813075370292599E-2</c:v>
                </c:pt>
                <c:pt idx="12">
                  <c:v>5.5813075370292599E-2</c:v>
                </c:pt>
                <c:pt idx="13">
                  <c:v>5.5813075370292599E-2</c:v>
                </c:pt>
                <c:pt idx="14">
                  <c:v>5.5813075370292599E-2</c:v>
                </c:pt>
                <c:pt idx="15">
                  <c:v>5.5813075370292599E-2</c:v>
                </c:pt>
                <c:pt idx="16">
                  <c:v>1.6046259168959089</c:v>
                </c:pt>
                <c:pt idx="17">
                  <c:v>5.5813075370292599E-2</c:v>
                </c:pt>
                <c:pt idx="18">
                  <c:v>5.5813075370292599E-2</c:v>
                </c:pt>
                <c:pt idx="19">
                  <c:v>5.5813075370292599E-2</c:v>
                </c:pt>
                <c:pt idx="20">
                  <c:v>-1.4929997661553238</c:v>
                </c:pt>
                <c:pt idx="21">
                  <c:v>5.5813075370292599E-2</c:v>
                </c:pt>
                <c:pt idx="22">
                  <c:v>5.5813075370292599E-2</c:v>
                </c:pt>
                <c:pt idx="23">
                  <c:v>-1.4929997661553238</c:v>
                </c:pt>
                <c:pt idx="24">
                  <c:v>5.5813075370292599E-2</c:v>
                </c:pt>
                <c:pt idx="25">
                  <c:v>-1.4929997661553238</c:v>
                </c:pt>
                <c:pt idx="26">
                  <c:v>1.6046259168959089</c:v>
                </c:pt>
                <c:pt idx="27">
                  <c:v>5.5813075370292599E-2</c:v>
                </c:pt>
                <c:pt idx="28">
                  <c:v>5.5813075370292599E-2</c:v>
                </c:pt>
                <c:pt idx="29">
                  <c:v>5.5813075370292599E-2</c:v>
                </c:pt>
                <c:pt idx="30">
                  <c:v>-1.4929997661553238</c:v>
                </c:pt>
                <c:pt idx="31">
                  <c:v>-1.4929997661553238</c:v>
                </c:pt>
                <c:pt idx="32">
                  <c:v>5.5813075370292599E-2</c:v>
                </c:pt>
                <c:pt idx="33">
                  <c:v>1.6046259168959089</c:v>
                </c:pt>
                <c:pt idx="34">
                  <c:v>-1.4929997661553238</c:v>
                </c:pt>
                <c:pt idx="35">
                  <c:v>5.5813075370292599E-2</c:v>
                </c:pt>
                <c:pt idx="36">
                  <c:v>5.5813075370292599E-2</c:v>
                </c:pt>
                <c:pt idx="37">
                  <c:v>1.6046259168959089</c:v>
                </c:pt>
                <c:pt idx="38">
                  <c:v>-1.4929997661553238</c:v>
                </c:pt>
                <c:pt idx="39">
                  <c:v>5.5813075370292599E-2</c:v>
                </c:pt>
                <c:pt idx="40">
                  <c:v>5.5813075370292599E-2</c:v>
                </c:pt>
                <c:pt idx="41">
                  <c:v>-1.4929997661553238</c:v>
                </c:pt>
                <c:pt idx="42">
                  <c:v>5.5813075370292599E-2</c:v>
                </c:pt>
                <c:pt idx="43">
                  <c:v>-1.4929997661553238</c:v>
                </c:pt>
                <c:pt idx="44">
                  <c:v>5.5813075370292599E-2</c:v>
                </c:pt>
                <c:pt idx="45">
                  <c:v>5.5813075370292599E-2</c:v>
                </c:pt>
                <c:pt idx="46">
                  <c:v>5.5813075370292599E-2</c:v>
                </c:pt>
                <c:pt idx="47">
                  <c:v>5.5813075370292599E-2</c:v>
                </c:pt>
                <c:pt idx="48">
                  <c:v>5.5813075370292599E-2</c:v>
                </c:pt>
                <c:pt idx="49">
                  <c:v>5.5813075370292599E-2</c:v>
                </c:pt>
                <c:pt idx="50">
                  <c:v>5.5813075370292599E-2</c:v>
                </c:pt>
                <c:pt idx="51">
                  <c:v>5.5813075370292599E-2</c:v>
                </c:pt>
                <c:pt idx="52">
                  <c:v>1.6046259168959089</c:v>
                </c:pt>
                <c:pt idx="53">
                  <c:v>5.5813075370292599E-2</c:v>
                </c:pt>
                <c:pt idx="54">
                  <c:v>5.5813075370292599E-2</c:v>
                </c:pt>
                <c:pt idx="55">
                  <c:v>1.6046259168959089</c:v>
                </c:pt>
                <c:pt idx="56">
                  <c:v>1.6046259168959089</c:v>
                </c:pt>
                <c:pt idx="57">
                  <c:v>-1.4929997661553238</c:v>
                </c:pt>
                <c:pt idx="58">
                  <c:v>5.5813075370292599E-2</c:v>
                </c:pt>
                <c:pt idx="59">
                  <c:v>5.5813075370292599E-2</c:v>
                </c:pt>
                <c:pt idx="60">
                  <c:v>1.6046259168959089</c:v>
                </c:pt>
                <c:pt idx="61">
                  <c:v>5.5813075370292599E-2</c:v>
                </c:pt>
                <c:pt idx="62">
                  <c:v>-1.4929997661553238</c:v>
                </c:pt>
                <c:pt idx="63">
                  <c:v>5.5813075370292599E-2</c:v>
                </c:pt>
                <c:pt idx="64">
                  <c:v>-1.4929997661553238</c:v>
                </c:pt>
                <c:pt idx="65">
                  <c:v>5.5813075370292599E-2</c:v>
                </c:pt>
                <c:pt idx="66">
                  <c:v>5.5813075370292599E-2</c:v>
                </c:pt>
                <c:pt idx="67">
                  <c:v>5.5813075370292599E-2</c:v>
                </c:pt>
                <c:pt idx="68">
                  <c:v>5.5813075370292599E-2</c:v>
                </c:pt>
                <c:pt idx="69">
                  <c:v>5.5813075370292599E-2</c:v>
                </c:pt>
                <c:pt idx="70">
                  <c:v>5.5813075370292599E-2</c:v>
                </c:pt>
                <c:pt idx="71">
                  <c:v>5.5813075370292599E-2</c:v>
                </c:pt>
                <c:pt idx="72">
                  <c:v>5.5813075370292599E-2</c:v>
                </c:pt>
                <c:pt idx="73">
                  <c:v>1.6046259168959089</c:v>
                </c:pt>
                <c:pt idx="74">
                  <c:v>1.6046259168959089</c:v>
                </c:pt>
                <c:pt idx="75">
                  <c:v>1.6046259168959089</c:v>
                </c:pt>
                <c:pt idx="76">
                  <c:v>1.6046259168959089</c:v>
                </c:pt>
                <c:pt idx="77">
                  <c:v>5.5813075370292599E-2</c:v>
                </c:pt>
                <c:pt idx="78">
                  <c:v>1.6046259168959089</c:v>
                </c:pt>
                <c:pt idx="79">
                  <c:v>-1.4929997661553238</c:v>
                </c:pt>
                <c:pt idx="80">
                  <c:v>-1.4929997661553238</c:v>
                </c:pt>
                <c:pt idx="81">
                  <c:v>5.5813075370292599E-2</c:v>
                </c:pt>
                <c:pt idx="82">
                  <c:v>1.6046259168959089</c:v>
                </c:pt>
                <c:pt idx="83">
                  <c:v>5.5813075370292599E-2</c:v>
                </c:pt>
                <c:pt idx="84">
                  <c:v>-1.4929997661553238</c:v>
                </c:pt>
                <c:pt idx="85">
                  <c:v>5.5813075370292599E-2</c:v>
                </c:pt>
                <c:pt idx="86">
                  <c:v>5.5813075370292599E-2</c:v>
                </c:pt>
                <c:pt idx="87">
                  <c:v>5.5813075370292599E-2</c:v>
                </c:pt>
                <c:pt idx="88">
                  <c:v>5.5813075370292599E-2</c:v>
                </c:pt>
                <c:pt idx="89">
                  <c:v>5.5813075370292599E-2</c:v>
                </c:pt>
                <c:pt idx="90">
                  <c:v>1.6046259168959089</c:v>
                </c:pt>
                <c:pt idx="91">
                  <c:v>-1.4929997661553238</c:v>
                </c:pt>
                <c:pt idx="92">
                  <c:v>1.6046259168959089</c:v>
                </c:pt>
                <c:pt idx="93">
                  <c:v>5.5813075370292599E-2</c:v>
                </c:pt>
                <c:pt idx="94">
                  <c:v>5.5813075370292599E-2</c:v>
                </c:pt>
                <c:pt idx="95">
                  <c:v>1.6046259168959089</c:v>
                </c:pt>
                <c:pt idx="96">
                  <c:v>-1.4929997661553238</c:v>
                </c:pt>
                <c:pt idx="97">
                  <c:v>-1.4929997661553238</c:v>
                </c:pt>
                <c:pt idx="98">
                  <c:v>1.6046259168959089</c:v>
                </c:pt>
                <c:pt idx="99">
                  <c:v>5.5813075370292599E-2</c:v>
                </c:pt>
                <c:pt idx="100">
                  <c:v>5.5813075370292599E-2</c:v>
                </c:pt>
                <c:pt idx="101">
                  <c:v>5.5813075370292599E-2</c:v>
                </c:pt>
                <c:pt idx="102">
                  <c:v>1.6046259168959089</c:v>
                </c:pt>
                <c:pt idx="103">
                  <c:v>5.5813075370292599E-2</c:v>
                </c:pt>
                <c:pt idx="104">
                  <c:v>5.5813075370292599E-2</c:v>
                </c:pt>
                <c:pt idx="105">
                  <c:v>-1.4929997661553238</c:v>
                </c:pt>
                <c:pt idx="106">
                  <c:v>1.6046259168959089</c:v>
                </c:pt>
                <c:pt idx="107">
                  <c:v>5.5813075370292599E-2</c:v>
                </c:pt>
                <c:pt idx="108">
                  <c:v>5.5813075370292599E-2</c:v>
                </c:pt>
                <c:pt idx="109">
                  <c:v>5.5813075370292599E-2</c:v>
                </c:pt>
                <c:pt idx="110">
                  <c:v>-1.4929997661553238</c:v>
                </c:pt>
              </c:numCache>
            </c:numRef>
          </c:xVal>
          <c:yVal>
            <c:numRef>
              <c:f>Лист1!$K$3:$K$113</c:f>
              <c:numCache>
                <c:formatCode>General</c:formatCode>
                <c:ptCount val="111"/>
                <c:pt idx="0">
                  <c:v>0.65802588201924328</c:v>
                </c:pt>
                <c:pt idx="1">
                  <c:v>0.34631167536110058</c:v>
                </c:pt>
                <c:pt idx="2">
                  <c:v>0.40865451669272912</c:v>
                </c:pt>
                <c:pt idx="3">
                  <c:v>0.34631167536110058</c:v>
                </c:pt>
                <c:pt idx="4">
                  <c:v>-0.1212596346261135</c:v>
                </c:pt>
                <c:pt idx="5">
                  <c:v>-0.58883094461332763</c:v>
                </c:pt>
                <c:pt idx="6">
                  <c:v>0.19045457203202923</c:v>
                </c:pt>
                <c:pt idx="7">
                  <c:v>-1.0875736752663561</c:v>
                </c:pt>
                <c:pt idx="8">
                  <c:v>-0.90054515127147028</c:v>
                </c:pt>
                <c:pt idx="9">
                  <c:v>-0.83820230993984179</c:v>
                </c:pt>
                <c:pt idx="10">
                  <c:v>-0.58883094461332763</c:v>
                </c:pt>
                <c:pt idx="11">
                  <c:v>-0.83820230993984179</c:v>
                </c:pt>
                <c:pt idx="12">
                  <c:v>-0.7758594686082132</c:v>
                </c:pt>
                <c:pt idx="13">
                  <c:v>-0.80703088927402755</c:v>
                </c:pt>
                <c:pt idx="14">
                  <c:v>-0.68234520661077036</c:v>
                </c:pt>
                <c:pt idx="15">
                  <c:v>-0.80703088927402755</c:v>
                </c:pt>
                <c:pt idx="16">
                  <c:v>0.90739724734575755</c:v>
                </c:pt>
                <c:pt idx="17">
                  <c:v>-1.0252308339347274</c:v>
                </c:pt>
                <c:pt idx="18">
                  <c:v>-1.3681164612586845</c:v>
                </c:pt>
                <c:pt idx="19">
                  <c:v>-1.2434307785954273</c:v>
                </c:pt>
                <c:pt idx="20">
                  <c:v>-1.212259357929613</c:v>
                </c:pt>
                <c:pt idx="21">
                  <c:v>-0.43297384128425626</c:v>
                </c:pt>
                <c:pt idx="22">
                  <c:v>-0.27711673795518488</c:v>
                </c:pt>
                <c:pt idx="23">
                  <c:v>-0.58883094461332763</c:v>
                </c:pt>
                <c:pt idx="24">
                  <c:v>3.4597468702957865E-2</c:v>
                </c:pt>
                <c:pt idx="25">
                  <c:v>-0.43297384128425626</c:v>
                </c:pt>
                <c:pt idx="26">
                  <c:v>-0.1212596346261135</c:v>
                </c:pt>
                <c:pt idx="27">
                  <c:v>-1.2746021992612415</c:v>
                </c:pt>
                <c:pt idx="28">
                  <c:v>0.15928315136621496</c:v>
                </c:pt>
                <c:pt idx="29">
                  <c:v>-0.83820230993984179</c:v>
                </c:pt>
                <c:pt idx="30">
                  <c:v>-0.71351662727658471</c:v>
                </c:pt>
                <c:pt idx="31">
                  <c:v>-0.90054515127147028</c:v>
                </c:pt>
                <c:pt idx="32">
                  <c:v>1.4061399779987858</c:v>
                </c:pt>
                <c:pt idx="33">
                  <c:v>1.7801970259885571</c:v>
                </c:pt>
                <c:pt idx="34">
                  <c:v>0.5333401993559862</c:v>
                </c:pt>
                <c:pt idx="35">
                  <c:v>1.2814542953355288</c:v>
                </c:pt>
                <c:pt idx="36">
                  <c:v>2.2165969153099572</c:v>
                </c:pt>
                <c:pt idx="37">
                  <c:v>1.998396970649257</c:v>
                </c:pt>
                <c:pt idx="38">
                  <c:v>1.5931685019936714</c:v>
                </c:pt>
                <c:pt idx="39">
                  <c:v>0.72036872335087188</c:v>
                </c:pt>
                <c:pt idx="40">
                  <c:v>-0.4641452619500705</c:v>
                </c:pt>
                <c:pt idx="41">
                  <c:v>-1.0875736752663561</c:v>
                </c:pt>
                <c:pt idx="42">
                  <c:v>1.9360541293176285</c:v>
                </c:pt>
                <c:pt idx="43">
                  <c:v>-5.8916793294484952E-2</c:v>
                </c:pt>
                <c:pt idx="44">
                  <c:v>9.6940310034586405E-2</c:v>
                </c:pt>
                <c:pt idx="45">
                  <c:v>-0.21477389662355631</c:v>
                </c:pt>
                <c:pt idx="46">
                  <c:v>-0.58883094461332763</c:v>
                </c:pt>
                <c:pt idx="47">
                  <c:v>-0.83820230993984179</c:v>
                </c:pt>
                <c:pt idx="48">
                  <c:v>0.47099735802435766</c:v>
                </c:pt>
                <c:pt idx="49">
                  <c:v>-0.65117378594495612</c:v>
                </c:pt>
                <c:pt idx="50">
                  <c:v>0.12811173070040069</c:v>
                </c:pt>
                <c:pt idx="51">
                  <c:v>-0.83820230993984179</c:v>
                </c:pt>
                <c:pt idx="52">
                  <c:v>1.4373113986646002</c:v>
                </c:pt>
                <c:pt idx="53">
                  <c:v>1.5931685019936714</c:v>
                </c:pt>
                <c:pt idx="54">
                  <c:v>-9.0088213960299229E-2</c:v>
                </c:pt>
                <c:pt idx="55">
                  <c:v>-0.27711673795518488</c:v>
                </c:pt>
                <c:pt idx="56">
                  <c:v>-0.71351662727658471</c:v>
                </c:pt>
                <c:pt idx="57">
                  <c:v>-0.43297384128425626</c:v>
                </c:pt>
                <c:pt idx="58">
                  <c:v>-0.43297384128425626</c:v>
                </c:pt>
                <c:pt idx="59">
                  <c:v>-0.27711673795518488</c:v>
                </c:pt>
                <c:pt idx="60">
                  <c:v>1.1255971920064574</c:v>
                </c:pt>
                <c:pt idx="61">
                  <c:v>1.1255971920064574</c:v>
                </c:pt>
                <c:pt idx="62">
                  <c:v>-0.52648810328169904</c:v>
                </c:pt>
                <c:pt idx="63">
                  <c:v>-0.27711673795518488</c:v>
                </c:pt>
                <c:pt idx="64">
                  <c:v>-0.74468804794239896</c:v>
                </c:pt>
                <c:pt idx="65">
                  <c:v>-1.212259357929613</c:v>
                </c:pt>
                <c:pt idx="66">
                  <c:v>-0.90054515127147028</c:v>
                </c:pt>
                <c:pt idx="67">
                  <c:v>-0.96288799260309887</c:v>
                </c:pt>
                <c:pt idx="68">
                  <c:v>-1.212259357929613</c:v>
                </c:pt>
                <c:pt idx="69">
                  <c:v>-1.2434307785954273</c:v>
                </c:pt>
                <c:pt idx="70">
                  <c:v>0.50216877869017196</c:v>
                </c:pt>
                <c:pt idx="71">
                  <c:v>0.12811173070040069</c:v>
                </c:pt>
                <c:pt idx="72">
                  <c:v>0.34631167536110058</c:v>
                </c:pt>
                <c:pt idx="73">
                  <c:v>2.5283111219680996</c:v>
                </c:pt>
                <c:pt idx="74">
                  <c:v>2.0607398119808855</c:v>
                </c:pt>
                <c:pt idx="75">
                  <c:v>2.8400253286262425</c:v>
                </c:pt>
                <c:pt idx="76">
                  <c:v>-0.33945957928681342</c:v>
                </c:pt>
                <c:pt idx="77">
                  <c:v>-0.52648810328169904</c:v>
                </c:pt>
                <c:pt idx="78">
                  <c:v>0.19045457203202923</c:v>
                </c:pt>
                <c:pt idx="79">
                  <c:v>-0.65117378594495612</c:v>
                </c:pt>
                <c:pt idx="80">
                  <c:v>1.5806999337273457</c:v>
                </c:pt>
                <c:pt idx="81">
                  <c:v>-0.58883094461332763</c:v>
                </c:pt>
                <c:pt idx="82">
                  <c:v>-0.58883094461332763</c:v>
                </c:pt>
                <c:pt idx="83">
                  <c:v>0.96974008867738604</c:v>
                </c:pt>
                <c:pt idx="84">
                  <c:v>-0.15243105529192777</c:v>
                </c:pt>
                <c:pt idx="85">
                  <c:v>-0.65117378594495612</c:v>
                </c:pt>
                <c:pt idx="86">
                  <c:v>-0.30828815862099912</c:v>
                </c:pt>
                <c:pt idx="87">
                  <c:v>-0.27711673795518488</c:v>
                </c:pt>
                <c:pt idx="88">
                  <c:v>-0.43297384128425626</c:v>
                </c:pt>
                <c:pt idx="89">
                  <c:v>-0.56389380808067613</c:v>
                </c:pt>
                <c:pt idx="90">
                  <c:v>3.1517395352843853</c:v>
                </c:pt>
                <c:pt idx="91">
                  <c:v>2.0295683913150713</c:v>
                </c:pt>
                <c:pt idx="92">
                  <c:v>-0.27711673795518488</c:v>
                </c:pt>
                <c:pt idx="93">
                  <c:v>1.5619970813278572</c:v>
                </c:pt>
                <c:pt idx="94">
                  <c:v>-0.71351662727658471</c:v>
                </c:pt>
                <c:pt idx="95">
                  <c:v>-0.21477389662355631</c:v>
                </c:pt>
                <c:pt idx="96">
                  <c:v>-0.43297384128425626</c:v>
                </c:pt>
                <c:pt idx="97">
                  <c:v>-0.48284811434955904</c:v>
                </c:pt>
                <c:pt idx="98">
                  <c:v>3.4597468702957865E-2</c:v>
                </c:pt>
                <c:pt idx="99">
                  <c:v>-0.83820230993984179</c:v>
                </c:pt>
                <c:pt idx="100">
                  <c:v>-0.15243105529192777</c:v>
                </c:pt>
                <c:pt idx="101">
                  <c:v>0.8762258266799432</c:v>
                </c:pt>
                <c:pt idx="102">
                  <c:v>0.8762258266799432</c:v>
                </c:pt>
                <c:pt idx="103">
                  <c:v>-1.1187450959321703</c:v>
                </c:pt>
                <c:pt idx="104">
                  <c:v>0.34631167536110058</c:v>
                </c:pt>
                <c:pt idx="105">
                  <c:v>-0.71351662727658471</c:v>
                </c:pt>
                <c:pt idx="106">
                  <c:v>0.96974008867738604</c:v>
                </c:pt>
                <c:pt idx="107">
                  <c:v>-0.33945957928681342</c:v>
                </c:pt>
                <c:pt idx="108">
                  <c:v>0.34631167536110058</c:v>
                </c:pt>
                <c:pt idx="109">
                  <c:v>0.19045457203202923</c:v>
                </c:pt>
                <c:pt idx="110">
                  <c:v>-1.1499165165979846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C5-4FB3-A96C-CD7DF8096047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Лист1!$O$3:$O$113</c:f>
              <c:numCache>
                <c:formatCode>General</c:formatCode>
                <c:ptCount val="111"/>
                <c:pt idx="0">
                  <c:v>1.6046259168959089</c:v>
                </c:pt>
                <c:pt idx="1">
                  <c:v>-1.4929997661553238</c:v>
                </c:pt>
                <c:pt idx="2">
                  <c:v>-1.4929997661553238</c:v>
                </c:pt>
                <c:pt idx="3">
                  <c:v>5.5813075370292599E-2</c:v>
                </c:pt>
                <c:pt idx="4">
                  <c:v>5.5813075370292599E-2</c:v>
                </c:pt>
                <c:pt idx="5">
                  <c:v>-1.4929997661553238</c:v>
                </c:pt>
                <c:pt idx="6">
                  <c:v>5.5813075370292599E-2</c:v>
                </c:pt>
                <c:pt idx="7">
                  <c:v>5.5813075370292599E-2</c:v>
                </c:pt>
                <c:pt idx="8">
                  <c:v>5.5813075370292599E-2</c:v>
                </c:pt>
                <c:pt idx="9">
                  <c:v>-1.4929997661553238</c:v>
                </c:pt>
                <c:pt idx="10">
                  <c:v>-1.4929997661553238</c:v>
                </c:pt>
                <c:pt idx="11">
                  <c:v>5.5813075370292599E-2</c:v>
                </c:pt>
                <c:pt idx="12">
                  <c:v>5.5813075370292599E-2</c:v>
                </c:pt>
                <c:pt idx="13">
                  <c:v>5.5813075370292599E-2</c:v>
                </c:pt>
                <c:pt idx="14">
                  <c:v>5.5813075370292599E-2</c:v>
                </c:pt>
                <c:pt idx="15">
                  <c:v>5.5813075370292599E-2</c:v>
                </c:pt>
                <c:pt idx="16">
                  <c:v>1.6046259168959089</c:v>
                </c:pt>
                <c:pt idx="17">
                  <c:v>5.5813075370292599E-2</c:v>
                </c:pt>
                <c:pt idx="18">
                  <c:v>5.5813075370292599E-2</c:v>
                </c:pt>
                <c:pt idx="19">
                  <c:v>5.5813075370292599E-2</c:v>
                </c:pt>
                <c:pt idx="20">
                  <c:v>-1.4929997661553238</c:v>
                </c:pt>
                <c:pt idx="21">
                  <c:v>5.5813075370292599E-2</c:v>
                </c:pt>
                <c:pt idx="22">
                  <c:v>5.5813075370292599E-2</c:v>
                </c:pt>
                <c:pt idx="23">
                  <c:v>-1.4929997661553238</c:v>
                </c:pt>
                <c:pt idx="24">
                  <c:v>5.5813075370292599E-2</c:v>
                </c:pt>
                <c:pt idx="25">
                  <c:v>-1.4929997661553238</c:v>
                </c:pt>
                <c:pt idx="26">
                  <c:v>1.6046259168959089</c:v>
                </c:pt>
                <c:pt idx="27">
                  <c:v>5.5813075370292599E-2</c:v>
                </c:pt>
                <c:pt idx="28">
                  <c:v>5.5813075370292599E-2</c:v>
                </c:pt>
                <c:pt idx="29">
                  <c:v>5.5813075370292599E-2</c:v>
                </c:pt>
                <c:pt idx="30">
                  <c:v>-1.4929997661553238</c:v>
                </c:pt>
                <c:pt idx="31">
                  <c:v>-1.4929997661553238</c:v>
                </c:pt>
                <c:pt idx="32">
                  <c:v>5.5813075370292599E-2</c:v>
                </c:pt>
                <c:pt idx="33">
                  <c:v>1.6046259168959089</c:v>
                </c:pt>
                <c:pt idx="34">
                  <c:v>-1.4929997661553238</c:v>
                </c:pt>
                <c:pt idx="35">
                  <c:v>5.5813075370292599E-2</c:v>
                </c:pt>
                <c:pt idx="36">
                  <c:v>5.5813075370292599E-2</c:v>
                </c:pt>
                <c:pt idx="37">
                  <c:v>1.6046259168959089</c:v>
                </c:pt>
                <c:pt idx="38">
                  <c:v>-1.4929997661553238</c:v>
                </c:pt>
                <c:pt idx="39">
                  <c:v>5.5813075370292599E-2</c:v>
                </c:pt>
                <c:pt idx="40">
                  <c:v>5.5813075370292599E-2</c:v>
                </c:pt>
                <c:pt idx="41">
                  <c:v>-1.4929997661553238</c:v>
                </c:pt>
                <c:pt idx="42">
                  <c:v>5.5813075370292599E-2</c:v>
                </c:pt>
                <c:pt idx="43">
                  <c:v>-1.4929997661553238</c:v>
                </c:pt>
                <c:pt idx="44">
                  <c:v>5.5813075370292599E-2</c:v>
                </c:pt>
                <c:pt idx="45">
                  <c:v>5.5813075370292599E-2</c:v>
                </c:pt>
                <c:pt idx="46">
                  <c:v>5.5813075370292599E-2</c:v>
                </c:pt>
                <c:pt idx="47">
                  <c:v>5.5813075370292599E-2</c:v>
                </c:pt>
                <c:pt idx="48">
                  <c:v>5.5813075370292599E-2</c:v>
                </c:pt>
                <c:pt idx="49">
                  <c:v>5.5813075370292599E-2</c:v>
                </c:pt>
                <c:pt idx="50">
                  <c:v>5.5813075370292599E-2</c:v>
                </c:pt>
                <c:pt idx="51">
                  <c:v>5.5813075370292599E-2</c:v>
                </c:pt>
                <c:pt idx="52">
                  <c:v>1.6046259168959089</c:v>
                </c:pt>
                <c:pt idx="53">
                  <c:v>5.5813075370292599E-2</c:v>
                </c:pt>
                <c:pt idx="54">
                  <c:v>5.5813075370292599E-2</c:v>
                </c:pt>
                <c:pt idx="55">
                  <c:v>1.6046259168959089</c:v>
                </c:pt>
                <c:pt idx="56">
                  <c:v>1.6046259168959089</c:v>
                </c:pt>
                <c:pt idx="57">
                  <c:v>-1.4929997661553238</c:v>
                </c:pt>
                <c:pt idx="58">
                  <c:v>5.5813075370292599E-2</c:v>
                </c:pt>
                <c:pt idx="59">
                  <c:v>5.5813075370292599E-2</c:v>
                </c:pt>
                <c:pt idx="60">
                  <c:v>1.6046259168959089</c:v>
                </c:pt>
                <c:pt idx="61">
                  <c:v>5.5813075370292599E-2</c:v>
                </c:pt>
                <c:pt idx="62">
                  <c:v>-1.4929997661553238</c:v>
                </c:pt>
                <c:pt idx="63">
                  <c:v>5.5813075370292599E-2</c:v>
                </c:pt>
                <c:pt idx="64">
                  <c:v>-1.4929997661553238</c:v>
                </c:pt>
                <c:pt idx="65">
                  <c:v>5.5813075370292599E-2</c:v>
                </c:pt>
                <c:pt idx="66">
                  <c:v>5.5813075370292599E-2</c:v>
                </c:pt>
                <c:pt idx="67">
                  <c:v>5.5813075370292599E-2</c:v>
                </c:pt>
                <c:pt idx="68">
                  <c:v>5.5813075370292599E-2</c:v>
                </c:pt>
                <c:pt idx="69">
                  <c:v>5.5813075370292599E-2</c:v>
                </c:pt>
                <c:pt idx="70">
                  <c:v>5.5813075370292599E-2</c:v>
                </c:pt>
                <c:pt idx="71">
                  <c:v>5.5813075370292599E-2</c:v>
                </c:pt>
                <c:pt idx="72">
                  <c:v>5.5813075370292599E-2</c:v>
                </c:pt>
                <c:pt idx="73">
                  <c:v>1.6046259168959089</c:v>
                </c:pt>
                <c:pt idx="74">
                  <c:v>1.6046259168959089</c:v>
                </c:pt>
                <c:pt idx="75">
                  <c:v>1.6046259168959089</c:v>
                </c:pt>
                <c:pt idx="76">
                  <c:v>1.6046259168959089</c:v>
                </c:pt>
                <c:pt idx="77">
                  <c:v>5.5813075370292599E-2</c:v>
                </c:pt>
                <c:pt idx="78">
                  <c:v>1.6046259168959089</c:v>
                </c:pt>
                <c:pt idx="79">
                  <c:v>-1.4929997661553238</c:v>
                </c:pt>
                <c:pt idx="80">
                  <c:v>-1.4929997661553238</c:v>
                </c:pt>
                <c:pt idx="81">
                  <c:v>5.5813075370292599E-2</c:v>
                </c:pt>
                <c:pt idx="82">
                  <c:v>1.6046259168959089</c:v>
                </c:pt>
                <c:pt idx="83">
                  <c:v>5.5813075370292599E-2</c:v>
                </c:pt>
                <c:pt idx="84">
                  <c:v>-1.4929997661553238</c:v>
                </c:pt>
                <c:pt idx="85">
                  <c:v>5.5813075370292599E-2</c:v>
                </c:pt>
                <c:pt idx="86">
                  <c:v>5.5813075370292599E-2</c:v>
                </c:pt>
                <c:pt idx="87">
                  <c:v>5.5813075370292599E-2</c:v>
                </c:pt>
                <c:pt idx="88">
                  <c:v>5.5813075370292599E-2</c:v>
                </c:pt>
                <c:pt idx="89">
                  <c:v>5.5813075370292599E-2</c:v>
                </c:pt>
                <c:pt idx="90">
                  <c:v>1.6046259168959089</c:v>
                </c:pt>
                <c:pt idx="91">
                  <c:v>-1.4929997661553238</c:v>
                </c:pt>
                <c:pt idx="92">
                  <c:v>1.6046259168959089</c:v>
                </c:pt>
                <c:pt idx="93">
                  <c:v>5.5813075370292599E-2</c:v>
                </c:pt>
                <c:pt idx="94">
                  <c:v>5.5813075370292599E-2</c:v>
                </c:pt>
                <c:pt idx="95">
                  <c:v>1.6046259168959089</c:v>
                </c:pt>
                <c:pt idx="96">
                  <c:v>-1.4929997661553238</c:v>
                </c:pt>
                <c:pt idx="97">
                  <c:v>-1.4929997661553238</c:v>
                </c:pt>
                <c:pt idx="98">
                  <c:v>1.6046259168959089</c:v>
                </c:pt>
                <c:pt idx="99">
                  <c:v>5.5813075370292599E-2</c:v>
                </c:pt>
                <c:pt idx="100">
                  <c:v>5.5813075370292599E-2</c:v>
                </c:pt>
                <c:pt idx="101">
                  <c:v>5.5813075370292599E-2</c:v>
                </c:pt>
                <c:pt idx="102">
                  <c:v>1.6046259168959089</c:v>
                </c:pt>
                <c:pt idx="103">
                  <c:v>5.5813075370292599E-2</c:v>
                </c:pt>
                <c:pt idx="104">
                  <c:v>5.5813075370292599E-2</c:v>
                </c:pt>
                <c:pt idx="105">
                  <c:v>-1.4929997661553238</c:v>
                </c:pt>
                <c:pt idx="106">
                  <c:v>1.6046259168959089</c:v>
                </c:pt>
                <c:pt idx="107">
                  <c:v>5.5813075370292599E-2</c:v>
                </c:pt>
                <c:pt idx="108">
                  <c:v>5.5813075370292599E-2</c:v>
                </c:pt>
                <c:pt idx="109">
                  <c:v>5.5813075370292599E-2</c:v>
                </c:pt>
                <c:pt idx="110">
                  <c:v>-1.4929997661553238</c:v>
                </c:pt>
              </c:numCache>
            </c:numRef>
          </c:xVal>
          <c:yVal>
            <c:numRef>
              <c:f>Лист3!$B$29:$B$139</c:f>
              <c:numCache>
                <c:formatCode>General</c:formatCode>
                <c:ptCount val="111"/>
                <c:pt idx="0">
                  <c:v>0.62496212941757256</c:v>
                </c:pt>
                <c:pt idx="1">
                  <c:v>0.67260942869744211</c:v>
                </c:pt>
                <c:pt idx="2">
                  <c:v>0.52865101040833207</c:v>
                </c:pt>
                <c:pt idx="3">
                  <c:v>0.3522165197338803</c:v>
                </c:pt>
                <c:pt idx="4">
                  <c:v>0.28005130896720676</c:v>
                </c:pt>
                <c:pt idx="5">
                  <c:v>0.15370114741021093</c:v>
                </c:pt>
                <c:pt idx="6">
                  <c:v>0.6202430099059163</c:v>
                </c:pt>
                <c:pt idx="7">
                  <c:v>-0.85024533409750502</c:v>
                </c:pt>
                <c:pt idx="8">
                  <c:v>-0.77477425908030384</c:v>
                </c:pt>
                <c:pt idx="9">
                  <c:v>-0.87591529861196138</c:v>
                </c:pt>
                <c:pt idx="10">
                  <c:v>-0.62130352477727868</c:v>
                </c:pt>
                <c:pt idx="11">
                  <c:v>-0.50050459312472229</c:v>
                </c:pt>
                <c:pt idx="12">
                  <c:v>-0.38728592929036854</c:v>
                </c:pt>
                <c:pt idx="13">
                  <c:v>-0.52026666107971176</c:v>
                </c:pt>
                <c:pt idx="14">
                  <c:v>-0.46063991710485264</c:v>
                </c:pt>
                <c:pt idx="15">
                  <c:v>-0.44862974461608884</c:v>
                </c:pt>
                <c:pt idx="16">
                  <c:v>7.925593320533672E-2</c:v>
                </c:pt>
                <c:pt idx="17">
                  <c:v>-0.93711821408343299</c:v>
                </c:pt>
                <c:pt idx="18">
                  <c:v>-0.92032147026908051</c:v>
                </c:pt>
                <c:pt idx="19">
                  <c:v>-1.0292818570808961</c:v>
                </c:pt>
                <c:pt idx="20">
                  <c:v>-0.99839457759522088</c:v>
                </c:pt>
                <c:pt idx="21">
                  <c:v>-0.39045960509918665</c:v>
                </c:pt>
                <c:pt idx="22">
                  <c:v>-0.1710301117928755</c:v>
                </c:pt>
                <c:pt idx="23">
                  <c:v>-0.50829321261110616</c:v>
                </c:pt>
                <c:pt idx="24">
                  <c:v>-0.28414459979313861</c:v>
                </c:pt>
                <c:pt idx="25">
                  <c:v>-0.39933282579929058</c:v>
                </c:pt>
                <c:pt idx="26">
                  <c:v>-0.1803581787557135</c:v>
                </c:pt>
                <c:pt idx="27">
                  <c:v>-0.93711821408343299</c:v>
                </c:pt>
                <c:pt idx="28">
                  <c:v>-0.62084268228816053</c:v>
                </c:pt>
                <c:pt idx="29">
                  <c:v>-0.85228234808323555</c:v>
                </c:pt>
                <c:pt idx="30">
                  <c:v>-0.89993564358948908</c:v>
                </c:pt>
                <c:pt idx="31">
                  <c:v>-0.98902978661222463</c:v>
                </c:pt>
                <c:pt idx="32">
                  <c:v>0.15723148987405669</c:v>
                </c:pt>
                <c:pt idx="33">
                  <c:v>2.1521118932552161</c:v>
                </c:pt>
                <c:pt idx="34">
                  <c:v>-0.78375165561449833</c:v>
                </c:pt>
                <c:pt idx="35">
                  <c:v>1.3680256486994413</c:v>
                </c:pt>
                <c:pt idx="36">
                  <c:v>2.570383326696736</c:v>
                </c:pt>
                <c:pt idx="37">
                  <c:v>1.649235697203487</c:v>
                </c:pt>
                <c:pt idx="38">
                  <c:v>1.1277127622042624</c:v>
                </c:pt>
                <c:pt idx="39">
                  <c:v>1.0685468607185216</c:v>
                </c:pt>
                <c:pt idx="40">
                  <c:v>-0.49614214026809345</c:v>
                </c:pt>
                <c:pt idx="41">
                  <c:v>-1.1397876875955499</c:v>
                </c:pt>
                <c:pt idx="42">
                  <c:v>1.7116273897227692</c:v>
                </c:pt>
                <c:pt idx="43">
                  <c:v>9.4922640373271722E-2</c:v>
                </c:pt>
                <c:pt idx="44">
                  <c:v>0.4390893997198082</c:v>
                </c:pt>
                <c:pt idx="45">
                  <c:v>-1.1251465078527485E-2</c:v>
                </c:pt>
                <c:pt idx="46">
                  <c:v>-0.72980306909997616</c:v>
                </c:pt>
                <c:pt idx="47">
                  <c:v>-0.56438961412211941</c:v>
                </c:pt>
                <c:pt idx="48">
                  <c:v>0.34171506692779641</c:v>
                </c:pt>
                <c:pt idx="49">
                  <c:v>-0.37366286128483417</c:v>
                </c:pt>
                <c:pt idx="50">
                  <c:v>0.47469579871713968</c:v>
                </c:pt>
                <c:pt idx="51">
                  <c:v>-0.73821544731096178</c:v>
                </c:pt>
                <c:pt idx="52">
                  <c:v>1.3675340784165491</c:v>
                </c:pt>
                <c:pt idx="53">
                  <c:v>1.4948432779222254</c:v>
                </c:pt>
                <c:pt idx="54">
                  <c:v>-8.3548864286910524E-2</c:v>
                </c:pt>
                <c:pt idx="55">
                  <c:v>-0.4065871547562398</c:v>
                </c:pt>
                <c:pt idx="56">
                  <c:v>-0.54491076478184119</c:v>
                </c:pt>
                <c:pt idx="57">
                  <c:v>-0.31970764959364184</c:v>
                </c:pt>
                <c:pt idx="58">
                  <c:v>5.6759644499698447E-2</c:v>
                </c:pt>
                <c:pt idx="59">
                  <c:v>-0.57375440510511566</c:v>
                </c:pt>
                <c:pt idx="60">
                  <c:v>1.2712163342306384</c:v>
                </c:pt>
                <c:pt idx="61">
                  <c:v>1.1460549497214532</c:v>
                </c:pt>
                <c:pt idx="62">
                  <c:v>-0.7480410807830763</c:v>
                </c:pt>
                <c:pt idx="63">
                  <c:v>2.9461447879262137E-2</c:v>
                </c:pt>
                <c:pt idx="64">
                  <c:v>-0.83605062259209184</c:v>
                </c:pt>
                <c:pt idx="65">
                  <c:v>-0.99793373510610273</c:v>
                </c:pt>
                <c:pt idx="66">
                  <c:v>-0.80413748229408966</c:v>
                </c:pt>
                <c:pt idx="67">
                  <c:v>-0.82815782727161735</c:v>
                </c:pt>
                <c:pt idx="68">
                  <c:v>-0.97698289010330264</c:v>
                </c:pt>
                <c:pt idx="69">
                  <c:v>-1.0219540800836304</c:v>
                </c:pt>
                <c:pt idx="70">
                  <c:v>-0.37995815229310287</c:v>
                </c:pt>
                <c:pt idx="71">
                  <c:v>-0.41130627426789618</c:v>
                </c:pt>
                <c:pt idx="72">
                  <c:v>0.77417458669805972</c:v>
                </c:pt>
                <c:pt idx="73">
                  <c:v>1.4618389112338332</c:v>
                </c:pt>
                <c:pt idx="74">
                  <c:v>1.4858592562113608</c:v>
                </c:pt>
                <c:pt idx="75">
                  <c:v>1.4618389112338332</c:v>
                </c:pt>
                <c:pt idx="76">
                  <c:v>-0.42338389857059244</c:v>
                </c:pt>
                <c:pt idx="77">
                  <c:v>-0.68364310207183787</c:v>
                </c:pt>
                <c:pt idx="78">
                  <c:v>6.9891142222340469E-2</c:v>
                </c:pt>
                <c:pt idx="79">
                  <c:v>-0.90580681612879776</c:v>
                </c:pt>
                <c:pt idx="80">
                  <c:v>-0.41187129259110489</c:v>
                </c:pt>
                <c:pt idx="81">
                  <c:v>-0.56002716126549079</c:v>
                </c:pt>
                <c:pt idx="82">
                  <c:v>-0.40148064079578166</c:v>
                </c:pt>
                <c:pt idx="83">
                  <c:v>1.0518542927382595</c:v>
                </c:pt>
                <c:pt idx="84">
                  <c:v>0.51441957488276058</c:v>
                </c:pt>
                <c:pt idx="85">
                  <c:v>-0.74649563708023814</c:v>
                </c:pt>
                <c:pt idx="86">
                  <c:v>7.2499799707949883E-2</c:v>
                </c:pt>
                <c:pt idx="87">
                  <c:v>-0.16848890612119843</c:v>
                </c:pt>
                <c:pt idx="88">
                  <c:v>-0.29819178626763299</c:v>
                </c:pt>
                <c:pt idx="89">
                  <c:v>-0.74332196127141992</c:v>
                </c:pt>
                <c:pt idx="90">
                  <c:v>2.6672660892058557</c:v>
                </c:pt>
                <c:pt idx="91">
                  <c:v>1.9624483542007023</c:v>
                </c:pt>
                <c:pt idx="92">
                  <c:v>9.0756211996707789E-3</c:v>
                </c:pt>
                <c:pt idx="93">
                  <c:v>1.9095777437232295</c:v>
                </c:pt>
                <c:pt idx="94">
                  <c:v>-0.3756998752705647</c:v>
                </c:pt>
                <c:pt idx="95">
                  <c:v>-0.30397411956206055</c:v>
                </c:pt>
                <c:pt idx="96">
                  <c:v>-0.97427005678360268</c:v>
                </c:pt>
                <c:pt idx="97">
                  <c:v>-0.9815978337808684</c:v>
                </c:pt>
                <c:pt idx="98">
                  <c:v>0.18300563022260366</c:v>
                </c:pt>
                <c:pt idx="99">
                  <c:v>-0.44077367331577244</c:v>
                </c:pt>
                <c:pt idx="100">
                  <c:v>0.73653117371499766</c:v>
                </c:pt>
                <c:pt idx="101">
                  <c:v>0.74078945073753577</c:v>
                </c:pt>
                <c:pt idx="102">
                  <c:v>0.87531562622971715</c:v>
                </c:pt>
                <c:pt idx="103">
                  <c:v>-0.77160058327148573</c:v>
                </c:pt>
                <c:pt idx="104">
                  <c:v>0.60355044192565432</c:v>
                </c:pt>
                <c:pt idx="105">
                  <c:v>-0.83287694678327362</c:v>
                </c:pt>
                <c:pt idx="106">
                  <c:v>1.387400322205629</c:v>
                </c:pt>
                <c:pt idx="107">
                  <c:v>-0.29819178626763299</c:v>
                </c:pt>
                <c:pt idx="108">
                  <c:v>0.71251082873746996</c:v>
                </c:pt>
                <c:pt idx="109">
                  <c:v>0.31235184371401059</c:v>
                </c:pt>
                <c:pt idx="110">
                  <c:v>-1.1758182050618413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C5-4FB3-A96C-CD7DF8096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592160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Tariff category assigned after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92160"/>
        <c:crosses val="autoZero"/>
        <c:crossBetween val="midCat"/>
      </c:valAx>
      <c:valAx>
        <c:axId val="307592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Technical training at the factory(1=yes, 0=no)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Лист1!$P$3:$P$113</c:f>
              <c:numCache>
                <c:formatCode>General</c:formatCode>
                <c:ptCount val="111"/>
                <c:pt idx="0">
                  <c:v>-1.1210205295108828</c:v>
                </c:pt>
                <c:pt idx="1">
                  <c:v>0.82324945135955463</c:v>
                </c:pt>
                <c:pt idx="2">
                  <c:v>-1.1210205295108828</c:v>
                </c:pt>
                <c:pt idx="3">
                  <c:v>0.82324945135955463</c:v>
                </c:pt>
                <c:pt idx="4">
                  <c:v>-1.1210205295108828</c:v>
                </c:pt>
                <c:pt idx="5">
                  <c:v>-1.1210205295108828</c:v>
                </c:pt>
                <c:pt idx="6">
                  <c:v>-1.1210205295108828</c:v>
                </c:pt>
                <c:pt idx="7">
                  <c:v>-1.1210205295108828</c:v>
                </c:pt>
                <c:pt idx="8">
                  <c:v>-1.1210205295108828</c:v>
                </c:pt>
                <c:pt idx="9">
                  <c:v>-1.1210205295108828</c:v>
                </c:pt>
                <c:pt idx="10">
                  <c:v>0.82324945135955463</c:v>
                </c:pt>
                <c:pt idx="11">
                  <c:v>-1.1210205295108828</c:v>
                </c:pt>
                <c:pt idx="12">
                  <c:v>0.82324945135955463</c:v>
                </c:pt>
                <c:pt idx="13">
                  <c:v>-1.1210205295108828</c:v>
                </c:pt>
                <c:pt idx="14">
                  <c:v>-1.1210205295108828</c:v>
                </c:pt>
                <c:pt idx="15">
                  <c:v>-1.1210205295108828</c:v>
                </c:pt>
                <c:pt idx="16">
                  <c:v>0.82324945135955463</c:v>
                </c:pt>
                <c:pt idx="17">
                  <c:v>-1.1210205295108828</c:v>
                </c:pt>
                <c:pt idx="18">
                  <c:v>0.82324945135955463</c:v>
                </c:pt>
                <c:pt idx="19">
                  <c:v>-1.1210205295108828</c:v>
                </c:pt>
                <c:pt idx="20">
                  <c:v>-1.1210205295108828</c:v>
                </c:pt>
                <c:pt idx="21">
                  <c:v>-1.1210205295108828</c:v>
                </c:pt>
                <c:pt idx="22">
                  <c:v>0.82324945135955463</c:v>
                </c:pt>
                <c:pt idx="23">
                  <c:v>-1.1210205295108828</c:v>
                </c:pt>
                <c:pt idx="24">
                  <c:v>0.82324945135955463</c:v>
                </c:pt>
                <c:pt idx="25">
                  <c:v>0.82324945135955463</c:v>
                </c:pt>
                <c:pt idx="26">
                  <c:v>0.82324945135955463</c:v>
                </c:pt>
                <c:pt idx="27">
                  <c:v>-1.1210205295108828</c:v>
                </c:pt>
                <c:pt idx="28">
                  <c:v>0.82324945135955463</c:v>
                </c:pt>
                <c:pt idx="29">
                  <c:v>-1.1210205295108828</c:v>
                </c:pt>
                <c:pt idx="30">
                  <c:v>-1.1210205295108828</c:v>
                </c:pt>
                <c:pt idx="31">
                  <c:v>-1.1210205295108828</c:v>
                </c:pt>
                <c:pt idx="32">
                  <c:v>-1.1210205295108828</c:v>
                </c:pt>
                <c:pt idx="33">
                  <c:v>0.82324945135955463</c:v>
                </c:pt>
                <c:pt idx="34">
                  <c:v>-1.1210205295108828</c:v>
                </c:pt>
                <c:pt idx="35">
                  <c:v>0.82324945135955463</c:v>
                </c:pt>
                <c:pt idx="36">
                  <c:v>0.82324945135955463</c:v>
                </c:pt>
                <c:pt idx="37">
                  <c:v>0.82324945135955463</c:v>
                </c:pt>
                <c:pt idx="38">
                  <c:v>0.82324945135955463</c:v>
                </c:pt>
                <c:pt idx="39">
                  <c:v>0.82324945135955463</c:v>
                </c:pt>
                <c:pt idx="40">
                  <c:v>0.82324945135955463</c:v>
                </c:pt>
                <c:pt idx="41">
                  <c:v>-1.1210205295108828</c:v>
                </c:pt>
                <c:pt idx="42">
                  <c:v>0.82324945135955463</c:v>
                </c:pt>
                <c:pt idx="43">
                  <c:v>-1.1210205295108828</c:v>
                </c:pt>
                <c:pt idx="44">
                  <c:v>0.82324945135955463</c:v>
                </c:pt>
                <c:pt idx="45">
                  <c:v>-1.1210205295108828</c:v>
                </c:pt>
                <c:pt idx="46">
                  <c:v>-1.1210205295108828</c:v>
                </c:pt>
                <c:pt idx="47">
                  <c:v>-1.1210205295108828</c:v>
                </c:pt>
                <c:pt idx="48">
                  <c:v>-1.1210205295108828</c:v>
                </c:pt>
                <c:pt idx="49">
                  <c:v>0.82324945135955463</c:v>
                </c:pt>
                <c:pt idx="50">
                  <c:v>0.82324945135955463</c:v>
                </c:pt>
                <c:pt idx="51">
                  <c:v>0.82324945135955463</c:v>
                </c:pt>
                <c:pt idx="52">
                  <c:v>-1.1210205295108828</c:v>
                </c:pt>
                <c:pt idx="53">
                  <c:v>-1.1210205295108828</c:v>
                </c:pt>
                <c:pt idx="54">
                  <c:v>0.82324945135955463</c:v>
                </c:pt>
                <c:pt idx="55">
                  <c:v>0.82324945135955463</c:v>
                </c:pt>
                <c:pt idx="56">
                  <c:v>0.82324945135955463</c:v>
                </c:pt>
                <c:pt idx="57">
                  <c:v>-1.1210205295108828</c:v>
                </c:pt>
                <c:pt idx="58">
                  <c:v>2.7675194322299923</c:v>
                </c:pt>
                <c:pt idx="59">
                  <c:v>-1.1210205295108828</c:v>
                </c:pt>
                <c:pt idx="60">
                  <c:v>0.82324945135955463</c:v>
                </c:pt>
                <c:pt idx="61">
                  <c:v>0.82324945135955463</c:v>
                </c:pt>
                <c:pt idx="62">
                  <c:v>0.82324945135955463</c:v>
                </c:pt>
                <c:pt idx="63">
                  <c:v>-1.1210205295108828</c:v>
                </c:pt>
                <c:pt idx="64">
                  <c:v>-1.1210205295108828</c:v>
                </c:pt>
                <c:pt idx="65">
                  <c:v>-1.1210205295108828</c:v>
                </c:pt>
                <c:pt idx="66">
                  <c:v>0.82324945135955463</c:v>
                </c:pt>
                <c:pt idx="67">
                  <c:v>0.82324945135955463</c:v>
                </c:pt>
                <c:pt idx="68">
                  <c:v>-1.1210205295108828</c:v>
                </c:pt>
                <c:pt idx="69">
                  <c:v>-1.1210205295108828</c:v>
                </c:pt>
                <c:pt idx="70">
                  <c:v>0.82324945135955463</c:v>
                </c:pt>
                <c:pt idx="71">
                  <c:v>0.82324945135955463</c:v>
                </c:pt>
                <c:pt idx="72">
                  <c:v>0.82324945135955463</c:v>
                </c:pt>
                <c:pt idx="73">
                  <c:v>0.82324945135955463</c:v>
                </c:pt>
                <c:pt idx="74">
                  <c:v>0.82324945135955463</c:v>
                </c:pt>
                <c:pt idx="75">
                  <c:v>0.82324945135955463</c:v>
                </c:pt>
                <c:pt idx="76">
                  <c:v>-1.1210205295108828</c:v>
                </c:pt>
                <c:pt idx="77">
                  <c:v>-1.1210205295108828</c:v>
                </c:pt>
                <c:pt idx="78">
                  <c:v>0.82324945135955463</c:v>
                </c:pt>
                <c:pt idx="79">
                  <c:v>-1.1210205295108828</c:v>
                </c:pt>
                <c:pt idx="80">
                  <c:v>-1.1210205295108828</c:v>
                </c:pt>
                <c:pt idx="81">
                  <c:v>0.82324945135955463</c:v>
                </c:pt>
                <c:pt idx="82">
                  <c:v>0.82324945135955463</c:v>
                </c:pt>
                <c:pt idx="83">
                  <c:v>0.82324945135955463</c:v>
                </c:pt>
                <c:pt idx="84">
                  <c:v>-1.1210205295108828</c:v>
                </c:pt>
                <c:pt idx="85">
                  <c:v>-1.1210205295108828</c:v>
                </c:pt>
                <c:pt idx="86">
                  <c:v>0.82324945135955463</c:v>
                </c:pt>
                <c:pt idx="87">
                  <c:v>-1.1210205295108828</c:v>
                </c:pt>
                <c:pt idx="88">
                  <c:v>0.82324945135955463</c:v>
                </c:pt>
                <c:pt idx="89">
                  <c:v>0.82324945135955463</c:v>
                </c:pt>
                <c:pt idx="90">
                  <c:v>0.82324945135955463</c:v>
                </c:pt>
                <c:pt idx="91">
                  <c:v>0.82324945135955463</c:v>
                </c:pt>
                <c:pt idx="92">
                  <c:v>0.82324945135955463</c:v>
                </c:pt>
                <c:pt idx="93">
                  <c:v>0.82324945135955463</c:v>
                </c:pt>
                <c:pt idx="94">
                  <c:v>0.82324945135955463</c:v>
                </c:pt>
                <c:pt idx="95">
                  <c:v>-1.1210205295108828</c:v>
                </c:pt>
                <c:pt idx="96">
                  <c:v>0.82324945135955463</c:v>
                </c:pt>
                <c:pt idx="97">
                  <c:v>0.82324945135955463</c:v>
                </c:pt>
                <c:pt idx="98">
                  <c:v>0.82324945135955463</c:v>
                </c:pt>
                <c:pt idx="99">
                  <c:v>0.82324945135955463</c:v>
                </c:pt>
                <c:pt idx="100">
                  <c:v>0.82324945135955463</c:v>
                </c:pt>
                <c:pt idx="101">
                  <c:v>0.82324945135955463</c:v>
                </c:pt>
                <c:pt idx="102">
                  <c:v>0.82324945135955463</c:v>
                </c:pt>
                <c:pt idx="103">
                  <c:v>0.82324945135955463</c:v>
                </c:pt>
                <c:pt idx="104">
                  <c:v>-1.1210205295108828</c:v>
                </c:pt>
                <c:pt idx="105">
                  <c:v>0.82324945135955463</c:v>
                </c:pt>
                <c:pt idx="106">
                  <c:v>0.82324945135955463</c:v>
                </c:pt>
                <c:pt idx="107">
                  <c:v>0.82324945135955463</c:v>
                </c:pt>
                <c:pt idx="108">
                  <c:v>0.82324945135955463</c:v>
                </c:pt>
                <c:pt idx="109">
                  <c:v>0.82324945135955463</c:v>
                </c:pt>
                <c:pt idx="110">
                  <c:v>-1.1210205295108828</c:v>
                </c:pt>
              </c:numCache>
            </c:numRef>
          </c:xVal>
          <c:yVal>
            <c:numRef>
              <c:f>Лист1!$K$3:$K$113</c:f>
              <c:numCache>
                <c:formatCode>General</c:formatCode>
                <c:ptCount val="111"/>
                <c:pt idx="0">
                  <c:v>0.65802588201924328</c:v>
                </c:pt>
                <c:pt idx="1">
                  <c:v>0.34631167536110058</c:v>
                </c:pt>
                <c:pt idx="2">
                  <c:v>0.40865451669272912</c:v>
                </c:pt>
                <c:pt idx="3">
                  <c:v>0.34631167536110058</c:v>
                </c:pt>
                <c:pt idx="4">
                  <c:v>-0.1212596346261135</c:v>
                </c:pt>
                <c:pt idx="5">
                  <c:v>-0.58883094461332763</c:v>
                </c:pt>
                <c:pt idx="6">
                  <c:v>0.19045457203202923</c:v>
                </c:pt>
                <c:pt idx="7">
                  <c:v>-1.0875736752663561</c:v>
                </c:pt>
                <c:pt idx="8">
                  <c:v>-0.90054515127147028</c:v>
                </c:pt>
                <c:pt idx="9">
                  <c:v>-0.83820230993984179</c:v>
                </c:pt>
                <c:pt idx="10">
                  <c:v>-0.58883094461332763</c:v>
                </c:pt>
                <c:pt idx="11">
                  <c:v>-0.83820230993984179</c:v>
                </c:pt>
                <c:pt idx="12">
                  <c:v>-0.7758594686082132</c:v>
                </c:pt>
                <c:pt idx="13">
                  <c:v>-0.80703088927402755</c:v>
                </c:pt>
                <c:pt idx="14">
                  <c:v>-0.68234520661077036</c:v>
                </c:pt>
                <c:pt idx="15">
                  <c:v>-0.80703088927402755</c:v>
                </c:pt>
                <c:pt idx="16">
                  <c:v>0.90739724734575755</c:v>
                </c:pt>
                <c:pt idx="17">
                  <c:v>-1.0252308339347274</c:v>
                </c:pt>
                <c:pt idx="18">
                  <c:v>-1.3681164612586845</c:v>
                </c:pt>
                <c:pt idx="19">
                  <c:v>-1.2434307785954273</c:v>
                </c:pt>
                <c:pt idx="20">
                  <c:v>-1.212259357929613</c:v>
                </c:pt>
                <c:pt idx="21">
                  <c:v>-0.43297384128425626</c:v>
                </c:pt>
                <c:pt idx="22">
                  <c:v>-0.27711673795518488</c:v>
                </c:pt>
                <c:pt idx="23">
                  <c:v>-0.58883094461332763</c:v>
                </c:pt>
                <c:pt idx="24">
                  <c:v>3.4597468702957865E-2</c:v>
                </c:pt>
                <c:pt idx="25">
                  <c:v>-0.43297384128425626</c:v>
                </c:pt>
                <c:pt idx="26">
                  <c:v>-0.1212596346261135</c:v>
                </c:pt>
                <c:pt idx="27">
                  <c:v>-1.2746021992612415</c:v>
                </c:pt>
                <c:pt idx="28">
                  <c:v>0.15928315136621496</c:v>
                </c:pt>
                <c:pt idx="29">
                  <c:v>-0.83820230993984179</c:v>
                </c:pt>
                <c:pt idx="30">
                  <c:v>-0.71351662727658471</c:v>
                </c:pt>
                <c:pt idx="31">
                  <c:v>-0.90054515127147028</c:v>
                </c:pt>
                <c:pt idx="32">
                  <c:v>1.4061399779987858</c:v>
                </c:pt>
                <c:pt idx="33">
                  <c:v>1.7801970259885571</c:v>
                </c:pt>
                <c:pt idx="34">
                  <c:v>0.5333401993559862</c:v>
                </c:pt>
                <c:pt idx="35">
                  <c:v>1.2814542953355288</c:v>
                </c:pt>
                <c:pt idx="36">
                  <c:v>2.2165969153099572</c:v>
                </c:pt>
                <c:pt idx="37">
                  <c:v>1.998396970649257</c:v>
                </c:pt>
                <c:pt idx="38">
                  <c:v>1.5931685019936714</c:v>
                </c:pt>
                <c:pt idx="39">
                  <c:v>0.72036872335087188</c:v>
                </c:pt>
                <c:pt idx="40">
                  <c:v>-0.4641452619500705</c:v>
                </c:pt>
                <c:pt idx="41">
                  <c:v>-1.0875736752663561</c:v>
                </c:pt>
                <c:pt idx="42">
                  <c:v>1.9360541293176285</c:v>
                </c:pt>
                <c:pt idx="43">
                  <c:v>-5.8916793294484952E-2</c:v>
                </c:pt>
                <c:pt idx="44">
                  <c:v>9.6940310034586405E-2</c:v>
                </c:pt>
                <c:pt idx="45">
                  <c:v>-0.21477389662355631</c:v>
                </c:pt>
                <c:pt idx="46">
                  <c:v>-0.58883094461332763</c:v>
                </c:pt>
                <c:pt idx="47">
                  <c:v>-0.83820230993984179</c:v>
                </c:pt>
                <c:pt idx="48">
                  <c:v>0.47099735802435766</c:v>
                </c:pt>
                <c:pt idx="49">
                  <c:v>-0.65117378594495612</c:v>
                </c:pt>
                <c:pt idx="50">
                  <c:v>0.12811173070040069</c:v>
                </c:pt>
                <c:pt idx="51">
                  <c:v>-0.83820230993984179</c:v>
                </c:pt>
                <c:pt idx="52">
                  <c:v>1.4373113986646002</c:v>
                </c:pt>
                <c:pt idx="53">
                  <c:v>1.5931685019936714</c:v>
                </c:pt>
                <c:pt idx="54">
                  <c:v>-9.0088213960299229E-2</c:v>
                </c:pt>
                <c:pt idx="55">
                  <c:v>-0.27711673795518488</c:v>
                </c:pt>
                <c:pt idx="56">
                  <c:v>-0.71351662727658471</c:v>
                </c:pt>
                <c:pt idx="57">
                  <c:v>-0.43297384128425626</c:v>
                </c:pt>
                <c:pt idx="58">
                  <c:v>-0.43297384128425626</c:v>
                </c:pt>
                <c:pt idx="59">
                  <c:v>-0.27711673795518488</c:v>
                </c:pt>
                <c:pt idx="60">
                  <c:v>1.1255971920064574</c:v>
                </c:pt>
                <c:pt idx="61">
                  <c:v>1.1255971920064574</c:v>
                </c:pt>
                <c:pt idx="62">
                  <c:v>-0.52648810328169904</c:v>
                </c:pt>
                <c:pt idx="63">
                  <c:v>-0.27711673795518488</c:v>
                </c:pt>
                <c:pt idx="64">
                  <c:v>-0.74468804794239896</c:v>
                </c:pt>
                <c:pt idx="65">
                  <c:v>-1.212259357929613</c:v>
                </c:pt>
                <c:pt idx="66">
                  <c:v>-0.90054515127147028</c:v>
                </c:pt>
                <c:pt idx="67">
                  <c:v>-0.96288799260309887</c:v>
                </c:pt>
                <c:pt idx="68">
                  <c:v>-1.212259357929613</c:v>
                </c:pt>
                <c:pt idx="69">
                  <c:v>-1.2434307785954273</c:v>
                </c:pt>
                <c:pt idx="70">
                  <c:v>0.50216877869017196</c:v>
                </c:pt>
                <c:pt idx="71">
                  <c:v>0.12811173070040069</c:v>
                </c:pt>
                <c:pt idx="72">
                  <c:v>0.34631167536110058</c:v>
                </c:pt>
                <c:pt idx="73">
                  <c:v>2.5283111219680996</c:v>
                </c:pt>
                <c:pt idx="74">
                  <c:v>2.0607398119808855</c:v>
                </c:pt>
                <c:pt idx="75">
                  <c:v>2.8400253286262425</c:v>
                </c:pt>
                <c:pt idx="76">
                  <c:v>-0.33945957928681342</c:v>
                </c:pt>
                <c:pt idx="77">
                  <c:v>-0.52648810328169904</c:v>
                </c:pt>
                <c:pt idx="78">
                  <c:v>0.19045457203202923</c:v>
                </c:pt>
                <c:pt idx="79">
                  <c:v>-0.65117378594495612</c:v>
                </c:pt>
                <c:pt idx="80">
                  <c:v>1.5806999337273457</c:v>
                </c:pt>
                <c:pt idx="81">
                  <c:v>-0.58883094461332763</c:v>
                </c:pt>
                <c:pt idx="82">
                  <c:v>-0.58883094461332763</c:v>
                </c:pt>
                <c:pt idx="83">
                  <c:v>0.96974008867738604</c:v>
                </c:pt>
                <c:pt idx="84">
                  <c:v>-0.15243105529192777</c:v>
                </c:pt>
                <c:pt idx="85">
                  <c:v>-0.65117378594495612</c:v>
                </c:pt>
                <c:pt idx="86">
                  <c:v>-0.30828815862099912</c:v>
                </c:pt>
                <c:pt idx="87">
                  <c:v>-0.27711673795518488</c:v>
                </c:pt>
                <c:pt idx="88">
                  <c:v>-0.43297384128425626</c:v>
                </c:pt>
                <c:pt idx="89">
                  <c:v>-0.56389380808067613</c:v>
                </c:pt>
                <c:pt idx="90">
                  <c:v>3.1517395352843853</c:v>
                </c:pt>
                <c:pt idx="91">
                  <c:v>2.0295683913150713</c:v>
                </c:pt>
                <c:pt idx="92">
                  <c:v>-0.27711673795518488</c:v>
                </c:pt>
                <c:pt idx="93">
                  <c:v>1.5619970813278572</c:v>
                </c:pt>
                <c:pt idx="94">
                  <c:v>-0.71351662727658471</c:v>
                </c:pt>
                <c:pt idx="95">
                  <c:v>-0.21477389662355631</c:v>
                </c:pt>
                <c:pt idx="96">
                  <c:v>-0.43297384128425626</c:v>
                </c:pt>
                <c:pt idx="97">
                  <c:v>-0.48284811434955904</c:v>
                </c:pt>
                <c:pt idx="98">
                  <c:v>3.4597468702957865E-2</c:v>
                </c:pt>
                <c:pt idx="99">
                  <c:v>-0.83820230993984179</c:v>
                </c:pt>
                <c:pt idx="100">
                  <c:v>-0.15243105529192777</c:v>
                </c:pt>
                <c:pt idx="101">
                  <c:v>0.8762258266799432</c:v>
                </c:pt>
                <c:pt idx="102">
                  <c:v>0.8762258266799432</c:v>
                </c:pt>
                <c:pt idx="103">
                  <c:v>-1.1187450959321703</c:v>
                </c:pt>
                <c:pt idx="104">
                  <c:v>0.34631167536110058</c:v>
                </c:pt>
                <c:pt idx="105">
                  <c:v>-0.71351662727658471</c:v>
                </c:pt>
                <c:pt idx="106">
                  <c:v>0.96974008867738604</c:v>
                </c:pt>
                <c:pt idx="107">
                  <c:v>-0.33945957928681342</c:v>
                </c:pt>
                <c:pt idx="108">
                  <c:v>0.34631167536110058</c:v>
                </c:pt>
                <c:pt idx="109">
                  <c:v>0.19045457203202923</c:v>
                </c:pt>
                <c:pt idx="110">
                  <c:v>-1.1499165165979846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50-40B9-A4AA-51743D523C85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Лист1!$P$3:$P$113</c:f>
              <c:numCache>
                <c:formatCode>General</c:formatCode>
                <c:ptCount val="111"/>
                <c:pt idx="0">
                  <c:v>-1.1210205295108828</c:v>
                </c:pt>
                <c:pt idx="1">
                  <c:v>0.82324945135955463</c:v>
                </c:pt>
                <c:pt idx="2">
                  <c:v>-1.1210205295108828</c:v>
                </c:pt>
                <c:pt idx="3">
                  <c:v>0.82324945135955463</c:v>
                </c:pt>
                <c:pt idx="4">
                  <c:v>-1.1210205295108828</c:v>
                </c:pt>
                <c:pt idx="5">
                  <c:v>-1.1210205295108828</c:v>
                </c:pt>
                <c:pt idx="6">
                  <c:v>-1.1210205295108828</c:v>
                </c:pt>
                <c:pt idx="7">
                  <c:v>-1.1210205295108828</c:v>
                </c:pt>
                <c:pt idx="8">
                  <c:v>-1.1210205295108828</c:v>
                </c:pt>
                <c:pt idx="9">
                  <c:v>-1.1210205295108828</c:v>
                </c:pt>
                <c:pt idx="10">
                  <c:v>0.82324945135955463</c:v>
                </c:pt>
                <c:pt idx="11">
                  <c:v>-1.1210205295108828</c:v>
                </c:pt>
                <c:pt idx="12">
                  <c:v>0.82324945135955463</c:v>
                </c:pt>
                <c:pt idx="13">
                  <c:v>-1.1210205295108828</c:v>
                </c:pt>
                <c:pt idx="14">
                  <c:v>-1.1210205295108828</c:v>
                </c:pt>
                <c:pt idx="15">
                  <c:v>-1.1210205295108828</c:v>
                </c:pt>
                <c:pt idx="16">
                  <c:v>0.82324945135955463</c:v>
                </c:pt>
                <c:pt idx="17">
                  <c:v>-1.1210205295108828</c:v>
                </c:pt>
                <c:pt idx="18">
                  <c:v>0.82324945135955463</c:v>
                </c:pt>
                <c:pt idx="19">
                  <c:v>-1.1210205295108828</c:v>
                </c:pt>
                <c:pt idx="20">
                  <c:v>-1.1210205295108828</c:v>
                </c:pt>
                <c:pt idx="21">
                  <c:v>-1.1210205295108828</c:v>
                </c:pt>
                <c:pt idx="22">
                  <c:v>0.82324945135955463</c:v>
                </c:pt>
                <c:pt idx="23">
                  <c:v>-1.1210205295108828</c:v>
                </c:pt>
                <c:pt idx="24">
                  <c:v>0.82324945135955463</c:v>
                </c:pt>
                <c:pt idx="25">
                  <c:v>0.82324945135955463</c:v>
                </c:pt>
                <c:pt idx="26">
                  <c:v>0.82324945135955463</c:v>
                </c:pt>
                <c:pt idx="27">
                  <c:v>-1.1210205295108828</c:v>
                </c:pt>
                <c:pt idx="28">
                  <c:v>0.82324945135955463</c:v>
                </c:pt>
                <c:pt idx="29">
                  <c:v>-1.1210205295108828</c:v>
                </c:pt>
                <c:pt idx="30">
                  <c:v>-1.1210205295108828</c:v>
                </c:pt>
                <c:pt idx="31">
                  <c:v>-1.1210205295108828</c:v>
                </c:pt>
                <c:pt idx="32">
                  <c:v>-1.1210205295108828</c:v>
                </c:pt>
                <c:pt idx="33">
                  <c:v>0.82324945135955463</c:v>
                </c:pt>
                <c:pt idx="34">
                  <c:v>-1.1210205295108828</c:v>
                </c:pt>
                <c:pt idx="35">
                  <c:v>0.82324945135955463</c:v>
                </c:pt>
                <c:pt idx="36">
                  <c:v>0.82324945135955463</c:v>
                </c:pt>
                <c:pt idx="37">
                  <c:v>0.82324945135955463</c:v>
                </c:pt>
                <c:pt idx="38">
                  <c:v>0.82324945135955463</c:v>
                </c:pt>
                <c:pt idx="39">
                  <c:v>0.82324945135955463</c:v>
                </c:pt>
                <c:pt idx="40">
                  <c:v>0.82324945135955463</c:v>
                </c:pt>
                <c:pt idx="41">
                  <c:v>-1.1210205295108828</c:v>
                </c:pt>
                <c:pt idx="42">
                  <c:v>0.82324945135955463</c:v>
                </c:pt>
                <c:pt idx="43">
                  <c:v>-1.1210205295108828</c:v>
                </c:pt>
                <c:pt idx="44">
                  <c:v>0.82324945135955463</c:v>
                </c:pt>
                <c:pt idx="45">
                  <c:v>-1.1210205295108828</c:v>
                </c:pt>
                <c:pt idx="46">
                  <c:v>-1.1210205295108828</c:v>
                </c:pt>
                <c:pt idx="47">
                  <c:v>-1.1210205295108828</c:v>
                </c:pt>
                <c:pt idx="48">
                  <c:v>-1.1210205295108828</c:v>
                </c:pt>
                <c:pt idx="49">
                  <c:v>0.82324945135955463</c:v>
                </c:pt>
                <c:pt idx="50">
                  <c:v>0.82324945135955463</c:v>
                </c:pt>
                <c:pt idx="51">
                  <c:v>0.82324945135955463</c:v>
                </c:pt>
                <c:pt idx="52">
                  <c:v>-1.1210205295108828</c:v>
                </c:pt>
                <c:pt idx="53">
                  <c:v>-1.1210205295108828</c:v>
                </c:pt>
                <c:pt idx="54">
                  <c:v>0.82324945135955463</c:v>
                </c:pt>
                <c:pt idx="55">
                  <c:v>0.82324945135955463</c:v>
                </c:pt>
                <c:pt idx="56">
                  <c:v>0.82324945135955463</c:v>
                </c:pt>
                <c:pt idx="57">
                  <c:v>-1.1210205295108828</c:v>
                </c:pt>
                <c:pt idx="58">
                  <c:v>2.7675194322299923</c:v>
                </c:pt>
                <c:pt idx="59">
                  <c:v>-1.1210205295108828</c:v>
                </c:pt>
                <c:pt idx="60">
                  <c:v>0.82324945135955463</c:v>
                </c:pt>
                <c:pt idx="61">
                  <c:v>0.82324945135955463</c:v>
                </c:pt>
                <c:pt idx="62">
                  <c:v>0.82324945135955463</c:v>
                </c:pt>
                <c:pt idx="63">
                  <c:v>-1.1210205295108828</c:v>
                </c:pt>
                <c:pt idx="64">
                  <c:v>-1.1210205295108828</c:v>
                </c:pt>
                <c:pt idx="65">
                  <c:v>-1.1210205295108828</c:v>
                </c:pt>
                <c:pt idx="66">
                  <c:v>0.82324945135955463</c:v>
                </c:pt>
                <c:pt idx="67">
                  <c:v>0.82324945135955463</c:v>
                </c:pt>
                <c:pt idx="68">
                  <c:v>-1.1210205295108828</c:v>
                </c:pt>
                <c:pt idx="69">
                  <c:v>-1.1210205295108828</c:v>
                </c:pt>
                <c:pt idx="70">
                  <c:v>0.82324945135955463</c:v>
                </c:pt>
                <c:pt idx="71">
                  <c:v>0.82324945135955463</c:v>
                </c:pt>
                <c:pt idx="72">
                  <c:v>0.82324945135955463</c:v>
                </c:pt>
                <c:pt idx="73">
                  <c:v>0.82324945135955463</c:v>
                </c:pt>
                <c:pt idx="74">
                  <c:v>0.82324945135955463</c:v>
                </c:pt>
                <c:pt idx="75">
                  <c:v>0.82324945135955463</c:v>
                </c:pt>
                <c:pt idx="76">
                  <c:v>-1.1210205295108828</c:v>
                </c:pt>
                <c:pt idx="77">
                  <c:v>-1.1210205295108828</c:v>
                </c:pt>
                <c:pt idx="78">
                  <c:v>0.82324945135955463</c:v>
                </c:pt>
                <c:pt idx="79">
                  <c:v>-1.1210205295108828</c:v>
                </c:pt>
                <c:pt idx="80">
                  <c:v>-1.1210205295108828</c:v>
                </c:pt>
                <c:pt idx="81">
                  <c:v>0.82324945135955463</c:v>
                </c:pt>
                <c:pt idx="82">
                  <c:v>0.82324945135955463</c:v>
                </c:pt>
                <c:pt idx="83">
                  <c:v>0.82324945135955463</c:v>
                </c:pt>
                <c:pt idx="84">
                  <c:v>-1.1210205295108828</c:v>
                </c:pt>
                <c:pt idx="85">
                  <c:v>-1.1210205295108828</c:v>
                </c:pt>
                <c:pt idx="86">
                  <c:v>0.82324945135955463</c:v>
                </c:pt>
                <c:pt idx="87">
                  <c:v>-1.1210205295108828</c:v>
                </c:pt>
                <c:pt idx="88">
                  <c:v>0.82324945135955463</c:v>
                </c:pt>
                <c:pt idx="89">
                  <c:v>0.82324945135955463</c:v>
                </c:pt>
                <c:pt idx="90">
                  <c:v>0.82324945135955463</c:v>
                </c:pt>
                <c:pt idx="91">
                  <c:v>0.82324945135955463</c:v>
                </c:pt>
                <c:pt idx="92">
                  <c:v>0.82324945135955463</c:v>
                </c:pt>
                <c:pt idx="93">
                  <c:v>0.82324945135955463</c:v>
                </c:pt>
                <c:pt idx="94">
                  <c:v>0.82324945135955463</c:v>
                </c:pt>
                <c:pt idx="95">
                  <c:v>-1.1210205295108828</c:v>
                </c:pt>
                <c:pt idx="96">
                  <c:v>0.82324945135955463</c:v>
                </c:pt>
                <c:pt idx="97">
                  <c:v>0.82324945135955463</c:v>
                </c:pt>
                <c:pt idx="98">
                  <c:v>0.82324945135955463</c:v>
                </c:pt>
                <c:pt idx="99">
                  <c:v>0.82324945135955463</c:v>
                </c:pt>
                <c:pt idx="100">
                  <c:v>0.82324945135955463</c:v>
                </c:pt>
                <c:pt idx="101">
                  <c:v>0.82324945135955463</c:v>
                </c:pt>
                <c:pt idx="102">
                  <c:v>0.82324945135955463</c:v>
                </c:pt>
                <c:pt idx="103">
                  <c:v>0.82324945135955463</c:v>
                </c:pt>
                <c:pt idx="104">
                  <c:v>-1.1210205295108828</c:v>
                </c:pt>
                <c:pt idx="105">
                  <c:v>0.82324945135955463</c:v>
                </c:pt>
                <c:pt idx="106">
                  <c:v>0.82324945135955463</c:v>
                </c:pt>
                <c:pt idx="107">
                  <c:v>0.82324945135955463</c:v>
                </c:pt>
                <c:pt idx="108">
                  <c:v>0.82324945135955463</c:v>
                </c:pt>
                <c:pt idx="109">
                  <c:v>0.82324945135955463</c:v>
                </c:pt>
                <c:pt idx="110">
                  <c:v>-1.1210205295108828</c:v>
                </c:pt>
              </c:numCache>
            </c:numRef>
          </c:xVal>
          <c:yVal>
            <c:numRef>
              <c:f>Лист3!$B$29:$B$139</c:f>
              <c:numCache>
                <c:formatCode>General</c:formatCode>
                <c:ptCount val="111"/>
                <c:pt idx="0">
                  <c:v>0.62496212941757256</c:v>
                </c:pt>
                <c:pt idx="1">
                  <c:v>0.67260942869744211</c:v>
                </c:pt>
                <c:pt idx="2">
                  <c:v>0.52865101040833207</c:v>
                </c:pt>
                <c:pt idx="3">
                  <c:v>0.3522165197338803</c:v>
                </c:pt>
                <c:pt idx="4">
                  <c:v>0.28005130896720676</c:v>
                </c:pt>
                <c:pt idx="5">
                  <c:v>0.15370114741021093</c:v>
                </c:pt>
                <c:pt idx="6">
                  <c:v>0.6202430099059163</c:v>
                </c:pt>
                <c:pt idx="7">
                  <c:v>-0.85024533409750502</c:v>
                </c:pt>
                <c:pt idx="8">
                  <c:v>-0.77477425908030384</c:v>
                </c:pt>
                <c:pt idx="9">
                  <c:v>-0.87591529861196138</c:v>
                </c:pt>
                <c:pt idx="10">
                  <c:v>-0.62130352477727868</c:v>
                </c:pt>
                <c:pt idx="11">
                  <c:v>-0.50050459312472229</c:v>
                </c:pt>
                <c:pt idx="12">
                  <c:v>-0.38728592929036854</c:v>
                </c:pt>
                <c:pt idx="13">
                  <c:v>-0.52026666107971176</c:v>
                </c:pt>
                <c:pt idx="14">
                  <c:v>-0.46063991710485264</c:v>
                </c:pt>
                <c:pt idx="15">
                  <c:v>-0.44862974461608884</c:v>
                </c:pt>
                <c:pt idx="16">
                  <c:v>7.925593320533672E-2</c:v>
                </c:pt>
                <c:pt idx="17">
                  <c:v>-0.93711821408343299</c:v>
                </c:pt>
                <c:pt idx="18">
                  <c:v>-0.92032147026908051</c:v>
                </c:pt>
                <c:pt idx="19">
                  <c:v>-1.0292818570808961</c:v>
                </c:pt>
                <c:pt idx="20">
                  <c:v>-0.99839457759522088</c:v>
                </c:pt>
                <c:pt idx="21">
                  <c:v>-0.39045960509918665</c:v>
                </c:pt>
                <c:pt idx="22">
                  <c:v>-0.1710301117928755</c:v>
                </c:pt>
                <c:pt idx="23">
                  <c:v>-0.50829321261110616</c:v>
                </c:pt>
                <c:pt idx="24">
                  <c:v>-0.28414459979313861</c:v>
                </c:pt>
                <c:pt idx="25">
                  <c:v>-0.39933282579929058</c:v>
                </c:pt>
                <c:pt idx="26">
                  <c:v>-0.1803581787557135</c:v>
                </c:pt>
                <c:pt idx="27">
                  <c:v>-0.93711821408343299</c:v>
                </c:pt>
                <c:pt idx="28">
                  <c:v>-0.62084268228816053</c:v>
                </c:pt>
                <c:pt idx="29">
                  <c:v>-0.85228234808323555</c:v>
                </c:pt>
                <c:pt idx="30">
                  <c:v>-0.89993564358948908</c:v>
                </c:pt>
                <c:pt idx="31">
                  <c:v>-0.98902978661222463</c:v>
                </c:pt>
                <c:pt idx="32">
                  <c:v>0.15723148987405669</c:v>
                </c:pt>
                <c:pt idx="33">
                  <c:v>2.1521118932552161</c:v>
                </c:pt>
                <c:pt idx="34">
                  <c:v>-0.78375165561449833</c:v>
                </c:pt>
                <c:pt idx="35">
                  <c:v>1.3680256486994413</c:v>
                </c:pt>
                <c:pt idx="36">
                  <c:v>2.570383326696736</c:v>
                </c:pt>
                <c:pt idx="37">
                  <c:v>1.649235697203487</c:v>
                </c:pt>
                <c:pt idx="38">
                  <c:v>1.1277127622042624</c:v>
                </c:pt>
                <c:pt idx="39">
                  <c:v>1.0685468607185216</c:v>
                </c:pt>
                <c:pt idx="40">
                  <c:v>-0.49614214026809345</c:v>
                </c:pt>
                <c:pt idx="41">
                  <c:v>-1.1397876875955499</c:v>
                </c:pt>
                <c:pt idx="42">
                  <c:v>1.7116273897227692</c:v>
                </c:pt>
                <c:pt idx="43">
                  <c:v>9.4922640373271722E-2</c:v>
                </c:pt>
                <c:pt idx="44">
                  <c:v>0.4390893997198082</c:v>
                </c:pt>
                <c:pt idx="45">
                  <c:v>-1.1251465078527485E-2</c:v>
                </c:pt>
                <c:pt idx="46">
                  <c:v>-0.72980306909997616</c:v>
                </c:pt>
                <c:pt idx="47">
                  <c:v>-0.56438961412211941</c:v>
                </c:pt>
                <c:pt idx="48">
                  <c:v>0.34171506692779641</c:v>
                </c:pt>
                <c:pt idx="49">
                  <c:v>-0.37366286128483417</c:v>
                </c:pt>
                <c:pt idx="50">
                  <c:v>0.47469579871713968</c:v>
                </c:pt>
                <c:pt idx="51">
                  <c:v>-0.73821544731096178</c:v>
                </c:pt>
                <c:pt idx="52">
                  <c:v>1.3675340784165491</c:v>
                </c:pt>
                <c:pt idx="53">
                  <c:v>1.4948432779222254</c:v>
                </c:pt>
                <c:pt idx="54">
                  <c:v>-8.3548864286910524E-2</c:v>
                </c:pt>
                <c:pt idx="55">
                  <c:v>-0.4065871547562398</c:v>
                </c:pt>
                <c:pt idx="56">
                  <c:v>-0.54491076478184119</c:v>
                </c:pt>
                <c:pt idx="57">
                  <c:v>-0.31970764959364184</c:v>
                </c:pt>
                <c:pt idx="58">
                  <c:v>5.6759644499698447E-2</c:v>
                </c:pt>
                <c:pt idx="59">
                  <c:v>-0.57375440510511566</c:v>
                </c:pt>
                <c:pt idx="60">
                  <c:v>1.2712163342306384</c:v>
                </c:pt>
                <c:pt idx="61">
                  <c:v>1.1460549497214532</c:v>
                </c:pt>
                <c:pt idx="62">
                  <c:v>-0.7480410807830763</c:v>
                </c:pt>
                <c:pt idx="63">
                  <c:v>2.9461447879262137E-2</c:v>
                </c:pt>
                <c:pt idx="64">
                  <c:v>-0.83605062259209184</c:v>
                </c:pt>
                <c:pt idx="65">
                  <c:v>-0.99793373510610273</c:v>
                </c:pt>
                <c:pt idx="66">
                  <c:v>-0.80413748229408966</c:v>
                </c:pt>
                <c:pt idx="67">
                  <c:v>-0.82815782727161735</c:v>
                </c:pt>
                <c:pt idx="68">
                  <c:v>-0.97698289010330264</c:v>
                </c:pt>
                <c:pt idx="69">
                  <c:v>-1.0219540800836304</c:v>
                </c:pt>
                <c:pt idx="70">
                  <c:v>-0.37995815229310287</c:v>
                </c:pt>
                <c:pt idx="71">
                  <c:v>-0.41130627426789618</c:v>
                </c:pt>
                <c:pt idx="72">
                  <c:v>0.77417458669805972</c:v>
                </c:pt>
                <c:pt idx="73">
                  <c:v>1.4618389112338332</c:v>
                </c:pt>
                <c:pt idx="74">
                  <c:v>1.4858592562113608</c:v>
                </c:pt>
                <c:pt idx="75">
                  <c:v>1.4618389112338332</c:v>
                </c:pt>
                <c:pt idx="76">
                  <c:v>-0.42338389857059244</c:v>
                </c:pt>
                <c:pt idx="77">
                  <c:v>-0.68364310207183787</c:v>
                </c:pt>
                <c:pt idx="78">
                  <c:v>6.9891142222340469E-2</c:v>
                </c:pt>
                <c:pt idx="79">
                  <c:v>-0.90580681612879776</c:v>
                </c:pt>
                <c:pt idx="80">
                  <c:v>-0.41187129259110489</c:v>
                </c:pt>
                <c:pt idx="81">
                  <c:v>-0.56002716126549079</c:v>
                </c:pt>
                <c:pt idx="82">
                  <c:v>-0.40148064079578166</c:v>
                </c:pt>
                <c:pt idx="83">
                  <c:v>1.0518542927382595</c:v>
                </c:pt>
                <c:pt idx="84">
                  <c:v>0.51441957488276058</c:v>
                </c:pt>
                <c:pt idx="85">
                  <c:v>-0.74649563708023814</c:v>
                </c:pt>
                <c:pt idx="86">
                  <c:v>7.2499799707949883E-2</c:v>
                </c:pt>
                <c:pt idx="87">
                  <c:v>-0.16848890612119843</c:v>
                </c:pt>
                <c:pt idx="88">
                  <c:v>-0.29819178626763299</c:v>
                </c:pt>
                <c:pt idx="89">
                  <c:v>-0.74332196127141992</c:v>
                </c:pt>
                <c:pt idx="90">
                  <c:v>2.6672660892058557</c:v>
                </c:pt>
                <c:pt idx="91">
                  <c:v>1.9624483542007023</c:v>
                </c:pt>
                <c:pt idx="92">
                  <c:v>9.0756211996707789E-3</c:v>
                </c:pt>
                <c:pt idx="93">
                  <c:v>1.9095777437232295</c:v>
                </c:pt>
                <c:pt idx="94">
                  <c:v>-0.3756998752705647</c:v>
                </c:pt>
                <c:pt idx="95">
                  <c:v>-0.30397411956206055</c:v>
                </c:pt>
                <c:pt idx="96">
                  <c:v>-0.97427005678360268</c:v>
                </c:pt>
                <c:pt idx="97">
                  <c:v>-0.9815978337808684</c:v>
                </c:pt>
                <c:pt idx="98">
                  <c:v>0.18300563022260366</c:v>
                </c:pt>
                <c:pt idx="99">
                  <c:v>-0.44077367331577244</c:v>
                </c:pt>
                <c:pt idx="100">
                  <c:v>0.73653117371499766</c:v>
                </c:pt>
                <c:pt idx="101">
                  <c:v>0.74078945073753577</c:v>
                </c:pt>
                <c:pt idx="102">
                  <c:v>0.87531562622971715</c:v>
                </c:pt>
                <c:pt idx="103">
                  <c:v>-0.77160058327148573</c:v>
                </c:pt>
                <c:pt idx="104">
                  <c:v>0.60355044192565432</c:v>
                </c:pt>
                <c:pt idx="105">
                  <c:v>-0.83287694678327362</c:v>
                </c:pt>
                <c:pt idx="106">
                  <c:v>1.387400322205629</c:v>
                </c:pt>
                <c:pt idx="107">
                  <c:v>-0.29819178626763299</c:v>
                </c:pt>
                <c:pt idx="108">
                  <c:v>0.71251082873746996</c:v>
                </c:pt>
                <c:pt idx="109">
                  <c:v>0.31235184371401059</c:v>
                </c:pt>
                <c:pt idx="110">
                  <c:v>-1.1758182050618413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50-40B9-A4AA-51743D52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88416"/>
        <c:axId val="307609216"/>
      </c:scatterChart>
      <c:valAx>
        <c:axId val="307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Technical training at the factory(1=yes, 0=no)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609216"/>
        <c:crosses val="autoZero"/>
        <c:crossBetween val="midCat"/>
      </c:valAx>
      <c:valAx>
        <c:axId val="307609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5884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нормального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Лист3!$G$29:$G$139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Лист3!$H$29:$H$139</c:f>
              <c:numCache>
                <c:formatCode>General</c:formatCode>
                <c:ptCount val="111"/>
                <c:pt idx="0">
                  <c:v>-1.3681164612586845</c:v>
                </c:pt>
                <c:pt idx="1">
                  <c:v>-1.2746021992612415</c:v>
                </c:pt>
                <c:pt idx="2">
                  <c:v>-1.2434307785954273</c:v>
                </c:pt>
                <c:pt idx="3">
                  <c:v>-1.2434307785954273</c:v>
                </c:pt>
                <c:pt idx="4">
                  <c:v>-1.212259357929613</c:v>
                </c:pt>
                <c:pt idx="5">
                  <c:v>-1.212259357929613</c:v>
                </c:pt>
                <c:pt idx="6">
                  <c:v>-1.212259357929613</c:v>
                </c:pt>
                <c:pt idx="7">
                  <c:v>-1.1499165165979846</c:v>
                </c:pt>
                <c:pt idx="8">
                  <c:v>-1.1187450959321703</c:v>
                </c:pt>
                <c:pt idx="9">
                  <c:v>-1.0875736752663561</c:v>
                </c:pt>
                <c:pt idx="10">
                  <c:v>-1.0875736752663561</c:v>
                </c:pt>
                <c:pt idx="11">
                  <c:v>-1.0252308339347274</c:v>
                </c:pt>
                <c:pt idx="12">
                  <c:v>-0.96288799260309887</c:v>
                </c:pt>
                <c:pt idx="13">
                  <c:v>-0.90054515127147028</c:v>
                </c:pt>
                <c:pt idx="14">
                  <c:v>-0.90054515127147028</c:v>
                </c:pt>
                <c:pt idx="15">
                  <c:v>-0.90054515127147028</c:v>
                </c:pt>
                <c:pt idx="16">
                  <c:v>-0.83820230993984179</c:v>
                </c:pt>
                <c:pt idx="17">
                  <c:v>-0.83820230993984179</c:v>
                </c:pt>
                <c:pt idx="18">
                  <c:v>-0.83820230993984179</c:v>
                </c:pt>
                <c:pt idx="19">
                  <c:v>-0.83820230993984179</c:v>
                </c:pt>
                <c:pt idx="20">
                  <c:v>-0.83820230993984179</c:v>
                </c:pt>
                <c:pt idx="21">
                  <c:v>-0.83820230993984179</c:v>
                </c:pt>
                <c:pt idx="22">
                  <c:v>-0.80703088927402755</c:v>
                </c:pt>
                <c:pt idx="23">
                  <c:v>-0.80703088927402755</c:v>
                </c:pt>
                <c:pt idx="24">
                  <c:v>-0.7758594686082132</c:v>
                </c:pt>
                <c:pt idx="25">
                  <c:v>-0.74468804794239896</c:v>
                </c:pt>
                <c:pt idx="26">
                  <c:v>-0.71351662727658471</c:v>
                </c:pt>
                <c:pt idx="27">
                  <c:v>-0.71351662727658471</c:v>
                </c:pt>
                <c:pt idx="28">
                  <c:v>-0.71351662727658471</c:v>
                </c:pt>
                <c:pt idx="29">
                  <c:v>-0.71351662727658471</c:v>
                </c:pt>
                <c:pt idx="30">
                  <c:v>-0.68234520661077036</c:v>
                </c:pt>
                <c:pt idx="31">
                  <c:v>-0.65117378594495612</c:v>
                </c:pt>
                <c:pt idx="32">
                  <c:v>-0.65117378594495612</c:v>
                </c:pt>
                <c:pt idx="33">
                  <c:v>-0.65117378594495612</c:v>
                </c:pt>
                <c:pt idx="34">
                  <c:v>-0.58883094461332763</c:v>
                </c:pt>
                <c:pt idx="35">
                  <c:v>-0.58883094461332763</c:v>
                </c:pt>
                <c:pt idx="36">
                  <c:v>-0.58883094461332763</c:v>
                </c:pt>
                <c:pt idx="37">
                  <c:v>-0.58883094461332763</c:v>
                </c:pt>
                <c:pt idx="38">
                  <c:v>-0.58883094461332763</c:v>
                </c:pt>
                <c:pt idx="39">
                  <c:v>-0.58883094461332763</c:v>
                </c:pt>
                <c:pt idx="40">
                  <c:v>-0.56389380808067613</c:v>
                </c:pt>
                <c:pt idx="41">
                  <c:v>-0.52648810328169904</c:v>
                </c:pt>
                <c:pt idx="42">
                  <c:v>-0.52648810328169904</c:v>
                </c:pt>
                <c:pt idx="43">
                  <c:v>-0.48284811434955904</c:v>
                </c:pt>
                <c:pt idx="44">
                  <c:v>-0.4641452619500705</c:v>
                </c:pt>
                <c:pt idx="45">
                  <c:v>-0.43297384128425626</c:v>
                </c:pt>
                <c:pt idx="46">
                  <c:v>-0.43297384128425626</c:v>
                </c:pt>
                <c:pt idx="47">
                  <c:v>-0.43297384128425626</c:v>
                </c:pt>
                <c:pt idx="48">
                  <c:v>-0.43297384128425626</c:v>
                </c:pt>
                <c:pt idx="49">
                  <c:v>-0.43297384128425626</c:v>
                </c:pt>
                <c:pt idx="50">
                  <c:v>-0.43297384128425626</c:v>
                </c:pt>
                <c:pt idx="51">
                  <c:v>-0.33945957928681342</c:v>
                </c:pt>
                <c:pt idx="52">
                  <c:v>-0.33945957928681342</c:v>
                </c:pt>
                <c:pt idx="53">
                  <c:v>-0.30828815862099912</c:v>
                </c:pt>
                <c:pt idx="54">
                  <c:v>-0.27711673795518488</c:v>
                </c:pt>
                <c:pt idx="55">
                  <c:v>-0.27711673795518488</c:v>
                </c:pt>
                <c:pt idx="56">
                  <c:v>-0.27711673795518488</c:v>
                </c:pt>
                <c:pt idx="57">
                  <c:v>-0.27711673795518488</c:v>
                </c:pt>
                <c:pt idx="58">
                  <c:v>-0.27711673795518488</c:v>
                </c:pt>
                <c:pt idx="59">
                  <c:v>-0.27711673795518488</c:v>
                </c:pt>
                <c:pt idx="60">
                  <c:v>-0.21477389662355631</c:v>
                </c:pt>
                <c:pt idx="61">
                  <c:v>-0.21477389662355631</c:v>
                </c:pt>
                <c:pt idx="62">
                  <c:v>-0.15243105529192777</c:v>
                </c:pt>
                <c:pt idx="63">
                  <c:v>-0.15243105529192777</c:v>
                </c:pt>
                <c:pt idx="64">
                  <c:v>-0.1212596346261135</c:v>
                </c:pt>
                <c:pt idx="65">
                  <c:v>-0.1212596346261135</c:v>
                </c:pt>
                <c:pt idx="66">
                  <c:v>-9.0088213960299229E-2</c:v>
                </c:pt>
                <c:pt idx="67">
                  <c:v>-5.8916793294484952E-2</c:v>
                </c:pt>
                <c:pt idx="68">
                  <c:v>3.4597468702957865E-2</c:v>
                </c:pt>
                <c:pt idx="69">
                  <c:v>3.4597468702957865E-2</c:v>
                </c:pt>
                <c:pt idx="70">
                  <c:v>9.6940310034586405E-2</c:v>
                </c:pt>
                <c:pt idx="71">
                  <c:v>0.12811173070040069</c:v>
                </c:pt>
                <c:pt idx="72">
                  <c:v>0.12811173070040069</c:v>
                </c:pt>
                <c:pt idx="73">
                  <c:v>0.15928315136621496</c:v>
                </c:pt>
                <c:pt idx="74">
                  <c:v>0.19045457203202923</c:v>
                </c:pt>
                <c:pt idx="75">
                  <c:v>0.19045457203202923</c:v>
                </c:pt>
                <c:pt idx="76">
                  <c:v>0.19045457203202923</c:v>
                </c:pt>
                <c:pt idx="77">
                  <c:v>0.34631167536110058</c:v>
                </c:pt>
                <c:pt idx="78">
                  <c:v>0.34631167536110058</c:v>
                </c:pt>
                <c:pt idx="79">
                  <c:v>0.34631167536110058</c:v>
                </c:pt>
                <c:pt idx="80">
                  <c:v>0.34631167536110058</c:v>
                </c:pt>
                <c:pt idx="81">
                  <c:v>0.34631167536110058</c:v>
                </c:pt>
                <c:pt idx="82">
                  <c:v>0.40865451669272912</c:v>
                </c:pt>
                <c:pt idx="83">
                  <c:v>0.47099735802435766</c:v>
                </c:pt>
                <c:pt idx="84">
                  <c:v>0.50216877869017196</c:v>
                </c:pt>
                <c:pt idx="85">
                  <c:v>0.5333401993559862</c:v>
                </c:pt>
                <c:pt idx="86">
                  <c:v>0.65802588201924328</c:v>
                </c:pt>
                <c:pt idx="87">
                  <c:v>0.72036872335087188</c:v>
                </c:pt>
                <c:pt idx="88">
                  <c:v>0.8762258266799432</c:v>
                </c:pt>
                <c:pt idx="89">
                  <c:v>0.8762258266799432</c:v>
                </c:pt>
                <c:pt idx="90">
                  <c:v>0.90739724734575755</c:v>
                </c:pt>
                <c:pt idx="91">
                  <c:v>0.96974008867738604</c:v>
                </c:pt>
                <c:pt idx="92">
                  <c:v>0.96974008867738604</c:v>
                </c:pt>
                <c:pt idx="93">
                  <c:v>1.1255971920064574</c:v>
                </c:pt>
                <c:pt idx="94">
                  <c:v>1.1255971920064574</c:v>
                </c:pt>
                <c:pt idx="95">
                  <c:v>1.2814542953355288</c:v>
                </c:pt>
                <c:pt idx="96">
                  <c:v>1.4061399779987858</c:v>
                </c:pt>
                <c:pt idx="97">
                  <c:v>1.4373113986646002</c:v>
                </c:pt>
                <c:pt idx="98">
                  <c:v>1.5619970813278572</c:v>
                </c:pt>
                <c:pt idx="99">
                  <c:v>1.5806999337273457</c:v>
                </c:pt>
                <c:pt idx="100">
                  <c:v>1.5931685019936714</c:v>
                </c:pt>
                <c:pt idx="101">
                  <c:v>1.5931685019936714</c:v>
                </c:pt>
                <c:pt idx="102">
                  <c:v>1.7801970259885571</c:v>
                </c:pt>
                <c:pt idx="103">
                  <c:v>1.9360541293176285</c:v>
                </c:pt>
                <c:pt idx="104">
                  <c:v>1.998396970649257</c:v>
                </c:pt>
                <c:pt idx="105">
                  <c:v>2.0295683913150713</c:v>
                </c:pt>
                <c:pt idx="106">
                  <c:v>2.0607398119808855</c:v>
                </c:pt>
                <c:pt idx="107">
                  <c:v>2.2165969153099572</c:v>
                </c:pt>
                <c:pt idx="108">
                  <c:v>2.5283111219680996</c:v>
                </c:pt>
                <c:pt idx="109">
                  <c:v>2.8400253286262425</c:v>
                </c:pt>
                <c:pt idx="110">
                  <c:v>3.1517395352843853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4-4515-A6D8-CE979BAC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725696"/>
        <c:axId val="240726112"/>
      </c:scatterChart>
      <c:valAx>
        <c:axId val="240725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726112"/>
        <c:crosses val="autoZero"/>
        <c:crossBetween val="midCat"/>
      </c:valAx>
      <c:valAx>
        <c:axId val="24072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7256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production norms performance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Лист1!$D$3:$D$113</c:f>
              <c:numCache>
                <c:formatCode>General</c:formatCode>
                <c:ptCount val="111"/>
                <c:pt idx="0">
                  <c:v>134</c:v>
                </c:pt>
                <c:pt idx="1">
                  <c:v>140</c:v>
                </c:pt>
                <c:pt idx="2">
                  <c:v>139</c:v>
                </c:pt>
                <c:pt idx="3">
                  <c:v>125</c:v>
                </c:pt>
                <c:pt idx="4">
                  <c:v>128</c:v>
                </c:pt>
                <c:pt idx="5">
                  <c:v>126</c:v>
                </c:pt>
                <c:pt idx="6">
                  <c:v>138</c:v>
                </c:pt>
                <c:pt idx="7">
                  <c:v>86</c:v>
                </c:pt>
                <c:pt idx="8">
                  <c:v>89</c:v>
                </c:pt>
                <c:pt idx="9">
                  <c:v>89</c:v>
                </c:pt>
                <c:pt idx="10">
                  <c:v>95</c:v>
                </c:pt>
                <c:pt idx="11">
                  <c:v>97</c:v>
                </c:pt>
                <c:pt idx="12">
                  <c:v>98</c:v>
                </c:pt>
                <c:pt idx="13">
                  <c:v>98</c:v>
                </c:pt>
                <c:pt idx="14">
                  <c:v>99</c:v>
                </c:pt>
                <c:pt idx="15">
                  <c:v>99</c:v>
                </c:pt>
                <c:pt idx="16">
                  <c:v>110</c:v>
                </c:pt>
                <c:pt idx="17">
                  <c:v>83</c:v>
                </c:pt>
                <c:pt idx="18">
                  <c:v>80</c:v>
                </c:pt>
                <c:pt idx="19">
                  <c:v>80</c:v>
                </c:pt>
                <c:pt idx="20">
                  <c:v>85</c:v>
                </c:pt>
                <c:pt idx="21">
                  <c:v>102</c:v>
                </c:pt>
                <c:pt idx="22">
                  <c:v>106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102</c:v>
                </c:pt>
                <c:pt idx="27">
                  <c:v>83</c:v>
                </c:pt>
                <c:pt idx="28">
                  <c:v>90</c:v>
                </c:pt>
                <c:pt idx="29">
                  <c:v>86</c:v>
                </c:pt>
                <c:pt idx="30">
                  <c:v>89</c:v>
                </c:pt>
                <c:pt idx="31">
                  <c:v>85</c:v>
                </c:pt>
                <c:pt idx="32">
                  <c:v>120</c:v>
                </c:pt>
                <c:pt idx="33">
                  <c:v>185</c:v>
                </c:pt>
                <c:pt idx="34">
                  <c:v>92</c:v>
                </c:pt>
                <c:pt idx="35">
                  <c:v>160</c:v>
                </c:pt>
                <c:pt idx="36">
                  <c:v>202</c:v>
                </c:pt>
                <c:pt idx="37">
                  <c:v>165</c:v>
                </c:pt>
                <c:pt idx="38">
                  <c:v>156</c:v>
                </c:pt>
                <c:pt idx="39">
                  <c:v>150</c:v>
                </c:pt>
                <c:pt idx="40">
                  <c:v>95</c:v>
                </c:pt>
                <c:pt idx="41">
                  <c:v>80</c:v>
                </c:pt>
                <c:pt idx="42">
                  <c:v>173</c:v>
                </c:pt>
                <c:pt idx="43">
                  <c:v>123</c:v>
                </c:pt>
                <c:pt idx="44">
                  <c:v>128</c:v>
                </c:pt>
                <c:pt idx="45">
                  <c:v>116</c:v>
                </c:pt>
                <c:pt idx="46">
                  <c:v>90</c:v>
                </c:pt>
                <c:pt idx="47">
                  <c:v>95</c:v>
                </c:pt>
                <c:pt idx="48">
                  <c:v>129</c:v>
                </c:pt>
                <c:pt idx="49">
                  <c:v>99</c:v>
                </c:pt>
                <c:pt idx="50">
                  <c:v>129</c:v>
                </c:pt>
                <c:pt idx="51">
                  <c:v>85</c:v>
                </c:pt>
                <c:pt idx="52">
                  <c:v>160</c:v>
                </c:pt>
                <c:pt idx="53">
                  <c:v>169</c:v>
                </c:pt>
                <c:pt idx="54">
                  <c:v>109</c:v>
                </c:pt>
                <c:pt idx="55">
                  <c:v>94</c:v>
                </c:pt>
                <c:pt idx="56">
                  <c:v>88</c:v>
                </c:pt>
                <c:pt idx="57">
                  <c:v>109</c:v>
                </c:pt>
                <c:pt idx="58">
                  <c:v>109</c:v>
                </c:pt>
                <c:pt idx="59">
                  <c:v>95</c:v>
                </c:pt>
                <c:pt idx="60">
                  <c:v>153</c:v>
                </c:pt>
                <c:pt idx="61">
                  <c:v>153</c:v>
                </c:pt>
                <c:pt idx="62">
                  <c:v>90</c:v>
                </c:pt>
                <c:pt idx="63">
                  <c:v>116</c:v>
                </c:pt>
                <c:pt idx="64">
                  <c:v>91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81</c:v>
                </c:pt>
                <c:pt idx="69">
                  <c:v>80</c:v>
                </c:pt>
                <c:pt idx="70">
                  <c:v>98</c:v>
                </c:pt>
                <c:pt idx="71">
                  <c:v>98</c:v>
                </c:pt>
                <c:pt idx="72">
                  <c:v>139</c:v>
                </c:pt>
                <c:pt idx="73">
                  <c:v>160</c:v>
                </c:pt>
                <c:pt idx="74">
                  <c:v>160</c:v>
                </c:pt>
                <c:pt idx="75">
                  <c:v>160</c:v>
                </c:pt>
                <c:pt idx="76">
                  <c:v>97</c:v>
                </c:pt>
                <c:pt idx="77">
                  <c:v>93</c:v>
                </c:pt>
                <c:pt idx="78">
                  <c:v>110</c:v>
                </c:pt>
                <c:pt idx="79">
                  <c:v>87</c:v>
                </c:pt>
                <c:pt idx="80">
                  <c:v>106</c:v>
                </c:pt>
                <c:pt idx="81">
                  <c:v>93</c:v>
                </c:pt>
                <c:pt idx="82">
                  <c:v>93</c:v>
                </c:pt>
                <c:pt idx="83">
                  <c:v>150</c:v>
                </c:pt>
                <c:pt idx="84">
                  <c:v>138</c:v>
                </c:pt>
                <c:pt idx="85">
                  <c:v>90</c:v>
                </c:pt>
                <c:pt idx="86">
                  <c:v>114</c:v>
                </c:pt>
                <c:pt idx="87">
                  <c:v>109</c:v>
                </c:pt>
                <c:pt idx="88">
                  <c:v>102</c:v>
                </c:pt>
                <c:pt idx="89">
                  <c:v>86</c:v>
                </c:pt>
                <c:pt idx="90">
                  <c:v>201</c:v>
                </c:pt>
                <c:pt idx="91">
                  <c:v>185</c:v>
                </c:pt>
                <c:pt idx="92">
                  <c:v>107</c:v>
                </c:pt>
                <c:pt idx="93">
                  <c:v>180</c:v>
                </c:pt>
                <c:pt idx="94">
                  <c:v>99</c:v>
                </c:pt>
                <c:pt idx="95">
                  <c:v>102</c:v>
                </c:pt>
                <c:pt idx="96">
                  <c:v>82</c:v>
                </c:pt>
                <c:pt idx="97">
                  <c:v>82</c:v>
                </c:pt>
                <c:pt idx="98">
                  <c:v>114</c:v>
                </c:pt>
                <c:pt idx="99">
                  <c:v>95</c:v>
                </c:pt>
                <c:pt idx="100">
                  <c:v>138</c:v>
                </c:pt>
                <c:pt idx="101">
                  <c:v>139</c:v>
                </c:pt>
                <c:pt idx="102">
                  <c:v>139</c:v>
                </c:pt>
                <c:pt idx="103">
                  <c:v>85</c:v>
                </c:pt>
                <c:pt idx="104">
                  <c:v>138</c:v>
                </c:pt>
                <c:pt idx="105">
                  <c:v>87</c:v>
                </c:pt>
                <c:pt idx="106">
                  <c:v>156</c:v>
                </c:pt>
                <c:pt idx="107">
                  <c:v>102</c:v>
                </c:pt>
                <c:pt idx="108">
                  <c:v>138</c:v>
                </c:pt>
                <c:pt idx="109">
                  <c:v>123</c:v>
                </c:pt>
                <c:pt idx="110">
                  <c:v>80</c:v>
                </c:pt>
              </c:numCache>
            </c:numRef>
          </c:xVal>
          <c:yVal>
            <c:numRef>
              <c:f>Лист2!$C$29:$C$139</c:f>
              <c:numCache>
                <c:formatCode>General</c:formatCode>
                <c:ptCount val="111"/>
                <c:pt idx="0">
                  <c:v>530.35363636683905</c:v>
                </c:pt>
                <c:pt idx="1">
                  <c:v>-5233.9249602151249</c:v>
                </c:pt>
                <c:pt idx="2">
                  <c:v>-1924.7838429000985</c:v>
                </c:pt>
                <c:pt idx="3">
                  <c:v>-94.715676197200082</c:v>
                </c:pt>
                <c:pt idx="4">
                  <c:v>-6437.1615893888229</c:v>
                </c:pt>
                <c:pt idx="5">
                  <c:v>-11910.462791929691</c:v>
                </c:pt>
                <c:pt idx="6">
                  <c:v>-6893.9501102886425</c:v>
                </c:pt>
                <c:pt idx="7">
                  <c:v>-3806.8258696519551</c:v>
                </c:pt>
                <c:pt idx="8">
                  <c:v>-2017.4071233317154</c:v>
                </c:pt>
                <c:pt idx="9">
                  <c:v>604.92893597049988</c:v>
                </c:pt>
                <c:pt idx="10">
                  <c:v>520.87103299023147</c:v>
                </c:pt>
                <c:pt idx="11">
                  <c:v>-5416.7841824654533</c:v>
                </c:pt>
                <c:pt idx="12">
                  <c:v>-6232.8493699998944</c:v>
                </c:pt>
                <c:pt idx="13">
                  <c:v>-4599.7940111342105</c:v>
                </c:pt>
                <c:pt idx="14">
                  <c:v>-3556.2269022448163</c:v>
                </c:pt>
                <c:pt idx="15">
                  <c:v>-5748.8740808499206</c:v>
                </c:pt>
                <c:pt idx="16">
                  <c:v>13283.663311641183</c:v>
                </c:pt>
                <c:pt idx="17">
                  <c:v>-1413.3558556079442</c:v>
                </c:pt>
                <c:pt idx="18">
                  <c:v>-7182.7812371846885</c:v>
                </c:pt>
                <c:pt idx="19">
                  <c:v>-3435.0202355292131</c:v>
                </c:pt>
                <c:pt idx="20">
                  <c:v>-3430.4625160850919</c:v>
                </c:pt>
                <c:pt idx="21">
                  <c:v>-681.94254988984903</c:v>
                </c:pt>
                <c:pt idx="22">
                  <c:v>-1701.6649208846211</c:v>
                </c:pt>
                <c:pt idx="23">
                  <c:v>-1291.8521241886629</c:v>
                </c:pt>
                <c:pt idx="24">
                  <c:v>5112.7292514720466</c:v>
                </c:pt>
                <c:pt idx="25">
                  <c:v>-539.61312584413827</c:v>
                </c:pt>
                <c:pt idx="26">
                  <c:v>947.96038915246027</c:v>
                </c:pt>
                <c:pt idx="27">
                  <c:v>-5413.3558556079442</c:v>
                </c:pt>
                <c:pt idx="28">
                  <c:v>12513.478965524671</c:v>
                </c:pt>
                <c:pt idx="29">
                  <c:v>225.84851512455498</c:v>
                </c:pt>
                <c:pt idx="30">
                  <c:v>2990.2232931807084</c:v>
                </c:pt>
                <c:pt idx="31">
                  <c:v>1419.3231083271676</c:v>
                </c:pt>
                <c:pt idx="32">
                  <c:v>20032.909335672477</c:v>
                </c:pt>
                <c:pt idx="33">
                  <c:v>-5965.6387056259264</c:v>
                </c:pt>
                <c:pt idx="34">
                  <c:v>21126.593315891761</c:v>
                </c:pt>
                <c:pt idx="35">
                  <c:v>-1388.6334263047611</c:v>
                </c:pt>
                <c:pt idx="36">
                  <c:v>-5674.8522176722181</c:v>
                </c:pt>
                <c:pt idx="37">
                  <c:v>5600.6634601145342</c:v>
                </c:pt>
                <c:pt idx="38">
                  <c:v>7466.0655473408551</c:v>
                </c:pt>
                <c:pt idx="39">
                  <c:v>-5584.8936290141137</c:v>
                </c:pt>
                <c:pt idx="40">
                  <c:v>513.24061647780763</c:v>
                </c:pt>
                <c:pt idx="41">
                  <c:v>837.5301993607427</c:v>
                </c:pt>
                <c:pt idx="42">
                  <c:v>3599.8798707462847</c:v>
                </c:pt>
                <c:pt idx="43">
                  <c:v>-2467.6359046488942</c:v>
                </c:pt>
                <c:pt idx="44">
                  <c:v>-5488.1856902411964</c:v>
                </c:pt>
                <c:pt idx="45">
                  <c:v>-3264.5677867392224</c:v>
                </c:pt>
                <c:pt idx="46">
                  <c:v>2261.2399671801468</c:v>
                </c:pt>
                <c:pt idx="47">
                  <c:v>-4392.0471054758891</c:v>
                </c:pt>
                <c:pt idx="48">
                  <c:v>2073.7311347240757</c:v>
                </c:pt>
                <c:pt idx="49">
                  <c:v>-4451.3679314665933</c:v>
                </c:pt>
                <c:pt idx="50">
                  <c:v>-5559.324224141601</c:v>
                </c:pt>
                <c:pt idx="51">
                  <c:v>-1603.8226762396953</c:v>
                </c:pt>
                <c:pt idx="52">
                  <c:v>1119.2515252372687</c:v>
                </c:pt>
                <c:pt idx="53">
                  <c:v>1577.169438723693</c:v>
                </c:pt>
                <c:pt idx="54">
                  <c:v>-104.89335316949291</c:v>
                </c:pt>
                <c:pt idx="55">
                  <c:v>2076.7487338657884</c:v>
                </c:pt>
                <c:pt idx="56">
                  <c:v>-2704.494355620649</c:v>
                </c:pt>
                <c:pt idx="57">
                  <c:v>-1816.8275502250908</c:v>
                </c:pt>
                <c:pt idx="58">
                  <c:v>-7855.4887028464145</c:v>
                </c:pt>
                <c:pt idx="59">
                  <c:v>4758.1672701118441</c:v>
                </c:pt>
                <c:pt idx="60">
                  <c:v>-2335.7796839827934</c:v>
                </c:pt>
                <c:pt idx="61">
                  <c:v>-328.1492674703768</c:v>
                </c:pt>
                <c:pt idx="62">
                  <c:v>3553.783766813598</c:v>
                </c:pt>
                <c:pt idx="63">
                  <c:v>-4917.6165103483945</c:v>
                </c:pt>
                <c:pt idx="64">
                  <c:v>1465.4862161911369</c:v>
                </c:pt>
                <c:pt idx="65">
                  <c:v>-3437.854583550652</c:v>
                </c:pt>
                <c:pt idx="66">
                  <c:v>-1546.4112144736282</c:v>
                </c:pt>
                <c:pt idx="67">
                  <c:v>-2161.1168572634197</c:v>
                </c:pt>
                <c:pt idx="68">
                  <c:v>-3773.9131358285886</c:v>
                </c:pt>
                <c:pt idx="69">
                  <c:v>-3552.5602263404435</c:v>
                </c:pt>
                <c:pt idx="70">
                  <c:v>14149.610639188875</c:v>
                </c:pt>
                <c:pt idx="71">
                  <c:v>8652.4449872103141</c:v>
                </c:pt>
                <c:pt idx="72">
                  <c:v>-6863.0640214322484</c:v>
                </c:pt>
                <c:pt idx="73">
                  <c:v>17106.570505204261</c:v>
                </c:pt>
                <c:pt idx="74">
                  <c:v>9221.2761479940527</c:v>
                </c:pt>
                <c:pt idx="75">
                  <c:v>22106.570505204261</c:v>
                </c:pt>
                <c:pt idx="76">
                  <c:v>1346.1741154425399</c:v>
                </c:pt>
                <c:pt idx="77">
                  <c:v>2520.8186767453226</c:v>
                </c:pt>
                <c:pt idx="78">
                  <c:v>1933.8776872289163</c:v>
                </c:pt>
                <c:pt idx="79">
                  <c:v>4084.3988619212687</c:v>
                </c:pt>
                <c:pt idx="80">
                  <c:v>31961.50806985364</c:v>
                </c:pt>
                <c:pt idx="81">
                  <c:v>-462.02230653262086</c:v>
                </c:pt>
                <c:pt idx="82">
                  <c:v>-3005.1614558429937</c:v>
                </c:pt>
                <c:pt idx="83">
                  <c:v>-1317.1392626151355</c:v>
                </c:pt>
                <c:pt idx="84">
                  <c:v>-10696.506863192539</c:v>
                </c:pt>
                <c:pt idx="85">
                  <c:v>1528.9943335791177</c:v>
                </c:pt>
                <c:pt idx="86">
                  <c:v>-6107.9660502377956</c:v>
                </c:pt>
                <c:pt idx="87">
                  <c:v>-1742.4267087242188</c:v>
                </c:pt>
                <c:pt idx="88">
                  <c:v>-2161.9491851463536</c:v>
                </c:pt>
                <c:pt idx="89">
                  <c:v>2878.0875134690796</c:v>
                </c:pt>
                <c:pt idx="90">
                  <c:v>7771.115908904525</c:v>
                </c:pt>
                <c:pt idx="91">
                  <c:v>1076.6278161325463</c:v>
                </c:pt>
                <c:pt idx="92">
                  <c:v>-4590.6210407137842</c:v>
                </c:pt>
                <c:pt idx="93">
                  <c:v>-5575.309930877891</c:v>
                </c:pt>
                <c:pt idx="94">
                  <c:v>-5418.6935466900832</c:v>
                </c:pt>
                <c:pt idx="95">
                  <c:v>1430.8013724304037</c:v>
                </c:pt>
                <c:pt idx="96">
                  <c:v>8682.5721115269334</c:v>
                </c:pt>
                <c:pt idx="97">
                  <c:v>8000.1121023381638</c:v>
                </c:pt>
                <c:pt idx="98">
                  <c:v>-2380.5164851277514</c:v>
                </c:pt>
                <c:pt idx="99">
                  <c:v>-6374.8880887538326</c:v>
                </c:pt>
                <c:pt idx="100">
                  <c:v>-14259.251102755341</c:v>
                </c:pt>
                <c:pt idx="101">
                  <c:v>2172.4447113657079</c:v>
                </c:pt>
                <c:pt idx="102">
                  <c:v>14.599919265543576</c:v>
                </c:pt>
                <c:pt idx="103">
                  <c:v>-5568.3139434417535</c:v>
                </c:pt>
                <c:pt idx="104">
                  <c:v>-4126.1957438896643</c:v>
                </c:pt>
                <c:pt idx="105">
                  <c:v>1914.5793960810988</c:v>
                </c:pt>
                <c:pt idx="106">
                  <c:v>-6699.4096612717403</c:v>
                </c:pt>
                <c:pt idx="107">
                  <c:v>-661.94918514635356</c:v>
                </c:pt>
                <c:pt idx="108">
                  <c:v>-5873.9567455451324</c:v>
                </c:pt>
                <c:pt idx="109">
                  <c:v>-1955.2729564178298</c:v>
                </c:pt>
                <c:pt idx="110">
                  <c:v>415.47173517604824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6F-4A58-951F-292996FC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695376"/>
        <c:axId val="799692048"/>
      </c:scatterChart>
      <c:valAx>
        <c:axId val="79969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production norms performance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2048"/>
        <c:crosses val="autoZero"/>
        <c:crossBetween val="midCat"/>
      </c:valAx>
      <c:valAx>
        <c:axId val="799692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5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 experience (years)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Лист1!$E$3:$E$113</c:f>
              <c:numCache>
                <c:formatCode>General</c:formatCode>
                <c:ptCount val="111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4</c:v>
                </c:pt>
                <c:pt idx="61">
                  <c:v>5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1</c:v>
                </c:pt>
                <c:pt idx="77">
                  <c:v>5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2</c:v>
                </c:pt>
                <c:pt idx="86">
                  <c:v>1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5</c:v>
                </c:pt>
                <c:pt idx="94">
                  <c:v>1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1</c:v>
                </c:pt>
              </c:numCache>
            </c:numRef>
          </c:xVal>
          <c:yVal>
            <c:numRef>
              <c:f>Лист2!$C$29:$C$139</c:f>
              <c:numCache>
                <c:formatCode>General</c:formatCode>
                <c:ptCount val="111"/>
                <c:pt idx="0">
                  <c:v>530.35363636683905</c:v>
                </c:pt>
                <c:pt idx="1">
                  <c:v>-5233.9249602151249</c:v>
                </c:pt>
                <c:pt idx="2">
                  <c:v>-1924.7838429000985</c:v>
                </c:pt>
                <c:pt idx="3">
                  <c:v>-94.715676197200082</c:v>
                </c:pt>
                <c:pt idx="4">
                  <c:v>-6437.1615893888229</c:v>
                </c:pt>
                <c:pt idx="5">
                  <c:v>-11910.462791929691</c:v>
                </c:pt>
                <c:pt idx="6">
                  <c:v>-6893.9501102886425</c:v>
                </c:pt>
                <c:pt idx="7">
                  <c:v>-3806.8258696519551</c:v>
                </c:pt>
                <c:pt idx="8">
                  <c:v>-2017.4071233317154</c:v>
                </c:pt>
                <c:pt idx="9">
                  <c:v>604.92893597049988</c:v>
                </c:pt>
                <c:pt idx="10">
                  <c:v>520.87103299023147</c:v>
                </c:pt>
                <c:pt idx="11">
                  <c:v>-5416.7841824654533</c:v>
                </c:pt>
                <c:pt idx="12">
                  <c:v>-6232.8493699998944</c:v>
                </c:pt>
                <c:pt idx="13">
                  <c:v>-4599.7940111342105</c:v>
                </c:pt>
                <c:pt idx="14">
                  <c:v>-3556.2269022448163</c:v>
                </c:pt>
                <c:pt idx="15">
                  <c:v>-5748.8740808499206</c:v>
                </c:pt>
                <c:pt idx="16">
                  <c:v>13283.663311641183</c:v>
                </c:pt>
                <c:pt idx="17">
                  <c:v>-1413.3558556079442</c:v>
                </c:pt>
                <c:pt idx="18">
                  <c:v>-7182.7812371846885</c:v>
                </c:pt>
                <c:pt idx="19">
                  <c:v>-3435.0202355292131</c:v>
                </c:pt>
                <c:pt idx="20">
                  <c:v>-3430.4625160850919</c:v>
                </c:pt>
                <c:pt idx="21">
                  <c:v>-681.94254988984903</c:v>
                </c:pt>
                <c:pt idx="22">
                  <c:v>-1701.6649208846211</c:v>
                </c:pt>
                <c:pt idx="23">
                  <c:v>-1291.8521241886629</c:v>
                </c:pt>
                <c:pt idx="24">
                  <c:v>5112.7292514720466</c:v>
                </c:pt>
                <c:pt idx="25">
                  <c:v>-539.61312584413827</c:v>
                </c:pt>
                <c:pt idx="26">
                  <c:v>947.96038915246027</c:v>
                </c:pt>
                <c:pt idx="27">
                  <c:v>-5413.3558556079442</c:v>
                </c:pt>
                <c:pt idx="28">
                  <c:v>12513.478965524671</c:v>
                </c:pt>
                <c:pt idx="29">
                  <c:v>225.84851512455498</c:v>
                </c:pt>
                <c:pt idx="30">
                  <c:v>2990.2232931807084</c:v>
                </c:pt>
                <c:pt idx="31">
                  <c:v>1419.3231083271676</c:v>
                </c:pt>
                <c:pt idx="32">
                  <c:v>20032.909335672477</c:v>
                </c:pt>
                <c:pt idx="33">
                  <c:v>-5965.6387056259264</c:v>
                </c:pt>
                <c:pt idx="34">
                  <c:v>21126.593315891761</c:v>
                </c:pt>
                <c:pt idx="35">
                  <c:v>-1388.6334263047611</c:v>
                </c:pt>
                <c:pt idx="36">
                  <c:v>-5674.8522176722181</c:v>
                </c:pt>
                <c:pt idx="37">
                  <c:v>5600.6634601145342</c:v>
                </c:pt>
                <c:pt idx="38">
                  <c:v>7466.0655473408551</c:v>
                </c:pt>
                <c:pt idx="39">
                  <c:v>-5584.8936290141137</c:v>
                </c:pt>
                <c:pt idx="40">
                  <c:v>513.24061647780763</c:v>
                </c:pt>
                <c:pt idx="41">
                  <c:v>837.5301993607427</c:v>
                </c:pt>
                <c:pt idx="42">
                  <c:v>3599.8798707462847</c:v>
                </c:pt>
                <c:pt idx="43">
                  <c:v>-2467.6359046488942</c:v>
                </c:pt>
                <c:pt idx="44">
                  <c:v>-5488.1856902411964</c:v>
                </c:pt>
                <c:pt idx="45">
                  <c:v>-3264.5677867392224</c:v>
                </c:pt>
                <c:pt idx="46">
                  <c:v>2261.2399671801468</c:v>
                </c:pt>
                <c:pt idx="47">
                  <c:v>-4392.0471054758891</c:v>
                </c:pt>
                <c:pt idx="48">
                  <c:v>2073.7311347240757</c:v>
                </c:pt>
                <c:pt idx="49">
                  <c:v>-4451.3679314665933</c:v>
                </c:pt>
                <c:pt idx="50">
                  <c:v>-5559.324224141601</c:v>
                </c:pt>
                <c:pt idx="51">
                  <c:v>-1603.8226762396953</c:v>
                </c:pt>
                <c:pt idx="52">
                  <c:v>1119.2515252372687</c:v>
                </c:pt>
                <c:pt idx="53">
                  <c:v>1577.169438723693</c:v>
                </c:pt>
                <c:pt idx="54">
                  <c:v>-104.89335316949291</c:v>
                </c:pt>
                <c:pt idx="55">
                  <c:v>2076.7487338657884</c:v>
                </c:pt>
                <c:pt idx="56">
                  <c:v>-2704.494355620649</c:v>
                </c:pt>
                <c:pt idx="57">
                  <c:v>-1816.8275502250908</c:v>
                </c:pt>
                <c:pt idx="58">
                  <c:v>-7855.4887028464145</c:v>
                </c:pt>
                <c:pt idx="59">
                  <c:v>4758.1672701118441</c:v>
                </c:pt>
                <c:pt idx="60">
                  <c:v>-2335.7796839827934</c:v>
                </c:pt>
                <c:pt idx="61">
                  <c:v>-328.1492674703768</c:v>
                </c:pt>
                <c:pt idx="62">
                  <c:v>3553.783766813598</c:v>
                </c:pt>
                <c:pt idx="63">
                  <c:v>-4917.6165103483945</c:v>
                </c:pt>
                <c:pt idx="64">
                  <c:v>1465.4862161911369</c:v>
                </c:pt>
                <c:pt idx="65">
                  <c:v>-3437.854583550652</c:v>
                </c:pt>
                <c:pt idx="66">
                  <c:v>-1546.4112144736282</c:v>
                </c:pt>
                <c:pt idx="67">
                  <c:v>-2161.1168572634197</c:v>
                </c:pt>
                <c:pt idx="68">
                  <c:v>-3773.9131358285886</c:v>
                </c:pt>
                <c:pt idx="69">
                  <c:v>-3552.5602263404435</c:v>
                </c:pt>
                <c:pt idx="70">
                  <c:v>14149.610639188875</c:v>
                </c:pt>
                <c:pt idx="71">
                  <c:v>8652.4449872103141</c:v>
                </c:pt>
                <c:pt idx="72">
                  <c:v>-6863.0640214322484</c:v>
                </c:pt>
                <c:pt idx="73">
                  <c:v>17106.570505204261</c:v>
                </c:pt>
                <c:pt idx="74">
                  <c:v>9221.2761479940527</c:v>
                </c:pt>
                <c:pt idx="75">
                  <c:v>22106.570505204261</c:v>
                </c:pt>
                <c:pt idx="76">
                  <c:v>1346.1741154425399</c:v>
                </c:pt>
                <c:pt idx="77">
                  <c:v>2520.8186767453226</c:v>
                </c:pt>
                <c:pt idx="78">
                  <c:v>1933.8776872289163</c:v>
                </c:pt>
                <c:pt idx="79">
                  <c:v>4084.3988619212687</c:v>
                </c:pt>
                <c:pt idx="80">
                  <c:v>31961.50806985364</c:v>
                </c:pt>
                <c:pt idx="81">
                  <c:v>-462.02230653262086</c:v>
                </c:pt>
                <c:pt idx="82">
                  <c:v>-3005.1614558429937</c:v>
                </c:pt>
                <c:pt idx="83">
                  <c:v>-1317.1392626151355</c:v>
                </c:pt>
                <c:pt idx="84">
                  <c:v>-10696.506863192539</c:v>
                </c:pt>
                <c:pt idx="85">
                  <c:v>1528.9943335791177</c:v>
                </c:pt>
                <c:pt idx="86">
                  <c:v>-6107.9660502377956</c:v>
                </c:pt>
                <c:pt idx="87">
                  <c:v>-1742.4267087242188</c:v>
                </c:pt>
                <c:pt idx="88">
                  <c:v>-2161.9491851463536</c:v>
                </c:pt>
                <c:pt idx="89">
                  <c:v>2878.0875134690796</c:v>
                </c:pt>
                <c:pt idx="90">
                  <c:v>7771.115908904525</c:v>
                </c:pt>
                <c:pt idx="91">
                  <c:v>1076.6278161325463</c:v>
                </c:pt>
                <c:pt idx="92">
                  <c:v>-4590.6210407137842</c:v>
                </c:pt>
                <c:pt idx="93">
                  <c:v>-5575.309930877891</c:v>
                </c:pt>
                <c:pt idx="94">
                  <c:v>-5418.6935466900832</c:v>
                </c:pt>
                <c:pt idx="95">
                  <c:v>1430.8013724304037</c:v>
                </c:pt>
                <c:pt idx="96">
                  <c:v>8682.5721115269334</c:v>
                </c:pt>
                <c:pt idx="97">
                  <c:v>8000.1121023381638</c:v>
                </c:pt>
                <c:pt idx="98">
                  <c:v>-2380.5164851277514</c:v>
                </c:pt>
                <c:pt idx="99">
                  <c:v>-6374.8880887538326</c:v>
                </c:pt>
                <c:pt idx="100">
                  <c:v>-14259.251102755341</c:v>
                </c:pt>
                <c:pt idx="101">
                  <c:v>2172.4447113657079</c:v>
                </c:pt>
                <c:pt idx="102">
                  <c:v>14.599919265543576</c:v>
                </c:pt>
                <c:pt idx="103">
                  <c:v>-5568.3139434417535</c:v>
                </c:pt>
                <c:pt idx="104">
                  <c:v>-4126.1957438896643</c:v>
                </c:pt>
                <c:pt idx="105">
                  <c:v>1914.5793960810988</c:v>
                </c:pt>
                <c:pt idx="106">
                  <c:v>-6699.4096612717403</c:v>
                </c:pt>
                <c:pt idx="107">
                  <c:v>-661.94918514635356</c:v>
                </c:pt>
                <c:pt idx="108">
                  <c:v>-5873.9567455451324</c:v>
                </c:pt>
                <c:pt idx="109">
                  <c:v>-1955.2729564178298</c:v>
                </c:pt>
                <c:pt idx="110">
                  <c:v>415.47173517604824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E3-4AE0-8349-4E768B1FD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696208"/>
        <c:axId val="799695376"/>
      </c:scatterChart>
      <c:valAx>
        <c:axId val="79969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 experience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5376"/>
        <c:crosses val="autoZero"/>
        <c:crossBetween val="midCat"/>
      </c:valAx>
      <c:valAx>
        <c:axId val="799695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6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Years of training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Лист1!$F$3:$F$113</c:f>
              <c:numCache>
                <c:formatCode>General</c:formatCode>
                <c:ptCount val="111"/>
                <c:pt idx="0">
                  <c:v>11</c:v>
                </c:pt>
                <c:pt idx="1">
                  <c:v>12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11</c:v>
                </c:pt>
                <c:pt idx="10">
                  <c:v>9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12</c:v>
                </c:pt>
                <c:pt idx="23">
                  <c:v>11</c:v>
                </c:pt>
                <c:pt idx="24">
                  <c:v>12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11</c:v>
                </c:pt>
                <c:pt idx="29">
                  <c:v>9</c:v>
                </c:pt>
                <c:pt idx="30">
                  <c:v>9</c:v>
                </c:pt>
                <c:pt idx="31">
                  <c:v>11</c:v>
                </c:pt>
                <c:pt idx="32">
                  <c:v>13</c:v>
                </c:pt>
                <c:pt idx="33">
                  <c:v>9</c:v>
                </c:pt>
                <c:pt idx="34">
                  <c:v>11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11</c:v>
                </c:pt>
                <c:pt idx="39">
                  <c:v>11</c:v>
                </c:pt>
                <c:pt idx="40">
                  <c:v>9</c:v>
                </c:pt>
                <c:pt idx="41">
                  <c:v>9</c:v>
                </c:pt>
                <c:pt idx="42">
                  <c:v>11</c:v>
                </c:pt>
                <c:pt idx="43">
                  <c:v>13</c:v>
                </c:pt>
                <c:pt idx="44">
                  <c:v>11</c:v>
                </c:pt>
                <c:pt idx="45">
                  <c:v>9</c:v>
                </c:pt>
                <c:pt idx="46">
                  <c:v>11</c:v>
                </c:pt>
                <c:pt idx="47">
                  <c:v>13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13</c:v>
                </c:pt>
                <c:pt idx="52">
                  <c:v>11</c:v>
                </c:pt>
                <c:pt idx="53">
                  <c:v>9</c:v>
                </c:pt>
                <c:pt idx="54">
                  <c:v>11</c:v>
                </c:pt>
                <c:pt idx="55">
                  <c:v>9</c:v>
                </c:pt>
                <c:pt idx="56">
                  <c:v>11</c:v>
                </c:pt>
                <c:pt idx="57">
                  <c:v>9</c:v>
                </c:pt>
                <c:pt idx="58">
                  <c:v>13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13</c:v>
                </c:pt>
                <c:pt idx="64">
                  <c:v>9</c:v>
                </c:pt>
                <c:pt idx="65">
                  <c:v>11</c:v>
                </c:pt>
                <c:pt idx="66">
                  <c:v>11</c:v>
                </c:pt>
                <c:pt idx="67">
                  <c:v>9</c:v>
                </c:pt>
                <c:pt idx="68">
                  <c:v>11</c:v>
                </c:pt>
                <c:pt idx="69">
                  <c:v>9</c:v>
                </c:pt>
                <c:pt idx="70">
                  <c:v>11</c:v>
                </c:pt>
                <c:pt idx="71">
                  <c:v>9</c:v>
                </c:pt>
                <c:pt idx="72">
                  <c:v>13</c:v>
                </c:pt>
                <c:pt idx="73">
                  <c:v>11</c:v>
                </c:pt>
                <c:pt idx="74">
                  <c:v>13</c:v>
                </c:pt>
                <c:pt idx="75">
                  <c:v>11</c:v>
                </c:pt>
                <c:pt idx="76">
                  <c:v>9</c:v>
                </c:pt>
                <c:pt idx="77">
                  <c:v>9</c:v>
                </c:pt>
                <c:pt idx="78">
                  <c:v>11</c:v>
                </c:pt>
                <c:pt idx="79">
                  <c:v>12</c:v>
                </c:pt>
                <c:pt idx="80">
                  <c:v>9</c:v>
                </c:pt>
                <c:pt idx="81">
                  <c:v>9</c:v>
                </c:pt>
                <c:pt idx="82">
                  <c:v>13</c:v>
                </c:pt>
                <c:pt idx="83">
                  <c:v>9</c:v>
                </c:pt>
                <c:pt idx="84">
                  <c:v>12</c:v>
                </c:pt>
                <c:pt idx="85">
                  <c:v>9</c:v>
                </c:pt>
                <c:pt idx="86">
                  <c:v>11</c:v>
                </c:pt>
                <c:pt idx="87">
                  <c:v>13</c:v>
                </c:pt>
                <c:pt idx="88">
                  <c:v>9</c:v>
                </c:pt>
                <c:pt idx="89">
                  <c:v>9</c:v>
                </c:pt>
                <c:pt idx="90">
                  <c:v>13</c:v>
                </c:pt>
                <c:pt idx="91">
                  <c:v>11</c:v>
                </c:pt>
                <c:pt idx="92">
                  <c:v>13</c:v>
                </c:pt>
                <c:pt idx="93">
                  <c:v>11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11</c:v>
                </c:pt>
                <c:pt idx="99">
                  <c:v>13</c:v>
                </c:pt>
                <c:pt idx="100">
                  <c:v>11</c:v>
                </c:pt>
                <c:pt idx="101">
                  <c:v>9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13</c:v>
                </c:pt>
                <c:pt idx="107">
                  <c:v>9</c:v>
                </c:pt>
                <c:pt idx="108">
                  <c:v>9</c:v>
                </c:pt>
                <c:pt idx="109">
                  <c:v>11</c:v>
                </c:pt>
                <c:pt idx="110">
                  <c:v>6</c:v>
                </c:pt>
              </c:numCache>
            </c:numRef>
          </c:xVal>
          <c:yVal>
            <c:numRef>
              <c:f>Лист2!$C$29:$C$139</c:f>
              <c:numCache>
                <c:formatCode>General</c:formatCode>
                <c:ptCount val="111"/>
                <c:pt idx="0">
                  <c:v>530.35363636683905</c:v>
                </c:pt>
                <c:pt idx="1">
                  <c:v>-5233.9249602151249</c:v>
                </c:pt>
                <c:pt idx="2">
                  <c:v>-1924.7838429000985</c:v>
                </c:pt>
                <c:pt idx="3">
                  <c:v>-94.715676197200082</c:v>
                </c:pt>
                <c:pt idx="4">
                  <c:v>-6437.1615893888229</c:v>
                </c:pt>
                <c:pt idx="5">
                  <c:v>-11910.462791929691</c:v>
                </c:pt>
                <c:pt idx="6">
                  <c:v>-6893.9501102886425</c:v>
                </c:pt>
                <c:pt idx="7">
                  <c:v>-3806.8258696519551</c:v>
                </c:pt>
                <c:pt idx="8">
                  <c:v>-2017.4071233317154</c:v>
                </c:pt>
                <c:pt idx="9">
                  <c:v>604.92893597049988</c:v>
                </c:pt>
                <c:pt idx="10">
                  <c:v>520.87103299023147</c:v>
                </c:pt>
                <c:pt idx="11">
                  <c:v>-5416.7841824654533</c:v>
                </c:pt>
                <c:pt idx="12">
                  <c:v>-6232.8493699998944</c:v>
                </c:pt>
                <c:pt idx="13">
                  <c:v>-4599.7940111342105</c:v>
                </c:pt>
                <c:pt idx="14">
                  <c:v>-3556.2269022448163</c:v>
                </c:pt>
                <c:pt idx="15">
                  <c:v>-5748.8740808499206</c:v>
                </c:pt>
                <c:pt idx="16">
                  <c:v>13283.663311641183</c:v>
                </c:pt>
                <c:pt idx="17">
                  <c:v>-1413.3558556079442</c:v>
                </c:pt>
                <c:pt idx="18">
                  <c:v>-7182.7812371846885</c:v>
                </c:pt>
                <c:pt idx="19">
                  <c:v>-3435.0202355292131</c:v>
                </c:pt>
                <c:pt idx="20">
                  <c:v>-3430.4625160850919</c:v>
                </c:pt>
                <c:pt idx="21">
                  <c:v>-681.94254988984903</c:v>
                </c:pt>
                <c:pt idx="22">
                  <c:v>-1701.6649208846211</c:v>
                </c:pt>
                <c:pt idx="23">
                  <c:v>-1291.8521241886629</c:v>
                </c:pt>
                <c:pt idx="24">
                  <c:v>5112.7292514720466</c:v>
                </c:pt>
                <c:pt idx="25">
                  <c:v>-539.61312584413827</c:v>
                </c:pt>
                <c:pt idx="26">
                  <c:v>947.96038915246027</c:v>
                </c:pt>
                <c:pt idx="27">
                  <c:v>-5413.3558556079442</c:v>
                </c:pt>
                <c:pt idx="28">
                  <c:v>12513.478965524671</c:v>
                </c:pt>
                <c:pt idx="29">
                  <c:v>225.84851512455498</c:v>
                </c:pt>
                <c:pt idx="30">
                  <c:v>2990.2232931807084</c:v>
                </c:pt>
                <c:pt idx="31">
                  <c:v>1419.3231083271676</c:v>
                </c:pt>
                <c:pt idx="32">
                  <c:v>20032.909335672477</c:v>
                </c:pt>
                <c:pt idx="33">
                  <c:v>-5965.6387056259264</c:v>
                </c:pt>
                <c:pt idx="34">
                  <c:v>21126.593315891761</c:v>
                </c:pt>
                <c:pt idx="35">
                  <c:v>-1388.6334263047611</c:v>
                </c:pt>
                <c:pt idx="36">
                  <c:v>-5674.8522176722181</c:v>
                </c:pt>
                <c:pt idx="37">
                  <c:v>5600.6634601145342</c:v>
                </c:pt>
                <c:pt idx="38">
                  <c:v>7466.0655473408551</c:v>
                </c:pt>
                <c:pt idx="39">
                  <c:v>-5584.8936290141137</c:v>
                </c:pt>
                <c:pt idx="40">
                  <c:v>513.24061647780763</c:v>
                </c:pt>
                <c:pt idx="41">
                  <c:v>837.5301993607427</c:v>
                </c:pt>
                <c:pt idx="42">
                  <c:v>3599.8798707462847</c:v>
                </c:pt>
                <c:pt idx="43">
                  <c:v>-2467.6359046488942</c:v>
                </c:pt>
                <c:pt idx="44">
                  <c:v>-5488.1856902411964</c:v>
                </c:pt>
                <c:pt idx="45">
                  <c:v>-3264.5677867392224</c:v>
                </c:pt>
                <c:pt idx="46">
                  <c:v>2261.2399671801468</c:v>
                </c:pt>
                <c:pt idx="47">
                  <c:v>-4392.0471054758891</c:v>
                </c:pt>
                <c:pt idx="48">
                  <c:v>2073.7311347240757</c:v>
                </c:pt>
                <c:pt idx="49">
                  <c:v>-4451.3679314665933</c:v>
                </c:pt>
                <c:pt idx="50">
                  <c:v>-5559.324224141601</c:v>
                </c:pt>
                <c:pt idx="51">
                  <c:v>-1603.8226762396953</c:v>
                </c:pt>
                <c:pt idx="52">
                  <c:v>1119.2515252372687</c:v>
                </c:pt>
                <c:pt idx="53">
                  <c:v>1577.169438723693</c:v>
                </c:pt>
                <c:pt idx="54">
                  <c:v>-104.89335316949291</c:v>
                </c:pt>
                <c:pt idx="55">
                  <c:v>2076.7487338657884</c:v>
                </c:pt>
                <c:pt idx="56">
                  <c:v>-2704.494355620649</c:v>
                </c:pt>
                <c:pt idx="57">
                  <c:v>-1816.8275502250908</c:v>
                </c:pt>
                <c:pt idx="58">
                  <c:v>-7855.4887028464145</c:v>
                </c:pt>
                <c:pt idx="59">
                  <c:v>4758.1672701118441</c:v>
                </c:pt>
                <c:pt idx="60">
                  <c:v>-2335.7796839827934</c:v>
                </c:pt>
                <c:pt idx="61">
                  <c:v>-328.1492674703768</c:v>
                </c:pt>
                <c:pt idx="62">
                  <c:v>3553.783766813598</c:v>
                </c:pt>
                <c:pt idx="63">
                  <c:v>-4917.6165103483945</c:v>
                </c:pt>
                <c:pt idx="64">
                  <c:v>1465.4862161911369</c:v>
                </c:pt>
                <c:pt idx="65">
                  <c:v>-3437.854583550652</c:v>
                </c:pt>
                <c:pt idx="66">
                  <c:v>-1546.4112144736282</c:v>
                </c:pt>
                <c:pt idx="67">
                  <c:v>-2161.1168572634197</c:v>
                </c:pt>
                <c:pt idx="68">
                  <c:v>-3773.9131358285886</c:v>
                </c:pt>
                <c:pt idx="69">
                  <c:v>-3552.5602263404435</c:v>
                </c:pt>
                <c:pt idx="70">
                  <c:v>14149.610639188875</c:v>
                </c:pt>
                <c:pt idx="71">
                  <c:v>8652.4449872103141</c:v>
                </c:pt>
                <c:pt idx="72">
                  <c:v>-6863.0640214322484</c:v>
                </c:pt>
                <c:pt idx="73">
                  <c:v>17106.570505204261</c:v>
                </c:pt>
                <c:pt idx="74">
                  <c:v>9221.2761479940527</c:v>
                </c:pt>
                <c:pt idx="75">
                  <c:v>22106.570505204261</c:v>
                </c:pt>
                <c:pt idx="76">
                  <c:v>1346.1741154425399</c:v>
                </c:pt>
                <c:pt idx="77">
                  <c:v>2520.8186767453226</c:v>
                </c:pt>
                <c:pt idx="78">
                  <c:v>1933.8776872289163</c:v>
                </c:pt>
                <c:pt idx="79">
                  <c:v>4084.3988619212687</c:v>
                </c:pt>
                <c:pt idx="80">
                  <c:v>31961.50806985364</c:v>
                </c:pt>
                <c:pt idx="81">
                  <c:v>-462.02230653262086</c:v>
                </c:pt>
                <c:pt idx="82">
                  <c:v>-3005.1614558429937</c:v>
                </c:pt>
                <c:pt idx="83">
                  <c:v>-1317.1392626151355</c:v>
                </c:pt>
                <c:pt idx="84">
                  <c:v>-10696.506863192539</c:v>
                </c:pt>
                <c:pt idx="85">
                  <c:v>1528.9943335791177</c:v>
                </c:pt>
                <c:pt idx="86">
                  <c:v>-6107.9660502377956</c:v>
                </c:pt>
                <c:pt idx="87">
                  <c:v>-1742.4267087242188</c:v>
                </c:pt>
                <c:pt idx="88">
                  <c:v>-2161.9491851463536</c:v>
                </c:pt>
                <c:pt idx="89">
                  <c:v>2878.0875134690796</c:v>
                </c:pt>
                <c:pt idx="90">
                  <c:v>7771.115908904525</c:v>
                </c:pt>
                <c:pt idx="91">
                  <c:v>1076.6278161325463</c:v>
                </c:pt>
                <c:pt idx="92">
                  <c:v>-4590.6210407137842</c:v>
                </c:pt>
                <c:pt idx="93">
                  <c:v>-5575.309930877891</c:v>
                </c:pt>
                <c:pt idx="94">
                  <c:v>-5418.6935466900832</c:v>
                </c:pt>
                <c:pt idx="95">
                  <c:v>1430.8013724304037</c:v>
                </c:pt>
                <c:pt idx="96">
                  <c:v>8682.5721115269334</c:v>
                </c:pt>
                <c:pt idx="97">
                  <c:v>8000.1121023381638</c:v>
                </c:pt>
                <c:pt idx="98">
                  <c:v>-2380.5164851277514</c:v>
                </c:pt>
                <c:pt idx="99">
                  <c:v>-6374.8880887538326</c:v>
                </c:pt>
                <c:pt idx="100">
                  <c:v>-14259.251102755341</c:v>
                </c:pt>
                <c:pt idx="101">
                  <c:v>2172.4447113657079</c:v>
                </c:pt>
                <c:pt idx="102">
                  <c:v>14.599919265543576</c:v>
                </c:pt>
                <c:pt idx="103">
                  <c:v>-5568.3139434417535</c:v>
                </c:pt>
                <c:pt idx="104">
                  <c:v>-4126.1957438896643</c:v>
                </c:pt>
                <c:pt idx="105">
                  <c:v>1914.5793960810988</c:v>
                </c:pt>
                <c:pt idx="106">
                  <c:v>-6699.4096612717403</c:v>
                </c:pt>
                <c:pt idx="107">
                  <c:v>-661.94918514635356</c:v>
                </c:pt>
                <c:pt idx="108">
                  <c:v>-5873.9567455451324</c:v>
                </c:pt>
                <c:pt idx="109">
                  <c:v>-1955.2729564178298</c:v>
                </c:pt>
                <c:pt idx="110">
                  <c:v>415.47173517604824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E9-4D01-9782-6DD3D51B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690800"/>
        <c:axId val="799696208"/>
      </c:scatterChart>
      <c:valAx>
        <c:axId val="79969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of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6208"/>
        <c:crosses val="autoZero"/>
        <c:crossBetween val="midCat"/>
      </c:valAx>
      <c:valAx>
        <c:axId val="799696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96908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Tariff category assigned after training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Лист1!$G$3:$G$113</c:f>
              <c:numCache>
                <c:formatCode>General</c:formatCode>
                <c:ptCount val="111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3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3</c:v>
                </c:pt>
                <c:pt idx="97">
                  <c:v>3</c:v>
                </c:pt>
                <c:pt idx="98">
                  <c:v>5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5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5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</c:numCache>
            </c:numRef>
          </c:xVal>
          <c:yVal>
            <c:numRef>
              <c:f>Лист2!$C$29:$C$139</c:f>
              <c:numCache>
                <c:formatCode>General</c:formatCode>
                <c:ptCount val="111"/>
                <c:pt idx="0">
                  <c:v>530.35363636683905</c:v>
                </c:pt>
                <c:pt idx="1">
                  <c:v>-5233.9249602151249</c:v>
                </c:pt>
                <c:pt idx="2">
                  <c:v>-1924.7838429000985</c:v>
                </c:pt>
                <c:pt idx="3">
                  <c:v>-94.715676197200082</c:v>
                </c:pt>
                <c:pt idx="4">
                  <c:v>-6437.1615893888229</c:v>
                </c:pt>
                <c:pt idx="5">
                  <c:v>-11910.462791929691</c:v>
                </c:pt>
                <c:pt idx="6">
                  <c:v>-6893.9501102886425</c:v>
                </c:pt>
                <c:pt idx="7">
                  <c:v>-3806.8258696519551</c:v>
                </c:pt>
                <c:pt idx="8">
                  <c:v>-2017.4071233317154</c:v>
                </c:pt>
                <c:pt idx="9">
                  <c:v>604.92893597049988</c:v>
                </c:pt>
                <c:pt idx="10">
                  <c:v>520.87103299023147</c:v>
                </c:pt>
                <c:pt idx="11">
                  <c:v>-5416.7841824654533</c:v>
                </c:pt>
                <c:pt idx="12">
                  <c:v>-6232.8493699998944</c:v>
                </c:pt>
                <c:pt idx="13">
                  <c:v>-4599.7940111342105</c:v>
                </c:pt>
                <c:pt idx="14">
                  <c:v>-3556.2269022448163</c:v>
                </c:pt>
                <c:pt idx="15">
                  <c:v>-5748.8740808499206</c:v>
                </c:pt>
                <c:pt idx="16">
                  <c:v>13283.663311641183</c:v>
                </c:pt>
                <c:pt idx="17">
                  <c:v>-1413.3558556079442</c:v>
                </c:pt>
                <c:pt idx="18">
                  <c:v>-7182.7812371846885</c:v>
                </c:pt>
                <c:pt idx="19">
                  <c:v>-3435.0202355292131</c:v>
                </c:pt>
                <c:pt idx="20">
                  <c:v>-3430.4625160850919</c:v>
                </c:pt>
                <c:pt idx="21">
                  <c:v>-681.94254988984903</c:v>
                </c:pt>
                <c:pt idx="22">
                  <c:v>-1701.6649208846211</c:v>
                </c:pt>
                <c:pt idx="23">
                  <c:v>-1291.8521241886629</c:v>
                </c:pt>
                <c:pt idx="24">
                  <c:v>5112.7292514720466</c:v>
                </c:pt>
                <c:pt idx="25">
                  <c:v>-539.61312584413827</c:v>
                </c:pt>
                <c:pt idx="26">
                  <c:v>947.96038915246027</c:v>
                </c:pt>
                <c:pt idx="27">
                  <c:v>-5413.3558556079442</c:v>
                </c:pt>
                <c:pt idx="28">
                  <c:v>12513.478965524671</c:v>
                </c:pt>
                <c:pt idx="29">
                  <c:v>225.84851512455498</c:v>
                </c:pt>
                <c:pt idx="30">
                  <c:v>2990.2232931807084</c:v>
                </c:pt>
                <c:pt idx="31">
                  <c:v>1419.3231083271676</c:v>
                </c:pt>
                <c:pt idx="32">
                  <c:v>20032.909335672477</c:v>
                </c:pt>
                <c:pt idx="33">
                  <c:v>-5965.6387056259264</c:v>
                </c:pt>
                <c:pt idx="34">
                  <c:v>21126.593315891761</c:v>
                </c:pt>
                <c:pt idx="35">
                  <c:v>-1388.6334263047611</c:v>
                </c:pt>
                <c:pt idx="36">
                  <c:v>-5674.8522176722181</c:v>
                </c:pt>
                <c:pt idx="37">
                  <c:v>5600.6634601145342</c:v>
                </c:pt>
                <c:pt idx="38">
                  <c:v>7466.0655473408551</c:v>
                </c:pt>
                <c:pt idx="39">
                  <c:v>-5584.8936290141137</c:v>
                </c:pt>
                <c:pt idx="40">
                  <c:v>513.24061647780763</c:v>
                </c:pt>
                <c:pt idx="41">
                  <c:v>837.5301993607427</c:v>
                </c:pt>
                <c:pt idx="42">
                  <c:v>3599.8798707462847</c:v>
                </c:pt>
                <c:pt idx="43">
                  <c:v>-2467.6359046488942</c:v>
                </c:pt>
                <c:pt idx="44">
                  <c:v>-5488.1856902411964</c:v>
                </c:pt>
                <c:pt idx="45">
                  <c:v>-3264.5677867392224</c:v>
                </c:pt>
                <c:pt idx="46">
                  <c:v>2261.2399671801468</c:v>
                </c:pt>
                <c:pt idx="47">
                  <c:v>-4392.0471054758891</c:v>
                </c:pt>
                <c:pt idx="48">
                  <c:v>2073.7311347240757</c:v>
                </c:pt>
                <c:pt idx="49">
                  <c:v>-4451.3679314665933</c:v>
                </c:pt>
                <c:pt idx="50">
                  <c:v>-5559.324224141601</c:v>
                </c:pt>
                <c:pt idx="51">
                  <c:v>-1603.8226762396953</c:v>
                </c:pt>
                <c:pt idx="52">
                  <c:v>1119.2515252372687</c:v>
                </c:pt>
                <c:pt idx="53">
                  <c:v>1577.169438723693</c:v>
                </c:pt>
                <c:pt idx="54">
                  <c:v>-104.89335316949291</c:v>
                </c:pt>
                <c:pt idx="55">
                  <c:v>2076.7487338657884</c:v>
                </c:pt>
                <c:pt idx="56">
                  <c:v>-2704.494355620649</c:v>
                </c:pt>
                <c:pt idx="57">
                  <c:v>-1816.8275502250908</c:v>
                </c:pt>
                <c:pt idx="58">
                  <c:v>-7855.4887028464145</c:v>
                </c:pt>
                <c:pt idx="59">
                  <c:v>4758.1672701118441</c:v>
                </c:pt>
                <c:pt idx="60">
                  <c:v>-2335.7796839827934</c:v>
                </c:pt>
                <c:pt idx="61">
                  <c:v>-328.1492674703768</c:v>
                </c:pt>
                <c:pt idx="62">
                  <c:v>3553.783766813598</c:v>
                </c:pt>
                <c:pt idx="63">
                  <c:v>-4917.6165103483945</c:v>
                </c:pt>
                <c:pt idx="64">
                  <c:v>1465.4862161911369</c:v>
                </c:pt>
                <c:pt idx="65">
                  <c:v>-3437.854583550652</c:v>
                </c:pt>
                <c:pt idx="66">
                  <c:v>-1546.4112144736282</c:v>
                </c:pt>
                <c:pt idx="67">
                  <c:v>-2161.1168572634197</c:v>
                </c:pt>
                <c:pt idx="68">
                  <c:v>-3773.9131358285886</c:v>
                </c:pt>
                <c:pt idx="69">
                  <c:v>-3552.5602263404435</c:v>
                </c:pt>
                <c:pt idx="70">
                  <c:v>14149.610639188875</c:v>
                </c:pt>
                <c:pt idx="71">
                  <c:v>8652.4449872103141</c:v>
                </c:pt>
                <c:pt idx="72">
                  <c:v>-6863.0640214322484</c:v>
                </c:pt>
                <c:pt idx="73">
                  <c:v>17106.570505204261</c:v>
                </c:pt>
                <c:pt idx="74">
                  <c:v>9221.2761479940527</c:v>
                </c:pt>
                <c:pt idx="75">
                  <c:v>22106.570505204261</c:v>
                </c:pt>
                <c:pt idx="76">
                  <c:v>1346.1741154425399</c:v>
                </c:pt>
                <c:pt idx="77">
                  <c:v>2520.8186767453226</c:v>
                </c:pt>
                <c:pt idx="78">
                  <c:v>1933.8776872289163</c:v>
                </c:pt>
                <c:pt idx="79">
                  <c:v>4084.3988619212687</c:v>
                </c:pt>
                <c:pt idx="80">
                  <c:v>31961.50806985364</c:v>
                </c:pt>
                <c:pt idx="81">
                  <c:v>-462.02230653262086</c:v>
                </c:pt>
                <c:pt idx="82">
                  <c:v>-3005.1614558429937</c:v>
                </c:pt>
                <c:pt idx="83">
                  <c:v>-1317.1392626151355</c:v>
                </c:pt>
                <c:pt idx="84">
                  <c:v>-10696.506863192539</c:v>
                </c:pt>
                <c:pt idx="85">
                  <c:v>1528.9943335791177</c:v>
                </c:pt>
                <c:pt idx="86">
                  <c:v>-6107.9660502377956</c:v>
                </c:pt>
                <c:pt idx="87">
                  <c:v>-1742.4267087242188</c:v>
                </c:pt>
                <c:pt idx="88">
                  <c:v>-2161.9491851463536</c:v>
                </c:pt>
                <c:pt idx="89">
                  <c:v>2878.0875134690796</c:v>
                </c:pt>
                <c:pt idx="90">
                  <c:v>7771.115908904525</c:v>
                </c:pt>
                <c:pt idx="91">
                  <c:v>1076.6278161325463</c:v>
                </c:pt>
                <c:pt idx="92">
                  <c:v>-4590.6210407137842</c:v>
                </c:pt>
                <c:pt idx="93">
                  <c:v>-5575.309930877891</c:v>
                </c:pt>
                <c:pt idx="94">
                  <c:v>-5418.6935466900832</c:v>
                </c:pt>
                <c:pt idx="95">
                  <c:v>1430.8013724304037</c:v>
                </c:pt>
                <c:pt idx="96">
                  <c:v>8682.5721115269334</c:v>
                </c:pt>
                <c:pt idx="97">
                  <c:v>8000.1121023381638</c:v>
                </c:pt>
                <c:pt idx="98">
                  <c:v>-2380.5164851277514</c:v>
                </c:pt>
                <c:pt idx="99">
                  <c:v>-6374.8880887538326</c:v>
                </c:pt>
                <c:pt idx="100">
                  <c:v>-14259.251102755341</c:v>
                </c:pt>
                <c:pt idx="101">
                  <c:v>2172.4447113657079</c:v>
                </c:pt>
                <c:pt idx="102">
                  <c:v>14.599919265543576</c:v>
                </c:pt>
                <c:pt idx="103">
                  <c:v>-5568.3139434417535</c:v>
                </c:pt>
                <c:pt idx="104">
                  <c:v>-4126.1957438896643</c:v>
                </c:pt>
                <c:pt idx="105">
                  <c:v>1914.5793960810988</c:v>
                </c:pt>
                <c:pt idx="106">
                  <c:v>-6699.4096612717403</c:v>
                </c:pt>
                <c:pt idx="107">
                  <c:v>-661.94918514635356</c:v>
                </c:pt>
                <c:pt idx="108">
                  <c:v>-5873.9567455451324</c:v>
                </c:pt>
                <c:pt idx="109">
                  <c:v>-1955.2729564178298</c:v>
                </c:pt>
                <c:pt idx="110">
                  <c:v>415.47173517604824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D-48F5-9890-70991861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3728"/>
        <c:axId val="805757056"/>
      </c:scatterChart>
      <c:valAx>
        <c:axId val="80575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Tariff category assigned after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7056"/>
        <c:crosses val="autoZero"/>
        <c:crossBetween val="midCat"/>
      </c:valAx>
      <c:valAx>
        <c:axId val="80575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37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Technical training at the factory(1=yes, 0=no)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Лист1!$H$3:$H$113</c:f>
              <c:numCache>
                <c:formatCode>General</c:formatCode>
                <c:ptCount val="1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</c:numCache>
            </c:numRef>
          </c:xVal>
          <c:yVal>
            <c:numRef>
              <c:f>Лист2!$C$29:$C$139</c:f>
              <c:numCache>
                <c:formatCode>General</c:formatCode>
                <c:ptCount val="111"/>
                <c:pt idx="0">
                  <c:v>530.35363636683905</c:v>
                </c:pt>
                <c:pt idx="1">
                  <c:v>-5233.9249602151249</c:v>
                </c:pt>
                <c:pt idx="2">
                  <c:v>-1924.7838429000985</c:v>
                </c:pt>
                <c:pt idx="3">
                  <c:v>-94.715676197200082</c:v>
                </c:pt>
                <c:pt idx="4">
                  <c:v>-6437.1615893888229</c:v>
                </c:pt>
                <c:pt idx="5">
                  <c:v>-11910.462791929691</c:v>
                </c:pt>
                <c:pt idx="6">
                  <c:v>-6893.9501102886425</c:v>
                </c:pt>
                <c:pt idx="7">
                  <c:v>-3806.8258696519551</c:v>
                </c:pt>
                <c:pt idx="8">
                  <c:v>-2017.4071233317154</c:v>
                </c:pt>
                <c:pt idx="9">
                  <c:v>604.92893597049988</c:v>
                </c:pt>
                <c:pt idx="10">
                  <c:v>520.87103299023147</c:v>
                </c:pt>
                <c:pt idx="11">
                  <c:v>-5416.7841824654533</c:v>
                </c:pt>
                <c:pt idx="12">
                  <c:v>-6232.8493699998944</c:v>
                </c:pt>
                <c:pt idx="13">
                  <c:v>-4599.7940111342105</c:v>
                </c:pt>
                <c:pt idx="14">
                  <c:v>-3556.2269022448163</c:v>
                </c:pt>
                <c:pt idx="15">
                  <c:v>-5748.8740808499206</c:v>
                </c:pt>
                <c:pt idx="16">
                  <c:v>13283.663311641183</c:v>
                </c:pt>
                <c:pt idx="17">
                  <c:v>-1413.3558556079442</c:v>
                </c:pt>
                <c:pt idx="18">
                  <c:v>-7182.7812371846885</c:v>
                </c:pt>
                <c:pt idx="19">
                  <c:v>-3435.0202355292131</c:v>
                </c:pt>
                <c:pt idx="20">
                  <c:v>-3430.4625160850919</c:v>
                </c:pt>
                <c:pt idx="21">
                  <c:v>-681.94254988984903</c:v>
                </c:pt>
                <c:pt idx="22">
                  <c:v>-1701.6649208846211</c:v>
                </c:pt>
                <c:pt idx="23">
                  <c:v>-1291.8521241886629</c:v>
                </c:pt>
                <c:pt idx="24">
                  <c:v>5112.7292514720466</c:v>
                </c:pt>
                <c:pt idx="25">
                  <c:v>-539.61312584413827</c:v>
                </c:pt>
                <c:pt idx="26">
                  <c:v>947.96038915246027</c:v>
                </c:pt>
                <c:pt idx="27">
                  <c:v>-5413.3558556079442</c:v>
                </c:pt>
                <c:pt idx="28">
                  <c:v>12513.478965524671</c:v>
                </c:pt>
                <c:pt idx="29">
                  <c:v>225.84851512455498</c:v>
                </c:pt>
                <c:pt idx="30">
                  <c:v>2990.2232931807084</c:v>
                </c:pt>
                <c:pt idx="31">
                  <c:v>1419.3231083271676</c:v>
                </c:pt>
                <c:pt idx="32">
                  <c:v>20032.909335672477</c:v>
                </c:pt>
                <c:pt idx="33">
                  <c:v>-5965.6387056259264</c:v>
                </c:pt>
                <c:pt idx="34">
                  <c:v>21126.593315891761</c:v>
                </c:pt>
                <c:pt idx="35">
                  <c:v>-1388.6334263047611</c:v>
                </c:pt>
                <c:pt idx="36">
                  <c:v>-5674.8522176722181</c:v>
                </c:pt>
                <c:pt idx="37">
                  <c:v>5600.6634601145342</c:v>
                </c:pt>
                <c:pt idx="38">
                  <c:v>7466.0655473408551</c:v>
                </c:pt>
                <c:pt idx="39">
                  <c:v>-5584.8936290141137</c:v>
                </c:pt>
                <c:pt idx="40">
                  <c:v>513.24061647780763</c:v>
                </c:pt>
                <c:pt idx="41">
                  <c:v>837.5301993607427</c:v>
                </c:pt>
                <c:pt idx="42">
                  <c:v>3599.8798707462847</c:v>
                </c:pt>
                <c:pt idx="43">
                  <c:v>-2467.6359046488942</c:v>
                </c:pt>
                <c:pt idx="44">
                  <c:v>-5488.1856902411964</c:v>
                </c:pt>
                <c:pt idx="45">
                  <c:v>-3264.5677867392224</c:v>
                </c:pt>
                <c:pt idx="46">
                  <c:v>2261.2399671801468</c:v>
                </c:pt>
                <c:pt idx="47">
                  <c:v>-4392.0471054758891</c:v>
                </c:pt>
                <c:pt idx="48">
                  <c:v>2073.7311347240757</c:v>
                </c:pt>
                <c:pt idx="49">
                  <c:v>-4451.3679314665933</c:v>
                </c:pt>
                <c:pt idx="50">
                  <c:v>-5559.324224141601</c:v>
                </c:pt>
                <c:pt idx="51">
                  <c:v>-1603.8226762396953</c:v>
                </c:pt>
                <c:pt idx="52">
                  <c:v>1119.2515252372687</c:v>
                </c:pt>
                <c:pt idx="53">
                  <c:v>1577.169438723693</c:v>
                </c:pt>
                <c:pt idx="54">
                  <c:v>-104.89335316949291</c:v>
                </c:pt>
                <c:pt idx="55">
                  <c:v>2076.7487338657884</c:v>
                </c:pt>
                <c:pt idx="56">
                  <c:v>-2704.494355620649</c:v>
                </c:pt>
                <c:pt idx="57">
                  <c:v>-1816.8275502250908</c:v>
                </c:pt>
                <c:pt idx="58">
                  <c:v>-7855.4887028464145</c:v>
                </c:pt>
                <c:pt idx="59">
                  <c:v>4758.1672701118441</c:v>
                </c:pt>
                <c:pt idx="60">
                  <c:v>-2335.7796839827934</c:v>
                </c:pt>
                <c:pt idx="61">
                  <c:v>-328.1492674703768</c:v>
                </c:pt>
                <c:pt idx="62">
                  <c:v>3553.783766813598</c:v>
                </c:pt>
                <c:pt idx="63">
                  <c:v>-4917.6165103483945</c:v>
                </c:pt>
                <c:pt idx="64">
                  <c:v>1465.4862161911369</c:v>
                </c:pt>
                <c:pt idx="65">
                  <c:v>-3437.854583550652</c:v>
                </c:pt>
                <c:pt idx="66">
                  <c:v>-1546.4112144736282</c:v>
                </c:pt>
                <c:pt idx="67">
                  <c:v>-2161.1168572634197</c:v>
                </c:pt>
                <c:pt idx="68">
                  <c:v>-3773.9131358285886</c:v>
                </c:pt>
                <c:pt idx="69">
                  <c:v>-3552.5602263404435</c:v>
                </c:pt>
                <c:pt idx="70">
                  <c:v>14149.610639188875</c:v>
                </c:pt>
                <c:pt idx="71">
                  <c:v>8652.4449872103141</c:v>
                </c:pt>
                <c:pt idx="72">
                  <c:v>-6863.0640214322484</c:v>
                </c:pt>
                <c:pt idx="73">
                  <c:v>17106.570505204261</c:v>
                </c:pt>
                <c:pt idx="74">
                  <c:v>9221.2761479940527</c:v>
                </c:pt>
                <c:pt idx="75">
                  <c:v>22106.570505204261</c:v>
                </c:pt>
                <c:pt idx="76">
                  <c:v>1346.1741154425399</c:v>
                </c:pt>
                <c:pt idx="77">
                  <c:v>2520.8186767453226</c:v>
                </c:pt>
                <c:pt idx="78">
                  <c:v>1933.8776872289163</c:v>
                </c:pt>
                <c:pt idx="79">
                  <c:v>4084.3988619212687</c:v>
                </c:pt>
                <c:pt idx="80">
                  <c:v>31961.50806985364</c:v>
                </c:pt>
                <c:pt idx="81">
                  <c:v>-462.02230653262086</c:v>
                </c:pt>
                <c:pt idx="82">
                  <c:v>-3005.1614558429937</c:v>
                </c:pt>
                <c:pt idx="83">
                  <c:v>-1317.1392626151355</c:v>
                </c:pt>
                <c:pt idx="84">
                  <c:v>-10696.506863192539</c:v>
                </c:pt>
                <c:pt idx="85">
                  <c:v>1528.9943335791177</c:v>
                </c:pt>
                <c:pt idx="86">
                  <c:v>-6107.9660502377956</c:v>
                </c:pt>
                <c:pt idx="87">
                  <c:v>-1742.4267087242188</c:v>
                </c:pt>
                <c:pt idx="88">
                  <c:v>-2161.9491851463536</c:v>
                </c:pt>
                <c:pt idx="89">
                  <c:v>2878.0875134690796</c:v>
                </c:pt>
                <c:pt idx="90">
                  <c:v>7771.115908904525</c:v>
                </c:pt>
                <c:pt idx="91">
                  <c:v>1076.6278161325463</c:v>
                </c:pt>
                <c:pt idx="92">
                  <c:v>-4590.6210407137842</c:v>
                </c:pt>
                <c:pt idx="93">
                  <c:v>-5575.309930877891</c:v>
                </c:pt>
                <c:pt idx="94">
                  <c:v>-5418.6935466900832</c:v>
                </c:pt>
                <c:pt idx="95">
                  <c:v>1430.8013724304037</c:v>
                </c:pt>
                <c:pt idx="96">
                  <c:v>8682.5721115269334</c:v>
                </c:pt>
                <c:pt idx="97">
                  <c:v>8000.1121023381638</c:v>
                </c:pt>
                <c:pt idx="98">
                  <c:v>-2380.5164851277514</c:v>
                </c:pt>
                <c:pt idx="99">
                  <c:v>-6374.8880887538326</c:v>
                </c:pt>
                <c:pt idx="100">
                  <c:v>-14259.251102755341</c:v>
                </c:pt>
                <c:pt idx="101">
                  <c:v>2172.4447113657079</c:v>
                </c:pt>
                <c:pt idx="102">
                  <c:v>14.599919265543576</c:v>
                </c:pt>
                <c:pt idx="103">
                  <c:v>-5568.3139434417535</c:v>
                </c:pt>
                <c:pt idx="104">
                  <c:v>-4126.1957438896643</c:v>
                </c:pt>
                <c:pt idx="105">
                  <c:v>1914.5793960810988</c:v>
                </c:pt>
                <c:pt idx="106">
                  <c:v>-6699.4096612717403</c:v>
                </c:pt>
                <c:pt idx="107">
                  <c:v>-661.94918514635356</c:v>
                </c:pt>
                <c:pt idx="108">
                  <c:v>-5873.9567455451324</c:v>
                </c:pt>
                <c:pt idx="109">
                  <c:v>-1955.2729564178298</c:v>
                </c:pt>
                <c:pt idx="110">
                  <c:v>415.47173517604824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D0-4239-B019-90FC469ED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2896"/>
        <c:axId val="805752480"/>
      </c:scatterChart>
      <c:valAx>
        <c:axId val="80575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Technical training at the factory(1=yes, 0=no)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2480"/>
        <c:crosses val="autoZero"/>
        <c:crossBetween val="midCat"/>
      </c:valAx>
      <c:valAx>
        <c:axId val="805752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28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production norms performance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Лист1!$D$3:$D$113</c:f>
              <c:numCache>
                <c:formatCode>General</c:formatCode>
                <c:ptCount val="111"/>
                <c:pt idx="0">
                  <c:v>134</c:v>
                </c:pt>
                <c:pt idx="1">
                  <c:v>140</c:v>
                </c:pt>
                <c:pt idx="2">
                  <c:v>139</c:v>
                </c:pt>
                <c:pt idx="3">
                  <c:v>125</c:v>
                </c:pt>
                <c:pt idx="4">
                  <c:v>128</c:v>
                </c:pt>
                <c:pt idx="5">
                  <c:v>126</c:v>
                </c:pt>
                <c:pt idx="6">
                  <c:v>138</c:v>
                </c:pt>
                <c:pt idx="7">
                  <c:v>86</c:v>
                </c:pt>
                <c:pt idx="8">
                  <c:v>89</c:v>
                </c:pt>
                <c:pt idx="9">
                  <c:v>89</c:v>
                </c:pt>
                <c:pt idx="10">
                  <c:v>95</c:v>
                </c:pt>
                <c:pt idx="11">
                  <c:v>97</c:v>
                </c:pt>
                <c:pt idx="12">
                  <c:v>98</c:v>
                </c:pt>
                <c:pt idx="13">
                  <c:v>98</c:v>
                </c:pt>
                <c:pt idx="14">
                  <c:v>99</c:v>
                </c:pt>
                <c:pt idx="15">
                  <c:v>99</c:v>
                </c:pt>
                <c:pt idx="16">
                  <c:v>110</c:v>
                </c:pt>
                <c:pt idx="17">
                  <c:v>83</c:v>
                </c:pt>
                <c:pt idx="18">
                  <c:v>80</c:v>
                </c:pt>
                <c:pt idx="19">
                  <c:v>80</c:v>
                </c:pt>
                <c:pt idx="20">
                  <c:v>85</c:v>
                </c:pt>
                <c:pt idx="21">
                  <c:v>102</c:v>
                </c:pt>
                <c:pt idx="22">
                  <c:v>106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102</c:v>
                </c:pt>
                <c:pt idx="27">
                  <c:v>83</c:v>
                </c:pt>
                <c:pt idx="28">
                  <c:v>90</c:v>
                </c:pt>
                <c:pt idx="29">
                  <c:v>86</c:v>
                </c:pt>
                <c:pt idx="30">
                  <c:v>89</c:v>
                </c:pt>
                <c:pt idx="31">
                  <c:v>85</c:v>
                </c:pt>
                <c:pt idx="32">
                  <c:v>120</c:v>
                </c:pt>
                <c:pt idx="33">
                  <c:v>185</c:v>
                </c:pt>
                <c:pt idx="34">
                  <c:v>92</c:v>
                </c:pt>
                <c:pt idx="35">
                  <c:v>160</c:v>
                </c:pt>
                <c:pt idx="36">
                  <c:v>202</c:v>
                </c:pt>
                <c:pt idx="37">
                  <c:v>165</c:v>
                </c:pt>
                <c:pt idx="38">
                  <c:v>156</c:v>
                </c:pt>
                <c:pt idx="39">
                  <c:v>150</c:v>
                </c:pt>
                <c:pt idx="40">
                  <c:v>95</c:v>
                </c:pt>
                <c:pt idx="41">
                  <c:v>80</c:v>
                </c:pt>
                <c:pt idx="42">
                  <c:v>173</c:v>
                </c:pt>
                <c:pt idx="43">
                  <c:v>123</c:v>
                </c:pt>
                <c:pt idx="44">
                  <c:v>128</c:v>
                </c:pt>
                <c:pt idx="45">
                  <c:v>116</c:v>
                </c:pt>
                <c:pt idx="46">
                  <c:v>90</c:v>
                </c:pt>
                <c:pt idx="47">
                  <c:v>95</c:v>
                </c:pt>
                <c:pt idx="48">
                  <c:v>129</c:v>
                </c:pt>
                <c:pt idx="49">
                  <c:v>99</c:v>
                </c:pt>
                <c:pt idx="50">
                  <c:v>129</c:v>
                </c:pt>
                <c:pt idx="51">
                  <c:v>85</c:v>
                </c:pt>
                <c:pt idx="52">
                  <c:v>160</c:v>
                </c:pt>
                <c:pt idx="53">
                  <c:v>169</c:v>
                </c:pt>
                <c:pt idx="54">
                  <c:v>109</c:v>
                </c:pt>
                <c:pt idx="55">
                  <c:v>94</c:v>
                </c:pt>
                <c:pt idx="56">
                  <c:v>88</c:v>
                </c:pt>
                <c:pt idx="57">
                  <c:v>109</c:v>
                </c:pt>
                <c:pt idx="58">
                  <c:v>109</c:v>
                </c:pt>
                <c:pt idx="59">
                  <c:v>95</c:v>
                </c:pt>
                <c:pt idx="60">
                  <c:v>153</c:v>
                </c:pt>
                <c:pt idx="61">
                  <c:v>153</c:v>
                </c:pt>
                <c:pt idx="62">
                  <c:v>90</c:v>
                </c:pt>
                <c:pt idx="63">
                  <c:v>116</c:v>
                </c:pt>
                <c:pt idx="64">
                  <c:v>91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81</c:v>
                </c:pt>
                <c:pt idx="69">
                  <c:v>80</c:v>
                </c:pt>
                <c:pt idx="70">
                  <c:v>98</c:v>
                </c:pt>
                <c:pt idx="71">
                  <c:v>98</c:v>
                </c:pt>
                <c:pt idx="72">
                  <c:v>139</c:v>
                </c:pt>
                <c:pt idx="73">
                  <c:v>160</c:v>
                </c:pt>
                <c:pt idx="74">
                  <c:v>160</c:v>
                </c:pt>
                <c:pt idx="75">
                  <c:v>160</c:v>
                </c:pt>
                <c:pt idx="76">
                  <c:v>97</c:v>
                </c:pt>
                <c:pt idx="77">
                  <c:v>93</c:v>
                </c:pt>
                <c:pt idx="78">
                  <c:v>110</c:v>
                </c:pt>
                <c:pt idx="79">
                  <c:v>87</c:v>
                </c:pt>
                <c:pt idx="80">
                  <c:v>106</c:v>
                </c:pt>
                <c:pt idx="81">
                  <c:v>93</c:v>
                </c:pt>
                <c:pt idx="82">
                  <c:v>93</c:v>
                </c:pt>
                <c:pt idx="83">
                  <c:v>150</c:v>
                </c:pt>
                <c:pt idx="84">
                  <c:v>138</c:v>
                </c:pt>
                <c:pt idx="85">
                  <c:v>90</c:v>
                </c:pt>
                <c:pt idx="86">
                  <c:v>114</c:v>
                </c:pt>
                <c:pt idx="87">
                  <c:v>109</c:v>
                </c:pt>
                <c:pt idx="88">
                  <c:v>102</c:v>
                </c:pt>
                <c:pt idx="89">
                  <c:v>86</c:v>
                </c:pt>
                <c:pt idx="90">
                  <c:v>201</c:v>
                </c:pt>
                <c:pt idx="91">
                  <c:v>185</c:v>
                </c:pt>
                <c:pt idx="92">
                  <c:v>107</c:v>
                </c:pt>
                <c:pt idx="93">
                  <c:v>180</c:v>
                </c:pt>
                <c:pt idx="94">
                  <c:v>99</c:v>
                </c:pt>
                <c:pt idx="95">
                  <c:v>102</c:v>
                </c:pt>
                <c:pt idx="96">
                  <c:v>82</c:v>
                </c:pt>
                <c:pt idx="97">
                  <c:v>82</c:v>
                </c:pt>
                <c:pt idx="98">
                  <c:v>114</c:v>
                </c:pt>
                <c:pt idx="99">
                  <c:v>95</c:v>
                </c:pt>
                <c:pt idx="100">
                  <c:v>138</c:v>
                </c:pt>
                <c:pt idx="101">
                  <c:v>139</c:v>
                </c:pt>
                <c:pt idx="102">
                  <c:v>139</c:v>
                </c:pt>
                <c:pt idx="103">
                  <c:v>85</c:v>
                </c:pt>
                <c:pt idx="104">
                  <c:v>138</c:v>
                </c:pt>
                <c:pt idx="105">
                  <c:v>87</c:v>
                </c:pt>
                <c:pt idx="106">
                  <c:v>156</c:v>
                </c:pt>
                <c:pt idx="107">
                  <c:v>102</c:v>
                </c:pt>
                <c:pt idx="108">
                  <c:v>138</c:v>
                </c:pt>
                <c:pt idx="109">
                  <c:v>123</c:v>
                </c:pt>
                <c:pt idx="110">
                  <c:v>80</c:v>
                </c:pt>
              </c:numCache>
            </c:numRef>
          </c:xVal>
          <c:yVal>
            <c:numRef>
              <c:f>Лист1!$C$3:$C$113</c:f>
              <c:numCache>
                <c:formatCode>General</c:formatCode>
                <c:ptCount val="111"/>
                <c:pt idx="0">
                  <c:v>80000</c:v>
                </c:pt>
                <c:pt idx="1">
                  <c:v>75000</c:v>
                </c:pt>
                <c:pt idx="2">
                  <c:v>76000</c:v>
                </c:pt>
                <c:pt idx="3">
                  <c:v>75000</c:v>
                </c:pt>
                <c:pt idx="4">
                  <c:v>67500</c:v>
                </c:pt>
                <c:pt idx="5">
                  <c:v>60000</c:v>
                </c:pt>
                <c:pt idx="6">
                  <c:v>72500</c:v>
                </c:pt>
                <c:pt idx="7">
                  <c:v>52000</c:v>
                </c:pt>
                <c:pt idx="8">
                  <c:v>55000</c:v>
                </c:pt>
                <c:pt idx="9">
                  <c:v>56000</c:v>
                </c:pt>
                <c:pt idx="10">
                  <c:v>60000</c:v>
                </c:pt>
                <c:pt idx="11">
                  <c:v>56000</c:v>
                </c:pt>
                <c:pt idx="12">
                  <c:v>57000</c:v>
                </c:pt>
                <c:pt idx="13">
                  <c:v>56500</c:v>
                </c:pt>
                <c:pt idx="14">
                  <c:v>58500</c:v>
                </c:pt>
                <c:pt idx="15">
                  <c:v>56500</c:v>
                </c:pt>
                <c:pt idx="16">
                  <c:v>84000</c:v>
                </c:pt>
                <c:pt idx="17">
                  <c:v>53000</c:v>
                </c:pt>
                <c:pt idx="18">
                  <c:v>47500</c:v>
                </c:pt>
                <c:pt idx="19">
                  <c:v>49500</c:v>
                </c:pt>
                <c:pt idx="20">
                  <c:v>50000</c:v>
                </c:pt>
                <c:pt idx="21">
                  <c:v>62500</c:v>
                </c:pt>
                <c:pt idx="22">
                  <c:v>65000</c:v>
                </c:pt>
                <c:pt idx="23">
                  <c:v>60000</c:v>
                </c:pt>
                <c:pt idx="24">
                  <c:v>70000</c:v>
                </c:pt>
                <c:pt idx="25">
                  <c:v>62500</c:v>
                </c:pt>
                <c:pt idx="26">
                  <c:v>67500</c:v>
                </c:pt>
                <c:pt idx="27">
                  <c:v>49000</c:v>
                </c:pt>
                <c:pt idx="28">
                  <c:v>72000</c:v>
                </c:pt>
                <c:pt idx="29">
                  <c:v>56000</c:v>
                </c:pt>
                <c:pt idx="30">
                  <c:v>58000</c:v>
                </c:pt>
                <c:pt idx="31">
                  <c:v>55000</c:v>
                </c:pt>
                <c:pt idx="32">
                  <c:v>92000</c:v>
                </c:pt>
                <c:pt idx="33">
                  <c:v>98000</c:v>
                </c:pt>
                <c:pt idx="34">
                  <c:v>78000</c:v>
                </c:pt>
                <c:pt idx="35">
                  <c:v>90000</c:v>
                </c:pt>
                <c:pt idx="36">
                  <c:v>105000</c:v>
                </c:pt>
                <c:pt idx="37">
                  <c:v>101500</c:v>
                </c:pt>
                <c:pt idx="38">
                  <c:v>95000</c:v>
                </c:pt>
                <c:pt idx="39">
                  <c:v>81000</c:v>
                </c:pt>
                <c:pt idx="40">
                  <c:v>62000</c:v>
                </c:pt>
                <c:pt idx="41">
                  <c:v>52000</c:v>
                </c:pt>
                <c:pt idx="42">
                  <c:v>100500</c:v>
                </c:pt>
                <c:pt idx="43">
                  <c:v>68500</c:v>
                </c:pt>
                <c:pt idx="44">
                  <c:v>71000</c:v>
                </c:pt>
                <c:pt idx="45">
                  <c:v>66000</c:v>
                </c:pt>
                <c:pt idx="46">
                  <c:v>60000</c:v>
                </c:pt>
                <c:pt idx="47">
                  <c:v>56000</c:v>
                </c:pt>
                <c:pt idx="48">
                  <c:v>77000</c:v>
                </c:pt>
                <c:pt idx="49">
                  <c:v>59000</c:v>
                </c:pt>
                <c:pt idx="50">
                  <c:v>71500</c:v>
                </c:pt>
                <c:pt idx="51">
                  <c:v>56000</c:v>
                </c:pt>
                <c:pt idx="52">
                  <c:v>92500</c:v>
                </c:pt>
                <c:pt idx="53">
                  <c:v>95000</c:v>
                </c:pt>
                <c:pt idx="54">
                  <c:v>68000</c:v>
                </c:pt>
                <c:pt idx="55">
                  <c:v>65000</c:v>
                </c:pt>
                <c:pt idx="56">
                  <c:v>58000</c:v>
                </c:pt>
                <c:pt idx="57">
                  <c:v>62500</c:v>
                </c:pt>
                <c:pt idx="58">
                  <c:v>62500</c:v>
                </c:pt>
                <c:pt idx="59">
                  <c:v>65000</c:v>
                </c:pt>
                <c:pt idx="60">
                  <c:v>87500</c:v>
                </c:pt>
                <c:pt idx="61">
                  <c:v>87500</c:v>
                </c:pt>
                <c:pt idx="62">
                  <c:v>61000</c:v>
                </c:pt>
                <c:pt idx="63">
                  <c:v>65000</c:v>
                </c:pt>
                <c:pt idx="64">
                  <c:v>57500</c:v>
                </c:pt>
                <c:pt idx="65">
                  <c:v>50000</c:v>
                </c:pt>
                <c:pt idx="66">
                  <c:v>55000</c:v>
                </c:pt>
                <c:pt idx="67">
                  <c:v>54000</c:v>
                </c:pt>
                <c:pt idx="68">
                  <c:v>50000</c:v>
                </c:pt>
                <c:pt idx="69">
                  <c:v>49500</c:v>
                </c:pt>
                <c:pt idx="70">
                  <c:v>77500</c:v>
                </c:pt>
                <c:pt idx="71">
                  <c:v>71500</c:v>
                </c:pt>
                <c:pt idx="72">
                  <c:v>75000</c:v>
                </c:pt>
                <c:pt idx="73">
                  <c:v>110000</c:v>
                </c:pt>
                <c:pt idx="74">
                  <c:v>102500</c:v>
                </c:pt>
                <c:pt idx="75">
                  <c:v>115000</c:v>
                </c:pt>
                <c:pt idx="76">
                  <c:v>64000</c:v>
                </c:pt>
                <c:pt idx="77">
                  <c:v>61000</c:v>
                </c:pt>
                <c:pt idx="78">
                  <c:v>72500</c:v>
                </c:pt>
                <c:pt idx="79">
                  <c:v>59000</c:v>
                </c:pt>
                <c:pt idx="80">
                  <c:v>94800</c:v>
                </c:pt>
                <c:pt idx="81">
                  <c:v>60000</c:v>
                </c:pt>
                <c:pt idx="82">
                  <c:v>60000</c:v>
                </c:pt>
                <c:pt idx="83">
                  <c:v>85000</c:v>
                </c:pt>
                <c:pt idx="84">
                  <c:v>67000</c:v>
                </c:pt>
                <c:pt idx="85">
                  <c:v>59000</c:v>
                </c:pt>
                <c:pt idx="86">
                  <c:v>64500</c:v>
                </c:pt>
                <c:pt idx="87">
                  <c:v>65000</c:v>
                </c:pt>
                <c:pt idx="88">
                  <c:v>62500</c:v>
                </c:pt>
                <c:pt idx="89">
                  <c:v>60400</c:v>
                </c:pt>
                <c:pt idx="90">
                  <c:v>120000</c:v>
                </c:pt>
                <c:pt idx="91">
                  <c:v>102000</c:v>
                </c:pt>
                <c:pt idx="92">
                  <c:v>65000</c:v>
                </c:pt>
                <c:pt idx="93">
                  <c:v>94500</c:v>
                </c:pt>
                <c:pt idx="94">
                  <c:v>58000</c:v>
                </c:pt>
                <c:pt idx="95">
                  <c:v>66000</c:v>
                </c:pt>
                <c:pt idx="96">
                  <c:v>62500</c:v>
                </c:pt>
                <c:pt idx="97">
                  <c:v>61700</c:v>
                </c:pt>
                <c:pt idx="98">
                  <c:v>70000</c:v>
                </c:pt>
                <c:pt idx="99">
                  <c:v>56000</c:v>
                </c:pt>
                <c:pt idx="100">
                  <c:v>67000</c:v>
                </c:pt>
                <c:pt idx="101">
                  <c:v>83500</c:v>
                </c:pt>
                <c:pt idx="102">
                  <c:v>83500</c:v>
                </c:pt>
                <c:pt idx="103">
                  <c:v>51500</c:v>
                </c:pt>
                <c:pt idx="104">
                  <c:v>75000</c:v>
                </c:pt>
                <c:pt idx="105">
                  <c:v>58000</c:v>
                </c:pt>
                <c:pt idx="106">
                  <c:v>85000</c:v>
                </c:pt>
                <c:pt idx="107">
                  <c:v>64000</c:v>
                </c:pt>
                <c:pt idx="108">
                  <c:v>75000</c:v>
                </c:pt>
                <c:pt idx="109">
                  <c:v>72500</c:v>
                </c:pt>
                <c:pt idx="110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8F-498F-AA91-4EEEBF56D502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Лист1!$D$3:$D$113</c:f>
              <c:numCache>
                <c:formatCode>General</c:formatCode>
                <c:ptCount val="111"/>
                <c:pt idx="0">
                  <c:v>134</c:v>
                </c:pt>
                <c:pt idx="1">
                  <c:v>140</c:v>
                </c:pt>
                <c:pt idx="2">
                  <c:v>139</c:v>
                </c:pt>
                <c:pt idx="3">
                  <c:v>125</c:v>
                </c:pt>
                <c:pt idx="4">
                  <c:v>128</c:v>
                </c:pt>
                <c:pt idx="5">
                  <c:v>126</c:v>
                </c:pt>
                <c:pt idx="6">
                  <c:v>138</c:v>
                </c:pt>
                <c:pt idx="7">
                  <c:v>86</c:v>
                </c:pt>
                <c:pt idx="8">
                  <c:v>89</c:v>
                </c:pt>
                <c:pt idx="9">
                  <c:v>89</c:v>
                </c:pt>
                <c:pt idx="10">
                  <c:v>95</c:v>
                </c:pt>
                <c:pt idx="11">
                  <c:v>97</c:v>
                </c:pt>
                <c:pt idx="12">
                  <c:v>98</c:v>
                </c:pt>
                <c:pt idx="13">
                  <c:v>98</c:v>
                </c:pt>
                <c:pt idx="14">
                  <c:v>99</c:v>
                </c:pt>
                <c:pt idx="15">
                  <c:v>99</c:v>
                </c:pt>
                <c:pt idx="16">
                  <c:v>110</c:v>
                </c:pt>
                <c:pt idx="17">
                  <c:v>83</c:v>
                </c:pt>
                <c:pt idx="18">
                  <c:v>80</c:v>
                </c:pt>
                <c:pt idx="19">
                  <c:v>80</c:v>
                </c:pt>
                <c:pt idx="20">
                  <c:v>85</c:v>
                </c:pt>
                <c:pt idx="21">
                  <c:v>102</c:v>
                </c:pt>
                <c:pt idx="22">
                  <c:v>106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102</c:v>
                </c:pt>
                <c:pt idx="27">
                  <c:v>83</c:v>
                </c:pt>
                <c:pt idx="28">
                  <c:v>90</c:v>
                </c:pt>
                <c:pt idx="29">
                  <c:v>86</c:v>
                </c:pt>
                <c:pt idx="30">
                  <c:v>89</c:v>
                </c:pt>
                <c:pt idx="31">
                  <c:v>85</c:v>
                </c:pt>
                <c:pt idx="32">
                  <c:v>120</c:v>
                </c:pt>
                <c:pt idx="33">
                  <c:v>185</c:v>
                </c:pt>
                <c:pt idx="34">
                  <c:v>92</c:v>
                </c:pt>
                <c:pt idx="35">
                  <c:v>160</c:v>
                </c:pt>
                <c:pt idx="36">
                  <c:v>202</c:v>
                </c:pt>
                <c:pt idx="37">
                  <c:v>165</c:v>
                </c:pt>
                <c:pt idx="38">
                  <c:v>156</c:v>
                </c:pt>
                <c:pt idx="39">
                  <c:v>150</c:v>
                </c:pt>
                <c:pt idx="40">
                  <c:v>95</c:v>
                </c:pt>
                <c:pt idx="41">
                  <c:v>80</c:v>
                </c:pt>
                <c:pt idx="42">
                  <c:v>173</c:v>
                </c:pt>
                <c:pt idx="43">
                  <c:v>123</c:v>
                </c:pt>
                <c:pt idx="44">
                  <c:v>128</c:v>
                </c:pt>
                <c:pt idx="45">
                  <c:v>116</c:v>
                </c:pt>
                <c:pt idx="46">
                  <c:v>90</c:v>
                </c:pt>
                <c:pt idx="47">
                  <c:v>95</c:v>
                </c:pt>
                <c:pt idx="48">
                  <c:v>129</c:v>
                </c:pt>
                <c:pt idx="49">
                  <c:v>99</c:v>
                </c:pt>
                <c:pt idx="50">
                  <c:v>129</c:v>
                </c:pt>
                <c:pt idx="51">
                  <c:v>85</c:v>
                </c:pt>
                <c:pt idx="52">
                  <c:v>160</c:v>
                </c:pt>
                <c:pt idx="53">
                  <c:v>169</c:v>
                </c:pt>
                <c:pt idx="54">
                  <c:v>109</c:v>
                </c:pt>
                <c:pt idx="55">
                  <c:v>94</c:v>
                </c:pt>
                <c:pt idx="56">
                  <c:v>88</c:v>
                </c:pt>
                <c:pt idx="57">
                  <c:v>109</c:v>
                </c:pt>
                <c:pt idx="58">
                  <c:v>109</c:v>
                </c:pt>
                <c:pt idx="59">
                  <c:v>95</c:v>
                </c:pt>
                <c:pt idx="60">
                  <c:v>153</c:v>
                </c:pt>
                <c:pt idx="61">
                  <c:v>153</c:v>
                </c:pt>
                <c:pt idx="62">
                  <c:v>90</c:v>
                </c:pt>
                <c:pt idx="63">
                  <c:v>116</c:v>
                </c:pt>
                <c:pt idx="64">
                  <c:v>91</c:v>
                </c:pt>
                <c:pt idx="65">
                  <c:v>80</c:v>
                </c:pt>
                <c:pt idx="66">
                  <c:v>83</c:v>
                </c:pt>
                <c:pt idx="67">
                  <c:v>83</c:v>
                </c:pt>
                <c:pt idx="68">
                  <c:v>81</c:v>
                </c:pt>
                <c:pt idx="69">
                  <c:v>80</c:v>
                </c:pt>
                <c:pt idx="70">
                  <c:v>98</c:v>
                </c:pt>
                <c:pt idx="71">
                  <c:v>98</c:v>
                </c:pt>
                <c:pt idx="72">
                  <c:v>139</c:v>
                </c:pt>
                <c:pt idx="73">
                  <c:v>160</c:v>
                </c:pt>
                <c:pt idx="74">
                  <c:v>160</c:v>
                </c:pt>
                <c:pt idx="75">
                  <c:v>160</c:v>
                </c:pt>
                <c:pt idx="76">
                  <c:v>97</c:v>
                </c:pt>
                <c:pt idx="77">
                  <c:v>93</c:v>
                </c:pt>
                <c:pt idx="78">
                  <c:v>110</c:v>
                </c:pt>
                <c:pt idx="79">
                  <c:v>87</c:v>
                </c:pt>
                <c:pt idx="80">
                  <c:v>106</c:v>
                </c:pt>
                <c:pt idx="81">
                  <c:v>93</c:v>
                </c:pt>
                <c:pt idx="82">
                  <c:v>93</c:v>
                </c:pt>
                <c:pt idx="83">
                  <c:v>150</c:v>
                </c:pt>
                <c:pt idx="84">
                  <c:v>138</c:v>
                </c:pt>
                <c:pt idx="85">
                  <c:v>90</c:v>
                </c:pt>
                <c:pt idx="86">
                  <c:v>114</c:v>
                </c:pt>
                <c:pt idx="87">
                  <c:v>109</c:v>
                </c:pt>
                <c:pt idx="88">
                  <c:v>102</c:v>
                </c:pt>
                <c:pt idx="89">
                  <c:v>86</c:v>
                </c:pt>
                <c:pt idx="90">
                  <c:v>201</c:v>
                </c:pt>
                <c:pt idx="91">
                  <c:v>185</c:v>
                </c:pt>
                <c:pt idx="92">
                  <c:v>107</c:v>
                </c:pt>
                <c:pt idx="93">
                  <c:v>180</c:v>
                </c:pt>
                <c:pt idx="94">
                  <c:v>99</c:v>
                </c:pt>
                <c:pt idx="95">
                  <c:v>102</c:v>
                </c:pt>
                <c:pt idx="96">
                  <c:v>82</c:v>
                </c:pt>
                <c:pt idx="97">
                  <c:v>82</c:v>
                </c:pt>
                <c:pt idx="98">
                  <c:v>114</c:v>
                </c:pt>
                <c:pt idx="99">
                  <c:v>95</c:v>
                </c:pt>
                <c:pt idx="100">
                  <c:v>138</c:v>
                </c:pt>
                <c:pt idx="101">
                  <c:v>139</c:v>
                </c:pt>
                <c:pt idx="102">
                  <c:v>139</c:v>
                </c:pt>
                <c:pt idx="103">
                  <c:v>85</c:v>
                </c:pt>
                <c:pt idx="104">
                  <c:v>138</c:v>
                </c:pt>
                <c:pt idx="105">
                  <c:v>87</c:v>
                </c:pt>
                <c:pt idx="106">
                  <c:v>156</c:v>
                </c:pt>
                <c:pt idx="107">
                  <c:v>102</c:v>
                </c:pt>
                <c:pt idx="108">
                  <c:v>138</c:v>
                </c:pt>
                <c:pt idx="109">
                  <c:v>123</c:v>
                </c:pt>
                <c:pt idx="110">
                  <c:v>80</c:v>
                </c:pt>
              </c:numCache>
            </c:numRef>
          </c:xVal>
          <c:yVal>
            <c:numRef>
              <c:f>Лист2!$B$29:$B$139</c:f>
              <c:numCache>
                <c:formatCode>General</c:formatCode>
                <c:ptCount val="111"/>
                <c:pt idx="0">
                  <c:v>79469.646363633161</c:v>
                </c:pt>
                <c:pt idx="1">
                  <c:v>80233.924960215125</c:v>
                </c:pt>
                <c:pt idx="2">
                  <c:v>77924.783842900099</c:v>
                </c:pt>
                <c:pt idx="3">
                  <c:v>75094.7156761972</c:v>
                </c:pt>
                <c:pt idx="4">
                  <c:v>73937.161589388823</c:v>
                </c:pt>
                <c:pt idx="5">
                  <c:v>71910.462791929691</c:v>
                </c:pt>
                <c:pt idx="6">
                  <c:v>79393.950110288642</c:v>
                </c:pt>
                <c:pt idx="7">
                  <c:v>55806.825869651955</c:v>
                </c:pt>
                <c:pt idx="8">
                  <c:v>57017.407123331715</c:v>
                </c:pt>
                <c:pt idx="9">
                  <c:v>55395.0710640295</c:v>
                </c:pt>
                <c:pt idx="10">
                  <c:v>59479.128967009769</c:v>
                </c:pt>
                <c:pt idx="11">
                  <c:v>61416.784182465453</c:v>
                </c:pt>
                <c:pt idx="12">
                  <c:v>63232.849369999894</c:v>
                </c:pt>
                <c:pt idx="13">
                  <c:v>61099.79401113421</c:v>
                </c:pt>
                <c:pt idx="14">
                  <c:v>62056.226902244816</c:v>
                </c:pt>
                <c:pt idx="15">
                  <c:v>62248.874080849921</c:v>
                </c:pt>
                <c:pt idx="16">
                  <c:v>70716.336688358817</c:v>
                </c:pt>
                <c:pt idx="17">
                  <c:v>54413.355855607944</c:v>
                </c:pt>
                <c:pt idx="18">
                  <c:v>54682.781237184689</c:v>
                </c:pt>
                <c:pt idx="19">
                  <c:v>52935.020235529213</c:v>
                </c:pt>
                <c:pt idx="20">
                  <c:v>53430.462516085092</c:v>
                </c:pt>
                <c:pt idx="21">
                  <c:v>63181.942549889849</c:v>
                </c:pt>
                <c:pt idx="22">
                  <c:v>66701.664920884621</c:v>
                </c:pt>
                <c:pt idx="23">
                  <c:v>61291.852124188663</c:v>
                </c:pt>
                <c:pt idx="24">
                  <c:v>64887.270748527953</c:v>
                </c:pt>
                <c:pt idx="25">
                  <c:v>63039.613125844138</c:v>
                </c:pt>
                <c:pt idx="26">
                  <c:v>66552.03961084754</c:v>
                </c:pt>
                <c:pt idx="27">
                  <c:v>54413.355855607944</c:v>
                </c:pt>
                <c:pt idx="28">
                  <c:v>59486.521034475329</c:v>
                </c:pt>
                <c:pt idx="29">
                  <c:v>55774.151484875445</c:v>
                </c:pt>
                <c:pt idx="30">
                  <c:v>55009.776706819292</c:v>
                </c:pt>
                <c:pt idx="31">
                  <c:v>53580.676891672832</c:v>
                </c:pt>
                <c:pt idx="32">
                  <c:v>71967.090664327523</c:v>
                </c:pt>
                <c:pt idx="33">
                  <c:v>103965.63870562593</c:v>
                </c:pt>
                <c:pt idx="34">
                  <c:v>56873.406684108239</c:v>
                </c:pt>
                <c:pt idx="35">
                  <c:v>91388.633426304761</c:v>
                </c:pt>
                <c:pt idx="36">
                  <c:v>110674.85221767222</c:v>
                </c:pt>
                <c:pt idx="37">
                  <c:v>95899.336539885466</c:v>
                </c:pt>
                <c:pt idx="38">
                  <c:v>87533.934452659145</c:v>
                </c:pt>
                <c:pt idx="39">
                  <c:v>86584.893629014114</c:v>
                </c:pt>
                <c:pt idx="40">
                  <c:v>61486.759383522192</c:v>
                </c:pt>
                <c:pt idx="41">
                  <c:v>51162.469800639257</c:v>
                </c:pt>
                <c:pt idx="42">
                  <c:v>96900.120129253715</c:v>
                </c:pt>
                <c:pt idx="43">
                  <c:v>70967.635904648894</c:v>
                </c:pt>
                <c:pt idx="44">
                  <c:v>76488.185690241196</c:v>
                </c:pt>
                <c:pt idx="45">
                  <c:v>69264.567786739222</c:v>
                </c:pt>
                <c:pt idx="46">
                  <c:v>57738.760032819853</c:v>
                </c:pt>
                <c:pt idx="47">
                  <c:v>60392.047105475889</c:v>
                </c:pt>
                <c:pt idx="48">
                  <c:v>74926.268865275924</c:v>
                </c:pt>
                <c:pt idx="49">
                  <c:v>63451.367931466593</c:v>
                </c:pt>
                <c:pt idx="50">
                  <c:v>77059.324224141601</c:v>
                </c:pt>
                <c:pt idx="51">
                  <c:v>57603.822676239695</c:v>
                </c:pt>
                <c:pt idx="52">
                  <c:v>91380.748474762731</c:v>
                </c:pt>
                <c:pt idx="53">
                  <c:v>93422.830561276307</c:v>
                </c:pt>
                <c:pt idx="54">
                  <c:v>68104.893353169493</c:v>
                </c:pt>
                <c:pt idx="55">
                  <c:v>62923.251266134212</c:v>
                </c:pt>
                <c:pt idx="56">
                  <c:v>60704.494355620649</c:v>
                </c:pt>
                <c:pt idx="57">
                  <c:v>64316.827550225091</c:v>
                </c:pt>
                <c:pt idx="58">
                  <c:v>70355.488702846415</c:v>
                </c:pt>
                <c:pt idx="59">
                  <c:v>60241.832729888156</c:v>
                </c:pt>
                <c:pt idx="60">
                  <c:v>89835.779683982793</c:v>
                </c:pt>
                <c:pt idx="61">
                  <c:v>87828.149267470377</c:v>
                </c:pt>
                <c:pt idx="62">
                  <c:v>57446.216233186402</c:v>
                </c:pt>
                <c:pt idx="63">
                  <c:v>69917.616510348395</c:v>
                </c:pt>
                <c:pt idx="64">
                  <c:v>56034.513783808863</c:v>
                </c:pt>
                <c:pt idx="65">
                  <c:v>53437.854583550652</c:v>
                </c:pt>
                <c:pt idx="66">
                  <c:v>56546.411214473628</c:v>
                </c:pt>
                <c:pt idx="67">
                  <c:v>56161.11685726342</c:v>
                </c:pt>
                <c:pt idx="68">
                  <c:v>53773.913135828589</c:v>
                </c:pt>
                <c:pt idx="69">
                  <c:v>53052.560226340443</c:v>
                </c:pt>
                <c:pt idx="70">
                  <c:v>63350.389360811125</c:v>
                </c:pt>
                <c:pt idx="71">
                  <c:v>62847.555012789686</c:v>
                </c:pt>
                <c:pt idx="72">
                  <c:v>81863.064021432248</c:v>
                </c:pt>
                <c:pt idx="73">
                  <c:v>92893.429494795739</c:v>
                </c:pt>
                <c:pt idx="74">
                  <c:v>93278.723852005947</c:v>
                </c:pt>
                <c:pt idx="75">
                  <c:v>92893.429494795739</c:v>
                </c:pt>
                <c:pt idx="76">
                  <c:v>62653.82588455746</c:v>
                </c:pt>
                <c:pt idx="77">
                  <c:v>58479.181323254677</c:v>
                </c:pt>
                <c:pt idx="78">
                  <c:v>70566.122312771084</c:v>
                </c:pt>
                <c:pt idx="79">
                  <c:v>54915.601138078731</c:v>
                </c:pt>
                <c:pt idx="80">
                  <c:v>62838.49193014636</c:v>
                </c:pt>
                <c:pt idx="81">
                  <c:v>60462.022306532621</c:v>
                </c:pt>
                <c:pt idx="82">
                  <c:v>63005.161455842994</c:v>
                </c:pt>
                <c:pt idx="83">
                  <c:v>86317.139262615136</c:v>
                </c:pt>
                <c:pt idx="84">
                  <c:v>77696.506863192539</c:v>
                </c:pt>
                <c:pt idx="85">
                  <c:v>57471.005666420882</c:v>
                </c:pt>
                <c:pt idx="86">
                  <c:v>70607.966050237796</c:v>
                </c:pt>
                <c:pt idx="87">
                  <c:v>66742.426708724219</c:v>
                </c:pt>
                <c:pt idx="88">
                  <c:v>64661.949185146354</c:v>
                </c:pt>
                <c:pt idx="89">
                  <c:v>57521.91248653092</c:v>
                </c:pt>
                <c:pt idx="90">
                  <c:v>112228.88409109548</c:v>
                </c:pt>
                <c:pt idx="91">
                  <c:v>100923.37218386745</c:v>
                </c:pt>
                <c:pt idx="92">
                  <c:v>69590.621040713784</c:v>
                </c:pt>
                <c:pt idx="93">
                  <c:v>100075.30993087789</c:v>
                </c:pt>
                <c:pt idx="94">
                  <c:v>63418.693546690083</c:v>
                </c:pt>
                <c:pt idx="95">
                  <c:v>64569.198627569596</c:v>
                </c:pt>
                <c:pt idx="96">
                  <c:v>53817.427888473067</c:v>
                </c:pt>
                <c:pt idx="97">
                  <c:v>53699.887897661836</c:v>
                </c:pt>
                <c:pt idx="98">
                  <c:v>72380.516485127751</c:v>
                </c:pt>
                <c:pt idx="99">
                  <c:v>62374.888088753833</c:v>
                </c:pt>
                <c:pt idx="100">
                  <c:v>81259.251102755341</c:v>
                </c:pt>
                <c:pt idx="101">
                  <c:v>81327.555288634292</c:v>
                </c:pt>
                <c:pt idx="102">
                  <c:v>83485.400080734456</c:v>
                </c:pt>
                <c:pt idx="103">
                  <c:v>57068.313943441754</c:v>
                </c:pt>
                <c:pt idx="104">
                  <c:v>79126.195743889664</c:v>
                </c:pt>
                <c:pt idx="105">
                  <c:v>56085.420603918901</c:v>
                </c:pt>
                <c:pt idx="106">
                  <c:v>91699.40966127174</c:v>
                </c:pt>
                <c:pt idx="107">
                  <c:v>64661.949185146354</c:v>
                </c:pt>
                <c:pt idx="108">
                  <c:v>80873.956745545132</c:v>
                </c:pt>
                <c:pt idx="109">
                  <c:v>74455.27295641783</c:v>
                </c:pt>
                <c:pt idx="110">
                  <c:v>50584.528264823952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8F-498F-AA91-4EEEBF56D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6224"/>
        <c:axId val="805750400"/>
      </c:scatterChart>
      <c:valAx>
        <c:axId val="80575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 of production norms performance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0400"/>
        <c:crosses val="autoZero"/>
        <c:crossBetween val="midCat"/>
      </c:valAx>
      <c:valAx>
        <c:axId val="80575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62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 experience (years)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Лист1!$E$3:$E$113</c:f>
              <c:numCache>
                <c:formatCode>General</c:formatCode>
                <c:ptCount val="111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4</c:v>
                </c:pt>
                <c:pt idx="61">
                  <c:v>5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1</c:v>
                </c:pt>
                <c:pt idx="77">
                  <c:v>5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2</c:v>
                </c:pt>
                <c:pt idx="86">
                  <c:v>1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5</c:v>
                </c:pt>
                <c:pt idx="94">
                  <c:v>1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1</c:v>
                </c:pt>
              </c:numCache>
            </c:numRef>
          </c:xVal>
          <c:yVal>
            <c:numRef>
              <c:f>Лист1!$C$3:$C$113</c:f>
              <c:numCache>
                <c:formatCode>General</c:formatCode>
                <c:ptCount val="111"/>
                <c:pt idx="0">
                  <c:v>80000</c:v>
                </c:pt>
                <c:pt idx="1">
                  <c:v>75000</c:v>
                </c:pt>
                <c:pt idx="2">
                  <c:v>76000</c:v>
                </c:pt>
                <c:pt idx="3">
                  <c:v>75000</c:v>
                </c:pt>
                <c:pt idx="4">
                  <c:v>67500</c:v>
                </c:pt>
                <c:pt idx="5">
                  <c:v>60000</c:v>
                </c:pt>
                <c:pt idx="6">
                  <c:v>72500</c:v>
                </c:pt>
                <c:pt idx="7">
                  <c:v>52000</c:v>
                </c:pt>
                <c:pt idx="8">
                  <c:v>55000</c:v>
                </c:pt>
                <c:pt idx="9">
                  <c:v>56000</c:v>
                </c:pt>
                <c:pt idx="10">
                  <c:v>60000</c:v>
                </c:pt>
                <c:pt idx="11">
                  <c:v>56000</c:v>
                </c:pt>
                <c:pt idx="12">
                  <c:v>57000</c:v>
                </c:pt>
                <c:pt idx="13">
                  <c:v>56500</c:v>
                </c:pt>
                <c:pt idx="14">
                  <c:v>58500</c:v>
                </c:pt>
                <c:pt idx="15">
                  <c:v>56500</c:v>
                </c:pt>
                <c:pt idx="16">
                  <c:v>84000</c:v>
                </c:pt>
                <c:pt idx="17">
                  <c:v>53000</c:v>
                </c:pt>
                <c:pt idx="18">
                  <c:v>47500</c:v>
                </c:pt>
                <c:pt idx="19">
                  <c:v>49500</c:v>
                </c:pt>
                <c:pt idx="20">
                  <c:v>50000</c:v>
                </c:pt>
                <c:pt idx="21">
                  <c:v>62500</c:v>
                </c:pt>
                <c:pt idx="22">
                  <c:v>65000</c:v>
                </c:pt>
                <c:pt idx="23">
                  <c:v>60000</c:v>
                </c:pt>
                <c:pt idx="24">
                  <c:v>70000</c:v>
                </c:pt>
                <c:pt idx="25">
                  <c:v>62500</c:v>
                </c:pt>
                <c:pt idx="26">
                  <c:v>67500</c:v>
                </c:pt>
                <c:pt idx="27">
                  <c:v>49000</c:v>
                </c:pt>
                <c:pt idx="28">
                  <c:v>72000</c:v>
                </c:pt>
                <c:pt idx="29">
                  <c:v>56000</c:v>
                </c:pt>
                <c:pt idx="30">
                  <c:v>58000</c:v>
                </c:pt>
                <c:pt idx="31">
                  <c:v>55000</c:v>
                </c:pt>
                <c:pt idx="32">
                  <c:v>92000</c:v>
                </c:pt>
                <c:pt idx="33">
                  <c:v>98000</c:v>
                </c:pt>
                <c:pt idx="34">
                  <c:v>78000</c:v>
                </c:pt>
                <c:pt idx="35">
                  <c:v>90000</c:v>
                </c:pt>
                <c:pt idx="36">
                  <c:v>105000</c:v>
                </c:pt>
                <c:pt idx="37">
                  <c:v>101500</c:v>
                </c:pt>
                <c:pt idx="38">
                  <c:v>95000</c:v>
                </c:pt>
                <c:pt idx="39">
                  <c:v>81000</c:v>
                </c:pt>
                <c:pt idx="40">
                  <c:v>62000</c:v>
                </c:pt>
                <c:pt idx="41">
                  <c:v>52000</c:v>
                </c:pt>
                <c:pt idx="42">
                  <c:v>100500</c:v>
                </c:pt>
                <c:pt idx="43">
                  <c:v>68500</c:v>
                </c:pt>
                <c:pt idx="44">
                  <c:v>71000</c:v>
                </c:pt>
                <c:pt idx="45">
                  <c:v>66000</c:v>
                </c:pt>
                <c:pt idx="46">
                  <c:v>60000</c:v>
                </c:pt>
                <c:pt idx="47">
                  <c:v>56000</c:v>
                </c:pt>
                <c:pt idx="48">
                  <c:v>77000</c:v>
                </c:pt>
                <c:pt idx="49">
                  <c:v>59000</c:v>
                </c:pt>
                <c:pt idx="50">
                  <c:v>71500</c:v>
                </c:pt>
                <c:pt idx="51">
                  <c:v>56000</c:v>
                </c:pt>
                <c:pt idx="52">
                  <c:v>92500</c:v>
                </c:pt>
                <c:pt idx="53">
                  <c:v>95000</c:v>
                </c:pt>
                <c:pt idx="54">
                  <c:v>68000</c:v>
                </c:pt>
                <c:pt idx="55">
                  <c:v>65000</c:v>
                </c:pt>
                <c:pt idx="56">
                  <c:v>58000</c:v>
                </c:pt>
                <c:pt idx="57">
                  <c:v>62500</c:v>
                </c:pt>
                <c:pt idx="58">
                  <c:v>62500</c:v>
                </c:pt>
                <c:pt idx="59">
                  <c:v>65000</c:v>
                </c:pt>
                <c:pt idx="60">
                  <c:v>87500</c:v>
                </c:pt>
                <c:pt idx="61">
                  <c:v>87500</c:v>
                </c:pt>
                <c:pt idx="62">
                  <c:v>61000</c:v>
                </c:pt>
                <c:pt idx="63">
                  <c:v>65000</c:v>
                </c:pt>
                <c:pt idx="64">
                  <c:v>57500</c:v>
                </c:pt>
                <c:pt idx="65">
                  <c:v>50000</c:v>
                </c:pt>
                <c:pt idx="66">
                  <c:v>55000</c:v>
                </c:pt>
                <c:pt idx="67">
                  <c:v>54000</c:v>
                </c:pt>
                <c:pt idx="68">
                  <c:v>50000</c:v>
                </c:pt>
                <c:pt idx="69">
                  <c:v>49500</c:v>
                </c:pt>
                <c:pt idx="70">
                  <c:v>77500</c:v>
                </c:pt>
                <c:pt idx="71">
                  <c:v>71500</c:v>
                </c:pt>
                <c:pt idx="72">
                  <c:v>75000</c:v>
                </c:pt>
                <c:pt idx="73">
                  <c:v>110000</c:v>
                </c:pt>
                <c:pt idx="74">
                  <c:v>102500</c:v>
                </c:pt>
                <c:pt idx="75">
                  <c:v>115000</c:v>
                </c:pt>
                <c:pt idx="76">
                  <c:v>64000</c:v>
                </c:pt>
                <c:pt idx="77">
                  <c:v>61000</c:v>
                </c:pt>
                <c:pt idx="78">
                  <c:v>72500</c:v>
                </c:pt>
                <c:pt idx="79">
                  <c:v>59000</c:v>
                </c:pt>
                <c:pt idx="80">
                  <c:v>94800</c:v>
                </c:pt>
                <c:pt idx="81">
                  <c:v>60000</c:v>
                </c:pt>
                <c:pt idx="82">
                  <c:v>60000</c:v>
                </c:pt>
                <c:pt idx="83">
                  <c:v>85000</c:v>
                </c:pt>
                <c:pt idx="84">
                  <c:v>67000</c:v>
                </c:pt>
                <c:pt idx="85">
                  <c:v>59000</c:v>
                </c:pt>
                <c:pt idx="86">
                  <c:v>64500</c:v>
                </c:pt>
                <c:pt idx="87">
                  <c:v>65000</c:v>
                </c:pt>
                <c:pt idx="88">
                  <c:v>62500</c:v>
                </c:pt>
                <c:pt idx="89">
                  <c:v>60400</c:v>
                </c:pt>
                <c:pt idx="90">
                  <c:v>120000</c:v>
                </c:pt>
                <c:pt idx="91">
                  <c:v>102000</c:v>
                </c:pt>
                <c:pt idx="92">
                  <c:v>65000</c:v>
                </c:pt>
                <c:pt idx="93">
                  <c:v>94500</c:v>
                </c:pt>
                <c:pt idx="94">
                  <c:v>58000</c:v>
                </c:pt>
                <c:pt idx="95">
                  <c:v>66000</c:v>
                </c:pt>
                <c:pt idx="96">
                  <c:v>62500</c:v>
                </c:pt>
                <c:pt idx="97">
                  <c:v>61700</c:v>
                </c:pt>
                <c:pt idx="98">
                  <c:v>70000</c:v>
                </c:pt>
                <c:pt idx="99">
                  <c:v>56000</c:v>
                </c:pt>
                <c:pt idx="100">
                  <c:v>67000</c:v>
                </c:pt>
                <c:pt idx="101">
                  <c:v>83500</c:v>
                </c:pt>
                <c:pt idx="102">
                  <c:v>83500</c:v>
                </c:pt>
                <c:pt idx="103">
                  <c:v>51500</c:v>
                </c:pt>
                <c:pt idx="104">
                  <c:v>75000</c:v>
                </c:pt>
                <c:pt idx="105">
                  <c:v>58000</c:v>
                </c:pt>
                <c:pt idx="106">
                  <c:v>85000</c:v>
                </c:pt>
                <c:pt idx="107">
                  <c:v>64000</c:v>
                </c:pt>
                <c:pt idx="108">
                  <c:v>75000</c:v>
                </c:pt>
                <c:pt idx="109">
                  <c:v>72500</c:v>
                </c:pt>
                <c:pt idx="110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8F-44A5-B350-E9E11716B159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Лист1!$E$3:$E$113</c:f>
              <c:numCache>
                <c:formatCode>General</c:formatCode>
                <c:ptCount val="111"/>
                <c:pt idx="0">
                  <c:v>4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4</c:v>
                </c:pt>
                <c:pt idx="61">
                  <c:v>5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1</c:v>
                </c:pt>
                <c:pt idx="77">
                  <c:v>5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2</c:v>
                </c:pt>
                <c:pt idx="86">
                  <c:v>1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5</c:v>
                </c:pt>
                <c:pt idx="94">
                  <c:v>1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1</c:v>
                </c:pt>
              </c:numCache>
            </c:numRef>
          </c:xVal>
          <c:yVal>
            <c:numRef>
              <c:f>Лист2!$B$29:$B$139</c:f>
              <c:numCache>
                <c:formatCode>General</c:formatCode>
                <c:ptCount val="111"/>
                <c:pt idx="0">
                  <c:v>79469.646363633161</c:v>
                </c:pt>
                <c:pt idx="1">
                  <c:v>80233.924960215125</c:v>
                </c:pt>
                <c:pt idx="2">
                  <c:v>77924.783842900099</c:v>
                </c:pt>
                <c:pt idx="3">
                  <c:v>75094.7156761972</c:v>
                </c:pt>
                <c:pt idx="4">
                  <c:v>73937.161589388823</c:v>
                </c:pt>
                <c:pt idx="5">
                  <c:v>71910.462791929691</c:v>
                </c:pt>
                <c:pt idx="6">
                  <c:v>79393.950110288642</c:v>
                </c:pt>
                <c:pt idx="7">
                  <c:v>55806.825869651955</c:v>
                </c:pt>
                <c:pt idx="8">
                  <c:v>57017.407123331715</c:v>
                </c:pt>
                <c:pt idx="9">
                  <c:v>55395.0710640295</c:v>
                </c:pt>
                <c:pt idx="10">
                  <c:v>59479.128967009769</c:v>
                </c:pt>
                <c:pt idx="11">
                  <c:v>61416.784182465453</c:v>
                </c:pt>
                <c:pt idx="12">
                  <c:v>63232.849369999894</c:v>
                </c:pt>
                <c:pt idx="13">
                  <c:v>61099.79401113421</c:v>
                </c:pt>
                <c:pt idx="14">
                  <c:v>62056.226902244816</c:v>
                </c:pt>
                <c:pt idx="15">
                  <c:v>62248.874080849921</c:v>
                </c:pt>
                <c:pt idx="16">
                  <c:v>70716.336688358817</c:v>
                </c:pt>
                <c:pt idx="17">
                  <c:v>54413.355855607944</c:v>
                </c:pt>
                <c:pt idx="18">
                  <c:v>54682.781237184689</c:v>
                </c:pt>
                <c:pt idx="19">
                  <c:v>52935.020235529213</c:v>
                </c:pt>
                <c:pt idx="20">
                  <c:v>53430.462516085092</c:v>
                </c:pt>
                <c:pt idx="21">
                  <c:v>63181.942549889849</c:v>
                </c:pt>
                <c:pt idx="22">
                  <c:v>66701.664920884621</c:v>
                </c:pt>
                <c:pt idx="23">
                  <c:v>61291.852124188663</c:v>
                </c:pt>
                <c:pt idx="24">
                  <c:v>64887.270748527953</c:v>
                </c:pt>
                <c:pt idx="25">
                  <c:v>63039.613125844138</c:v>
                </c:pt>
                <c:pt idx="26">
                  <c:v>66552.03961084754</c:v>
                </c:pt>
                <c:pt idx="27">
                  <c:v>54413.355855607944</c:v>
                </c:pt>
                <c:pt idx="28">
                  <c:v>59486.521034475329</c:v>
                </c:pt>
                <c:pt idx="29">
                  <c:v>55774.151484875445</c:v>
                </c:pt>
                <c:pt idx="30">
                  <c:v>55009.776706819292</c:v>
                </c:pt>
                <c:pt idx="31">
                  <c:v>53580.676891672832</c:v>
                </c:pt>
                <c:pt idx="32">
                  <c:v>71967.090664327523</c:v>
                </c:pt>
                <c:pt idx="33">
                  <c:v>103965.63870562593</c:v>
                </c:pt>
                <c:pt idx="34">
                  <c:v>56873.406684108239</c:v>
                </c:pt>
                <c:pt idx="35">
                  <c:v>91388.633426304761</c:v>
                </c:pt>
                <c:pt idx="36">
                  <c:v>110674.85221767222</c:v>
                </c:pt>
                <c:pt idx="37">
                  <c:v>95899.336539885466</c:v>
                </c:pt>
                <c:pt idx="38">
                  <c:v>87533.934452659145</c:v>
                </c:pt>
                <c:pt idx="39">
                  <c:v>86584.893629014114</c:v>
                </c:pt>
                <c:pt idx="40">
                  <c:v>61486.759383522192</c:v>
                </c:pt>
                <c:pt idx="41">
                  <c:v>51162.469800639257</c:v>
                </c:pt>
                <c:pt idx="42">
                  <c:v>96900.120129253715</c:v>
                </c:pt>
                <c:pt idx="43">
                  <c:v>70967.635904648894</c:v>
                </c:pt>
                <c:pt idx="44">
                  <c:v>76488.185690241196</c:v>
                </c:pt>
                <c:pt idx="45">
                  <c:v>69264.567786739222</c:v>
                </c:pt>
                <c:pt idx="46">
                  <c:v>57738.760032819853</c:v>
                </c:pt>
                <c:pt idx="47">
                  <c:v>60392.047105475889</c:v>
                </c:pt>
                <c:pt idx="48">
                  <c:v>74926.268865275924</c:v>
                </c:pt>
                <c:pt idx="49">
                  <c:v>63451.367931466593</c:v>
                </c:pt>
                <c:pt idx="50">
                  <c:v>77059.324224141601</c:v>
                </c:pt>
                <c:pt idx="51">
                  <c:v>57603.822676239695</c:v>
                </c:pt>
                <c:pt idx="52">
                  <c:v>91380.748474762731</c:v>
                </c:pt>
                <c:pt idx="53">
                  <c:v>93422.830561276307</c:v>
                </c:pt>
                <c:pt idx="54">
                  <c:v>68104.893353169493</c:v>
                </c:pt>
                <c:pt idx="55">
                  <c:v>62923.251266134212</c:v>
                </c:pt>
                <c:pt idx="56">
                  <c:v>60704.494355620649</c:v>
                </c:pt>
                <c:pt idx="57">
                  <c:v>64316.827550225091</c:v>
                </c:pt>
                <c:pt idx="58">
                  <c:v>70355.488702846415</c:v>
                </c:pt>
                <c:pt idx="59">
                  <c:v>60241.832729888156</c:v>
                </c:pt>
                <c:pt idx="60">
                  <c:v>89835.779683982793</c:v>
                </c:pt>
                <c:pt idx="61">
                  <c:v>87828.149267470377</c:v>
                </c:pt>
                <c:pt idx="62">
                  <c:v>57446.216233186402</c:v>
                </c:pt>
                <c:pt idx="63">
                  <c:v>69917.616510348395</c:v>
                </c:pt>
                <c:pt idx="64">
                  <c:v>56034.513783808863</c:v>
                </c:pt>
                <c:pt idx="65">
                  <c:v>53437.854583550652</c:v>
                </c:pt>
                <c:pt idx="66">
                  <c:v>56546.411214473628</c:v>
                </c:pt>
                <c:pt idx="67">
                  <c:v>56161.11685726342</c:v>
                </c:pt>
                <c:pt idx="68">
                  <c:v>53773.913135828589</c:v>
                </c:pt>
                <c:pt idx="69">
                  <c:v>53052.560226340443</c:v>
                </c:pt>
                <c:pt idx="70">
                  <c:v>63350.389360811125</c:v>
                </c:pt>
                <c:pt idx="71">
                  <c:v>62847.555012789686</c:v>
                </c:pt>
                <c:pt idx="72">
                  <c:v>81863.064021432248</c:v>
                </c:pt>
                <c:pt idx="73">
                  <c:v>92893.429494795739</c:v>
                </c:pt>
                <c:pt idx="74">
                  <c:v>93278.723852005947</c:v>
                </c:pt>
                <c:pt idx="75">
                  <c:v>92893.429494795739</c:v>
                </c:pt>
                <c:pt idx="76">
                  <c:v>62653.82588455746</c:v>
                </c:pt>
                <c:pt idx="77">
                  <c:v>58479.181323254677</c:v>
                </c:pt>
                <c:pt idx="78">
                  <c:v>70566.122312771084</c:v>
                </c:pt>
                <c:pt idx="79">
                  <c:v>54915.601138078731</c:v>
                </c:pt>
                <c:pt idx="80">
                  <c:v>62838.49193014636</c:v>
                </c:pt>
                <c:pt idx="81">
                  <c:v>60462.022306532621</c:v>
                </c:pt>
                <c:pt idx="82">
                  <c:v>63005.161455842994</c:v>
                </c:pt>
                <c:pt idx="83">
                  <c:v>86317.139262615136</c:v>
                </c:pt>
                <c:pt idx="84">
                  <c:v>77696.506863192539</c:v>
                </c:pt>
                <c:pt idx="85">
                  <c:v>57471.005666420882</c:v>
                </c:pt>
                <c:pt idx="86">
                  <c:v>70607.966050237796</c:v>
                </c:pt>
                <c:pt idx="87">
                  <c:v>66742.426708724219</c:v>
                </c:pt>
                <c:pt idx="88">
                  <c:v>64661.949185146354</c:v>
                </c:pt>
                <c:pt idx="89">
                  <c:v>57521.91248653092</c:v>
                </c:pt>
                <c:pt idx="90">
                  <c:v>112228.88409109548</c:v>
                </c:pt>
                <c:pt idx="91">
                  <c:v>100923.37218386745</c:v>
                </c:pt>
                <c:pt idx="92">
                  <c:v>69590.621040713784</c:v>
                </c:pt>
                <c:pt idx="93">
                  <c:v>100075.30993087789</c:v>
                </c:pt>
                <c:pt idx="94">
                  <c:v>63418.693546690083</c:v>
                </c:pt>
                <c:pt idx="95">
                  <c:v>64569.198627569596</c:v>
                </c:pt>
                <c:pt idx="96">
                  <c:v>53817.427888473067</c:v>
                </c:pt>
                <c:pt idx="97">
                  <c:v>53699.887897661836</c:v>
                </c:pt>
                <c:pt idx="98">
                  <c:v>72380.516485127751</c:v>
                </c:pt>
                <c:pt idx="99">
                  <c:v>62374.888088753833</c:v>
                </c:pt>
                <c:pt idx="100">
                  <c:v>81259.251102755341</c:v>
                </c:pt>
                <c:pt idx="101">
                  <c:v>81327.555288634292</c:v>
                </c:pt>
                <c:pt idx="102">
                  <c:v>83485.400080734456</c:v>
                </c:pt>
                <c:pt idx="103">
                  <c:v>57068.313943441754</c:v>
                </c:pt>
                <c:pt idx="104">
                  <c:v>79126.195743889664</c:v>
                </c:pt>
                <c:pt idx="105">
                  <c:v>56085.420603918901</c:v>
                </c:pt>
                <c:pt idx="106">
                  <c:v>91699.40966127174</c:v>
                </c:pt>
                <c:pt idx="107">
                  <c:v>64661.949185146354</c:v>
                </c:pt>
                <c:pt idx="108">
                  <c:v>80873.956745545132</c:v>
                </c:pt>
                <c:pt idx="109">
                  <c:v>74455.27295641783</c:v>
                </c:pt>
                <c:pt idx="110">
                  <c:v>50584.528264823952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8F-44A5-B350-E9E11716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3728"/>
        <c:axId val="805757888"/>
      </c:scatterChart>
      <c:valAx>
        <c:axId val="80575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 experience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7888"/>
        <c:crosses val="autoZero"/>
        <c:crossBetween val="midCat"/>
      </c:valAx>
      <c:valAx>
        <c:axId val="80575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37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Years of training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Лист1!$F$3:$F$113</c:f>
              <c:numCache>
                <c:formatCode>General</c:formatCode>
                <c:ptCount val="111"/>
                <c:pt idx="0">
                  <c:v>11</c:v>
                </c:pt>
                <c:pt idx="1">
                  <c:v>12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11</c:v>
                </c:pt>
                <c:pt idx="10">
                  <c:v>9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12</c:v>
                </c:pt>
                <c:pt idx="23">
                  <c:v>11</c:v>
                </c:pt>
                <c:pt idx="24">
                  <c:v>12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11</c:v>
                </c:pt>
                <c:pt idx="29">
                  <c:v>9</c:v>
                </c:pt>
                <c:pt idx="30">
                  <c:v>9</c:v>
                </c:pt>
                <c:pt idx="31">
                  <c:v>11</c:v>
                </c:pt>
                <c:pt idx="32">
                  <c:v>13</c:v>
                </c:pt>
                <c:pt idx="33">
                  <c:v>9</c:v>
                </c:pt>
                <c:pt idx="34">
                  <c:v>11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11</c:v>
                </c:pt>
                <c:pt idx="39">
                  <c:v>11</c:v>
                </c:pt>
                <c:pt idx="40">
                  <c:v>9</c:v>
                </c:pt>
                <c:pt idx="41">
                  <c:v>9</c:v>
                </c:pt>
                <c:pt idx="42">
                  <c:v>11</c:v>
                </c:pt>
                <c:pt idx="43">
                  <c:v>13</c:v>
                </c:pt>
                <c:pt idx="44">
                  <c:v>11</c:v>
                </c:pt>
                <c:pt idx="45">
                  <c:v>9</c:v>
                </c:pt>
                <c:pt idx="46">
                  <c:v>11</c:v>
                </c:pt>
                <c:pt idx="47">
                  <c:v>13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13</c:v>
                </c:pt>
                <c:pt idx="52">
                  <c:v>11</c:v>
                </c:pt>
                <c:pt idx="53">
                  <c:v>9</c:v>
                </c:pt>
                <c:pt idx="54">
                  <c:v>11</c:v>
                </c:pt>
                <c:pt idx="55">
                  <c:v>9</c:v>
                </c:pt>
                <c:pt idx="56">
                  <c:v>11</c:v>
                </c:pt>
                <c:pt idx="57">
                  <c:v>9</c:v>
                </c:pt>
                <c:pt idx="58">
                  <c:v>13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13</c:v>
                </c:pt>
                <c:pt idx="64">
                  <c:v>9</c:v>
                </c:pt>
                <c:pt idx="65">
                  <c:v>11</c:v>
                </c:pt>
                <c:pt idx="66">
                  <c:v>11</c:v>
                </c:pt>
                <c:pt idx="67">
                  <c:v>9</c:v>
                </c:pt>
                <c:pt idx="68">
                  <c:v>11</c:v>
                </c:pt>
                <c:pt idx="69">
                  <c:v>9</c:v>
                </c:pt>
                <c:pt idx="70">
                  <c:v>11</c:v>
                </c:pt>
                <c:pt idx="71">
                  <c:v>9</c:v>
                </c:pt>
                <c:pt idx="72">
                  <c:v>13</c:v>
                </c:pt>
                <c:pt idx="73">
                  <c:v>11</c:v>
                </c:pt>
                <c:pt idx="74">
                  <c:v>13</c:v>
                </c:pt>
                <c:pt idx="75">
                  <c:v>11</c:v>
                </c:pt>
                <c:pt idx="76">
                  <c:v>9</c:v>
                </c:pt>
                <c:pt idx="77">
                  <c:v>9</c:v>
                </c:pt>
                <c:pt idx="78">
                  <c:v>11</c:v>
                </c:pt>
                <c:pt idx="79">
                  <c:v>12</c:v>
                </c:pt>
                <c:pt idx="80">
                  <c:v>9</c:v>
                </c:pt>
                <c:pt idx="81">
                  <c:v>9</c:v>
                </c:pt>
                <c:pt idx="82">
                  <c:v>13</c:v>
                </c:pt>
                <c:pt idx="83">
                  <c:v>9</c:v>
                </c:pt>
                <c:pt idx="84">
                  <c:v>12</c:v>
                </c:pt>
                <c:pt idx="85">
                  <c:v>9</c:v>
                </c:pt>
                <c:pt idx="86">
                  <c:v>11</c:v>
                </c:pt>
                <c:pt idx="87">
                  <c:v>13</c:v>
                </c:pt>
                <c:pt idx="88">
                  <c:v>9</c:v>
                </c:pt>
                <c:pt idx="89">
                  <c:v>9</c:v>
                </c:pt>
                <c:pt idx="90">
                  <c:v>13</c:v>
                </c:pt>
                <c:pt idx="91">
                  <c:v>11</c:v>
                </c:pt>
                <c:pt idx="92">
                  <c:v>13</c:v>
                </c:pt>
                <c:pt idx="93">
                  <c:v>11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11</c:v>
                </c:pt>
                <c:pt idx="99">
                  <c:v>13</c:v>
                </c:pt>
                <c:pt idx="100">
                  <c:v>11</c:v>
                </c:pt>
                <c:pt idx="101">
                  <c:v>9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13</c:v>
                </c:pt>
                <c:pt idx="107">
                  <c:v>9</c:v>
                </c:pt>
                <c:pt idx="108">
                  <c:v>9</c:v>
                </c:pt>
                <c:pt idx="109">
                  <c:v>11</c:v>
                </c:pt>
                <c:pt idx="110">
                  <c:v>6</c:v>
                </c:pt>
              </c:numCache>
            </c:numRef>
          </c:xVal>
          <c:yVal>
            <c:numRef>
              <c:f>Лист1!$C$3:$C$113</c:f>
              <c:numCache>
                <c:formatCode>General</c:formatCode>
                <c:ptCount val="111"/>
                <c:pt idx="0">
                  <c:v>80000</c:v>
                </c:pt>
                <c:pt idx="1">
                  <c:v>75000</c:v>
                </c:pt>
                <c:pt idx="2">
                  <c:v>76000</c:v>
                </c:pt>
                <c:pt idx="3">
                  <c:v>75000</c:v>
                </c:pt>
                <c:pt idx="4">
                  <c:v>67500</c:v>
                </c:pt>
                <c:pt idx="5">
                  <c:v>60000</c:v>
                </c:pt>
                <c:pt idx="6">
                  <c:v>72500</c:v>
                </c:pt>
                <c:pt idx="7">
                  <c:v>52000</c:v>
                </c:pt>
                <c:pt idx="8">
                  <c:v>55000</c:v>
                </c:pt>
                <c:pt idx="9">
                  <c:v>56000</c:v>
                </c:pt>
                <c:pt idx="10">
                  <c:v>60000</c:v>
                </c:pt>
                <c:pt idx="11">
                  <c:v>56000</c:v>
                </c:pt>
                <c:pt idx="12">
                  <c:v>57000</c:v>
                </c:pt>
                <c:pt idx="13">
                  <c:v>56500</c:v>
                </c:pt>
                <c:pt idx="14">
                  <c:v>58500</c:v>
                </c:pt>
                <c:pt idx="15">
                  <c:v>56500</c:v>
                </c:pt>
                <c:pt idx="16">
                  <c:v>84000</c:v>
                </c:pt>
                <c:pt idx="17">
                  <c:v>53000</c:v>
                </c:pt>
                <c:pt idx="18">
                  <c:v>47500</c:v>
                </c:pt>
                <c:pt idx="19">
                  <c:v>49500</c:v>
                </c:pt>
                <c:pt idx="20">
                  <c:v>50000</c:v>
                </c:pt>
                <c:pt idx="21">
                  <c:v>62500</c:v>
                </c:pt>
                <c:pt idx="22">
                  <c:v>65000</c:v>
                </c:pt>
                <c:pt idx="23">
                  <c:v>60000</c:v>
                </c:pt>
                <c:pt idx="24">
                  <c:v>70000</c:v>
                </c:pt>
                <c:pt idx="25">
                  <c:v>62500</c:v>
                </c:pt>
                <c:pt idx="26">
                  <c:v>67500</c:v>
                </c:pt>
                <c:pt idx="27">
                  <c:v>49000</c:v>
                </c:pt>
                <c:pt idx="28">
                  <c:v>72000</c:v>
                </c:pt>
                <c:pt idx="29">
                  <c:v>56000</c:v>
                </c:pt>
                <c:pt idx="30">
                  <c:v>58000</c:v>
                </c:pt>
                <c:pt idx="31">
                  <c:v>55000</c:v>
                </c:pt>
                <c:pt idx="32">
                  <c:v>92000</c:v>
                </c:pt>
                <c:pt idx="33">
                  <c:v>98000</c:v>
                </c:pt>
                <c:pt idx="34">
                  <c:v>78000</c:v>
                </c:pt>
                <c:pt idx="35">
                  <c:v>90000</c:v>
                </c:pt>
                <c:pt idx="36">
                  <c:v>105000</c:v>
                </c:pt>
                <c:pt idx="37">
                  <c:v>101500</c:v>
                </c:pt>
                <c:pt idx="38">
                  <c:v>95000</c:v>
                </c:pt>
                <c:pt idx="39">
                  <c:v>81000</c:v>
                </c:pt>
                <c:pt idx="40">
                  <c:v>62000</c:v>
                </c:pt>
                <c:pt idx="41">
                  <c:v>52000</c:v>
                </c:pt>
                <c:pt idx="42">
                  <c:v>100500</c:v>
                </c:pt>
                <c:pt idx="43">
                  <c:v>68500</c:v>
                </c:pt>
                <c:pt idx="44">
                  <c:v>71000</c:v>
                </c:pt>
                <c:pt idx="45">
                  <c:v>66000</c:v>
                </c:pt>
                <c:pt idx="46">
                  <c:v>60000</c:v>
                </c:pt>
                <c:pt idx="47">
                  <c:v>56000</c:v>
                </c:pt>
                <c:pt idx="48">
                  <c:v>77000</c:v>
                </c:pt>
                <c:pt idx="49">
                  <c:v>59000</c:v>
                </c:pt>
                <c:pt idx="50">
                  <c:v>71500</c:v>
                </c:pt>
                <c:pt idx="51">
                  <c:v>56000</c:v>
                </c:pt>
                <c:pt idx="52">
                  <c:v>92500</c:v>
                </c:pt>
                <c:pt idx="53">
                  <c:v>95000</c:v>
                </c:pt>
                <c:pt idx="54">
                  <c:v>68000</c:v>
                </c:pt>
                <c:pt idx="55">
                  <c:v>65000</c:v>
                </c:pt>
                <c:pt idx="56">
                  <c:v>58000</c:v>
                </c:pt>
                <c:pt idx="57">
                  <c:v>62500</c:v>
                </c:pt>
                <c:pt idx="58">
                  <c:v>62500</c:v>
                </c:pt>
                <c:pt idx="59">
                  <c:v>65000</c:v>
                </c:pt>
                <c:pt idx="60">
                  <c:v>87500</c:v>
                </c:pt>
                <c:pt idx="61">
                  <c:v>87500</c:v>
                </c:pt>
                <c:pt idx="62">
                  <c:v>61000</c:v>
                </c:pt>
                <c:pt idx="63">
                  <c:v>65000</c:v>
                </c:pt>
                <c:pt idx="64">
                  <c:v>57500</c:v>
                </c:pt>
                <c:pt idx="65">
                  <c:v>50000</c:v>
                </c:pt>
                <c:pt idx="66">
                  <c:v>55000</c:v>
                </c:pt>
                <c:pt idx="67">
                  <c:v>54000</c:v>
                </c:pt>
                <c:pt idx="68">
                  <c:v>50000</c:v>
                </c:pt>
                <c:pt idx="69">
                  <c:v>49500</c:v>
                </c:pt>
                <c:pt idx="70">
                  <c:v>77500</c:v>
                </c:pt>
                <c:pt idx="71">
                  <c:v>71500</c:v>
                </c:pt>
                <c:pt idx="72">
                  <c:v>75000</c:v>
                </c:pt>
                <c:pt idx="73">
                  <c:v>110000</c:v>
                </c:pt>
                <c:pt idx="74">
                  <c:v>102500</c:v>
                </c:pt>
                <c:pt idx="75">
                  <c:v>115000</c:v>
                </c:pt>
                <c:pt idx="76">
                  <c:v>64000</c:v>
                </c:pt>
                <c:pt idx="77">
                  <c:v>61000</c:v>
                </c:pt>
                <c:pt idx="78">
                  <c:v>72500</c:v>
                </c:pt>
                <c:pt idx="79">
                  <c:v>59000</c:v>
                </c:pt>
                <c:pt idx="80">
                  <c:v>94800</c:v>
                </c:pt>
                <c:pt idx="81">
                  <c:v>60000</c:v>
                </c:pt>
                <c:pt idx="82">
                  <c:v>60000</c:v>
                </c:pt>
                <c:pt idx="83">
                  <c:v>85000</c:v>
                </c:pt>
                <c:pt idx="84">
                  <c:v>67000</c:v>
                </c:pt>
                <c:pt idx="85">
                  <c:v>59000</c:v>
                </c:pt>
                <c:pt idx="86">
                  <c:v>64500</c:v>
                </c:pt>
                <c:pt idx="87">
                  <c:v>65000</c:v>
                </c:pt>
                <c:pt idx="88">
                  <c:v>62500</c:v>
                </c:pt>
                <c:pt idx="89">
                  <c:v>60400</c:v>
                </c:pt>
                <c:pt idx="90">
                  <c:v>120000</c:v>
                </c:pt>
                <c:pt idx="91">
                  <c:v>102000</c:v>
                </c:pt>
                <c:pt idx="92">
                  <c:v>65000</c:v>
                </c:pt>
                <c:pt idx="93">
                  <c:v>94500</c:v>
                </c:pt>
                <c:pt idx="94">
                  <c:v>58000</c:v>
                </c:pt>
                <c:pt idx="95">
                  <c:v>66000</c:v>
                </c:pt>
                <c:pt idx="96">
                  <c:v>62500</c:v>
                </c:pt>
                <c:pt idx="97">
                  <c:v>61700</c:v>
                </c:pt>
                <c:pt idx="98">
                  <c:v>70000</c:v>
                </c:pt>
                <c:pt idx="99">
                  <c:v>56000</c:v>
                </c:pt>
                <c:pt idx="100">
                  <c:v>67000</c:v>
                </c:pt>
                <c:pt idx="101">
                  <c:v>83500</c:v>
                </c:pt>
                <c:pt idx="102">
                  <c:v>83500</c:v>
                </c:pt>
                <c:pt idx="103">
                  <c:v>51500</c:v>
                </c:pt>
                <c:pt idx="104">
                  <c:v>75000</c:v>
                </c:pt>
                <c:pt idx="105">
                  <c:v>58000</c:v>
                </c:pt>
                <c:pt idx="106">
                  <c:v>85000</c:v>
                </c:pt>
                <c:pt idx="107">
                  <c:v>64000</c:v>
                </c:pt>
                <c:pt idx="108">
                  <c:v>75000</c:v>
                </c:pt>
                <c:pt idx="109">
                  <c:v>72500</c:v>
                </c:pt>
                <c:pt idx="110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18-4309-9611-D512203825C3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Лист1!$F$3:$F$113</c:f>
              <c:numCache>
                <c:formatCode>General</c:formatCode>
                <c:ptCount val="111"/>
                <c:pt idx="0">
                  <c:v>11</c:v>
                </c:pt>
                <c:pt idx="1">
                  <c:v>12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11</c:v>
                </c:pt>
                <c:pt idx="10">
                  <c:v>9</c:v>
                </c:pt>
                <c:pt idx="11">
                  <c:v>13</c:v>
                </c:pt>
                <c:pt idx="12">
                  <c:v>11</c:v>
                </c:pt>
                <c:pt idx="13">
                  <c:v>9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12</c:v>
                </c:pt>
                <c:pt idx="23">
                  <c:v>11</c:v>
                </c:pt>
                <c:pt idx="24">
                  <c:v>12</c:v>
                </c:pt>
                <c:pt idx="25">
                  <c:v>11</c:v>
                </c:pt>
                <c:pt idx="26">
                  <c:v>9</c:v>
                </c:pt>
                <c:pt idx="27">
                  <c:v>9</c:v>
                </c:pt>
                <c:pt idx="28">
                  <c:v>11</c:v>
                </c:pt>
                <c:pt idx="29">
                  <c:v>9</c:v>
                </c:pt>
                <c:pt idx="30">
                  <c:v>9</c:v>
                </c:pt>
                <c:pt idx="31">
                  <c:v>11</c:v>
                </c:pt>
                <c:pt idx="32">
                  <c:v>13</c:v>
                </c:pt>
                <c:pt idx="33">
                  <c:v>9</c:v>
                </c:pt>
                <c:pt idx="34">
                  <c:v>11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11</c:v>
                </c:pt>
                <c:pt idx="39">
                  <c:v>11</c:v>
                </c:pt>
                <c:pt idx="40">
                  <c:v>9</c:v>
                </c:pt>
                <c:pt idx="41">
                  <c:v>9</c:v>
                </c:pt>
                <c:pt idx="42">
                  <c:v>11</c:v>
                </c:pt>
                <c:pt idx="43">
                  <c:v>13</c:v>
                </c:pt>
                <c:pt idx="44">
                  <c:v>11</c:v>
                </c:pt>
                <c:pt idx="45">
                  <c:v>9</c:v>
                </c:pt>
                <c:pt idx="46">
                  <c:v>11</c:v>
                </c:pt>
                <c:pt idx="47">
                  <c:v>13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13</c:v>
                </c:pt>
                <c:pt idx="52">
                  <c:v>11</c:v>
                </c:pt>
                <c:pt idx="53">
                  <c:v>9</c:v>
                </c:pt>
                <c:pt idx="54">
                  <c:v>11</c:v>
                </c:pt>
                <c:pt idx="55">
                  <c:v>9</c:v>
                </c:pt>
                <c:pt idx="56">
                  <c:v>11</c:v>
                </c:pt>
                <c:pt idx="57">
                  <c:v>9</c:v>
                </c:pt>
                <c:pt idx="58">
                  <c:v>13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13</c:v>
                </c:pt>
                <c:pt idx="64">
                  <c:v>9</c:v>
                </c:pt>
                <c:pt idx="65">
                  <c:v>11</c:v>
                </c:pt>
                <c:pt idx="66">
                  <c:v>11</c:v>
                </c:pt>
                <c:pt idx="67">
                  <c:v>9</c:v>
                </c:pt>
                <c:pt idx="68">
                  <c:v>11</c:v>
                </c:pt>
                <c:pt idx="69">
                  <c:v>9</c:v>
                </c:pt>
                <c:pt idx="70">
                  <c:v>11</c:v>
                </c:pt>
                <c:pt idx="71">
                  <c:v>9</c:v>
                </c:pt>
                <c:pt idx="72">
                  <c:v>13</c:v>
                </c:pt>
                <c:pt idx="73">
                  <c:v>11</c:v>
                </c:pt>
                <c:pt idx="74">
                  <c:v>13</c:v>
                </c:pt>
                <c:pt idx="75">
                  <c:v>11</c:v>
                </c:pt>
                <c:pt idx="76">
                  <c:v>9</c:v>
                </c:pt>
                <c:pt idx="77">
                  <c:v>9</c:v>
                </c:pt>
                <c:pt idx="78">
                  <c:v>11</c:v>
                </c:pt>
                <c:pt idx="79">
                  <c:v>12</c:v>
                </c:pt>
                <c:pt idx="80">
                  <c:v>9</c:v>
                </c:pt>
                <c:pt idx="81">
                  <c:v>9</c:v>
                </c:pt>
                <c:pt idx="82">
                  <c:v>13</c:v>
                </c:pt>
                <c:pt idx="83">
                  <c:v>9</c:v>
                </c:pt>
                <c:pt idx="84">
                  <c:v>12</c:v>
                </c:pt>
                <c:pt idx="85">
                  <c:v>9</c:v>
                </c:pt>
                <c:pt idx="86">
                  <c:v>11</c:v>
                </c:pt>
                <c:pt idx="87">
                  <c:v>13</c:v>
                </c:pt>
                <c:pt idx="88">
                  <c:v>9</c:v>
                </c:pt>
                <c:pt idx="89">
                  <c:v>9</c:v>
                </c:pt>
                <c:pt idx="90">
                  <c:v>13</c:v>
                </c:pt>
                <c:pt idx="91">
                  <c:v>11</c:v>
                </c:pt>
                <c:pt idx="92">
                  <c:v>13</c:v>
                </c:pt>
                <c:pt idx="93">
                  <c:v>11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11</c:v>
                </c:pt>
                <c:pt idx="99">
                  <c:v>13</c:v>
                </c:pt>
                <c:pt idx="100">
                  <c:v>11</c:v>
                </c:pt>
                <c:pt idx="101">
                  <c:v>9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13</c:v>
                </c:pt>
                <c:pt idx="107">
                  <c:v>9</c:v>
                </c:pt>
                <c:pt idx="108">
                  <c:v>9</c:v>
                </c:pt>
                <c:pt idx="109">
                  <c:v>11</c:v>
                </c:pt>
                <c:pt idx="110">
                  <c:v>6</c:v>
                </c:pt>
              </c:numCache>
            </c:numRef>
          </c:xVal>
          <c:yVal>
            <c:numRef>
              <c:f>Лист2!$B$29:$B$139</c:f>
              <c:numCache>
                <c:formatCode>General</c:formatCode>
                <c:ptCount val="111"/>
                <c:pt idx="0">
                  <c:v>79469.646363633161</c:v>
                </c:pt>
                <c:pt idx="1">
                  <c:v>80233.924960215125</c:v>
                </c:pt>
                <c:pt idx="2">
                  <c:v>77924.783842900099</c:v>
                </c:pt>
                <c:pt idx="3">
                  <c:v>75094.7156761972</c:v>
                </c:pt>
                <c:pt idx="4">
                  <c:v>73937.161589388823</c:v>
                </c:pt>
                <c:pt idx="5">
                  <c:v>71910.462791929691</c:v>
                </c:pt>
                <c:pt idx="6">
                  <c:v>79393.950110288642</c:v>
                </c:pt>
                <c:pt idx="7">
                  <c:v>55806.825869651955</c:v>
                </c:pt>
                <c:pt idx="8">
                  <c:v>57017.407123331715</c:v>
                </c:pt>
                <c:pt idx="9">
                  <c:v>55395.0710640295</c:v>
                </c:pt>
                <c:pt idx="10">
                  <c:v>59479.128967009769</c:v>
                </c:pt>
                <c:pt idx="11">
                  <c:v>61416.784182465453</c:v>
                </c:pt>
                <c:pt idx="12">
                  <c:v>63232.849369999894</c:v>
                </c:pt>
                <c:pt idx="13">
                  <c:v>61099.79401113421</c:v>
                </c:pt>
                <c:pt idx="14">
                  <c:v>62056.226902244816</c:v>
                </c:pt>
                <c:pt idx="15">
                  <c:v>62248.874080849921</c:v>
                </c:pt>
                <c:pt idx="16">
                  <c:v>70716.336688358817</c:v>
                </c:pt>
                <c:pt idx="17">
                  <c:v>54413.355855607944</c:v>
                </c:pt>
                <c:pt idx="18">
                  <c:v>54682.781237184689</c:v>
                </c:pt>
                <c:pt idx="19">
                  <c:v>52935.020235529213</c:v>
                </c:pt>
                <c:pt idx="20">
                  <c:v>53430.462516085092</c:v>
                </c:pt>
                <c:pt idx="21">
                  <c:v>63181.942549889849</c:v>
                </c:pt>
                <c:pt idx="22">
                  <c:v>66701.664920884621</c:v>
                </c:pt>
                <c:pt idx="23">
                  <c:v>61291.852124188663</c:v>
                </c:pt>
                <c:pt idx="24">
                  <c:v>64887.270748527953</c:v>
                </c:pt>
                <c:pt idx="25">
                  <c:v>63039.613125844138</c:v>
                </c:pt>
                <c:pt idx="26">
                  <c:v>66552.03961084754</c:v>
                </c:pt>
                <c:pt idx="27">
                  <c:v>54413.355855607944</c:v>
                </c:pt>
                <c:pt idx="28">
                  <c:v>59486.521034475329</c:v>
                </c:pt>
                <c:pt idx="29">
                  <c:v>55774.151484875445</c:v>
                </c:pt>
                <c:pt idx="30">
                  <c:v>55009.776706819292</c:v>
                </c:pt>
                <c:pt idx="31">
                  <c:v>53580.676891672832</c:v>
                </c:pt>
                <c:pt idx="32">
                  <c:v>71967.090664327523</c:v>
                </c:pt>
                <c:pt idx="33">
                  <c:v>103965.63870562593</c:v>
                </c:pt>
                <c:pt idx="34">
                  <c:v>56873.406684108239</c:v>
                </c:pt>
                <c:pt idx="35">
                  <c:v>91388.633426304761</c:v>
                </c:pt>
                <c:pt idx="36">
                  <c:v>110674.85221767222</c:v>
                </c:pt>
                <c:pt idx="37">
                  <c:v>95899.336539885466</c:v>
                </c:pt>
                <c:pt idx="38">
                  <c:v>87533.934452659145</c:v>
                </c:pt>
                <c:pt idx="39">
                  <c:v>86584.893629014114</c:v>
                </c:pt>
                <c:pt idx="40">
                  <c:v>61486.759383522192</c:v>
                </c:pt>
                <c:pt idx="41">
                  <c:v>51162.469800639257</c:v>
                </c:pt>
                <c:pt idx="42">
                  <c:v>96900.120129253715</c:v>
                </c:pt>
                <c:pt idx="43">
                  <c:v>70967.635904648894</c:v>
                </c:pt>
                <c:pt idx="44">
                  <c:v>76488.185690241196</c:v>
                </c:pt>
                <c:pt idx="45">
                  <c:v>69264.567786739222</c:v>
                </c:pt>
                <c:pt idx="46">
                  <c:v>57738.760032819853</c:v>
                </c:pt>
                <c:pt idx="47">
                  <c:v>60392.047105475889</c:v>
                </c:pt>
                <c:pt idx="48">
                  <c:v>74926.268865275924</c:v>
                </c:pt>
                <c:pt idx="49">
                  <c:v>63451.367931466593</c:v>
                </c:pt>
                <c:pt idx="50">
                  <c:v>77059.324224141601</c:v>
                </c:pt>
                <c:pt idx="51">
                  <c:v>57603.822676239695</c:v>
                </c:pt>
                <c:pt idx="52">
                  <c:v>91380.748474762731</c:v>
                </c:pt>
                <c:pt idx="53">
                  <c:v>93422.830561276307</c:v>
                </c:pt>
                <c:pt idx="54">
                  <c:v>68104.893353169493</c:v>
                </c:pt>
                <c:pt idx="55">
                  <c:v>62923.251266134212</c:v>
                </c:pt>
                <c:pt idx="56">
                  <c:v>60704.494355620649</c:v>
                </c:pt>
                <c:pt idx="57">
                  <c:v>64316.827550225091</c:v>
                </c:pt>
                <c:pt idx="58">
                  <c:v>70355.488702846415</c:v>
                </c:pt>
                <c:pt idx="59">
                  <c:v>60241.832729888156</c:v>
                </c:pt>
                <c:pt idx="60">
                  <c:v>89835.779683982793</c:v>
                </c:pt>
                <c:pt idx="61">
                  <c:v>87828.149267470377</c:v>
                </c:pt>
                <c:pt idx="62">
                  <c:v>57446.216233186402</c:v>
                </c:pt>
                <c:pt idx="63">
                  <c:v>69917.616510348395</c:v>
                </c:pt>
                <c:pt idx="64">
                  <c:v>56034.513783808863</c:v>
                </c:pt>
                <c:pt idx="65">
                  <c:v>53437.854583550652</c:v>
                </c:pt>
                <c:pt idx="66">
                  <c:v>56546.411214473628</c:v>
                </c:pt>
                <c:pt idx="67">
                  <c:v>56161.11685726342</c:v>
                </c:pt>
                <c:pt idx="68">
                  <c:v>53773.913135828589</c:v>
                </c:pt>
                <c:pt idx="69">
                  <c:v>53052.560226340443</c:v>
                </c:pt>
                <c:pt idx="70">
                  <c:v>63350.389360811125</c:v>
                </c:pt>
                <c:pt idx="71">
                  <c:v>62847.555012789686</c:v>
                </c:pt>
                <c:pt idx="72">
                  <c:v>81863.064021432248</c:v>
                </c:pt>
                <c:pt idx="73">
                  <c:v>92893.429494795739</c:v>
                </c:pt>
                <c:pt idx="74">
                  <c:v>93278.723852005947</c:v>
                </c:pt>
                <c:pt idx="75">
                  <c:v>92893.429494795739</c:v>
                </c:pt>
                <c:pt idx="76">
                  <c:v>62653.82588455746</c:v>
                </c:pt>
                <c:pt idx="77">
                  <c:v>58479.181323254677</c:v>
                </c:pt>
                <c:pt idx="78">
                  <c:v>70566.122312771084</c:v>
                </c:pt>
                <c:pt idx="79">
                  <c:v>54915.601138078731</c:v>
                </c:pt>
                <c:pt idx="80">
                  <c:v>62838.49193014636</c:v>
                </c:pt>
                <c:pt idx="81">
                  <c:v>60462.022306532621</c:v>
                </c:pt>
                <c:pt idx="82">
                  <c:v>63005.161455842994</c:v>
                </c:pt>
                <c:pt idx="83">
                  <c:v>86317.139262615136</c:v>
                </c:pt>
                <c:pt idx="84">
                  <c:v>77696.506863192539</c:v>
                </c:pt>
                <c:pt idx="85">
                  <c:v>57471.005666420882</c:v>
                </c:pt>
                <c:pt idx="86">
                  <c:v>70607.966050237796</c:v>
                </c:pt>
                <c:pt idx="87">
                  <c:v>66742.426708724219</c:v>
                </c:pt>
                <c:pt idx="88">
                  <c:v>64661.949185146354</c:v>
                </c:pt>
                <c:pt idx="89">
                  <c:v>57521.91248653092</c:v>
                </c:pt>
                <c:pt idx="90">
                  <c:v>112228.88409109548</c:v>
                </c:pt>
                <c:pt idx="91">
                  <c:v>100923.37218386745</c:v>
                </c:pt>
                <c:pt idx="92">
                  <c:v>69590.621040713784</c:v>
                </c:pt>
                <c:pt idx="93">
                  <c:v>100075.30993087789</c:v>
                </c:pt>
                <c:pt idx="94">
                  <c:v>63418.693546690083</c:v>
                </c:pt>
                <c:pt idx="95">
                  <c:v>64569.198627569596</c:v>
                </c:pt>
                <c:pt idx="96">
                  <c:v>53817.427888473067</c:v>
                </c:pt>
                <c:pt idx="97">
                  <c:v>53699.887897661836</c:v>
                </c:pt>
                <c:pt idx="98">
                  <c:v>72380.516485127751</c:v>
                </c:pt>
                <c:pt idx="99">
                  <c:v>62374.888088753833</c:v>
                </c:pt>
                <c:pt idx="100">
                  <c:v>81259.251102755341</c:v>
                </c:pt>
                <c:pt idx="101">
                  <c:v>81327.555288634292</c:v>
                </c:pt>
                <c:pt idx="102">
                  <c:v>83485.400080734456</c:v>
                </c:pt>
                <c:pt idx="103">
                  <c:v>57068.313943441754</c:v>
                </c:pt>
                <c:pt idx="104">
                  <c:v>79126.195743889664</c:v>
                </c:pt>
                <c:pt idx="105">
                  <c:v>56085.420603918901</c:v>
                </c:pt>
                <c:pt idx="106">
                  <c:v>91699.40966127174</c:v>
                </c:pt>
                <c:pt idx="107">
                  <c:v>64661.949185146354</c:v>
                </c:pt>
                <c:pt idx="108">
                  <c:v>80873.956745545132</c:v>
                </c:pt>
                <c:pt idx="109">
                  <c:v>74455.27295641783</c:v>
                </c:pt>
                <c:pt idx="110">
                  <c:v>50584.528264823952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18-4309-9611-D51220382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1648"/>
        <c:axId val="805757472"/>
      </c:scatterChart>
      <c:valAx>
        <c:axId val="80575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of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7472"/>
        <c:crosses val="autoZero"/>
        <c:crossBetween val="midCat"/>
      </c:valAx>
      <c:valAx>
        <c:axId val="805757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16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Tariff category assigned after training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Лист1!$G$3:$G$113</c:f>
              <c:numCache>
                <c:formatCode>General</c:formatCode>
                <c:ptCount val="111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3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3</c:v>
                </c:pt>
                <c:pt idx="97">
                  <c:v>3</c:v>
                </c:pt>
                <c:pt idx="98">
                  <c:v>5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5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5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</c:numCache>
            </c:numRef>
          </c:xVal>
          <c:yVal>
            <c:numRef>
              <c:f>Лист1!$C$3:$C$113</c:f>
              <c:numCache>
                <c:formatCode>General</c:formatCode>
                <c:ptCount val="111"/>
                <c:pt idx="0">
                  <c:v>80000</c:v>
                </c:pt>
                <c:pt idx="1">
                  <c:v>75000</c:v>
                </c:pt>
                <c:pt idx="2">
                  <c:v>76000</c:v>
                </c:pt>
                <c:pt idx="3">
                  <c:v>75000</c:v>
                </c:pt>
                <c:pt idx="4">
                  <c:v>67500</c:v>
                </c:pt>
                <c:pt idx="5">
                  <c:v>60000</c:v>
                </c:pt>
                <c:pt idx="6">
                  <c:v>72500</c:v>
                </c:pt>
                <c:pt idx="7">
                  <c:v>52000</c:v>
                </c:pt>
                <c:pt idx="8">
                  <c:v>55000</c:v>
                </c:pt>
                <c:pt idx="9">
                  <c:v>56000</c:v>
                </c:pt>
                <c:pt idx="10">
                  <c:v>60000</c:v>
                </c:pt>
                <c:pt idx="11">
                  <c:v>56000</c:v>
                </c:pt>
                <c:pt idx="12">
                  <c:v>57000</c:v>
                </c:pt>
                <c:pt idx="13">
                  <c:v>56500</c:v>
                </c:pt>
                <c:pt idx="14">
                  <c:v>58500</c:v>
                </c:pt>
                <c:pt idx="15">
                  <c:v>56500</c:v>
                </c:pt>
                <c:pt idx="16">
                  <c:v>84000</c:v>
                </c:pt>
                <c:pt idx="17">
                  <c:v>53000</c:v>
                </c:pt>
                <c:pt idx="18">
                  <c:v>47500</c:v>
                </c:pt>
                <c:pt idx="19">
                  <c:v>49500</c:v>
                </c:pt>
                <c:pt idx="20">
                  <c:v>50000</c:v>
                </c:pt>
                <c:pt idx="21">
                  <c:v>62500</c:v>
                </c:pt>
                <c:pt idx="22">
                  <c:v>65000</c:v>
                </c:pt>
                <c:pt idx="23">
                  <c:v>60000</c:v>
                </c:pt>
                <c:pt idx="24">
                  <c:v>70000</c:v>
                </c:pt>
                <c:pt idx="25">
                  <c:v>62500</c:v>
                </c:pt>
                <c:pt idx="26">
                  <c:v>67500</c:v>
                </c:pt>
                <c:pt idx="27">
                  <c:v>49000</c:v>
                </c:pt>
                <c:pt idx="28">
                  <c:v>72000</c:v>
                </c:pt>
                <c:pt idx="29">
                  <c:v>56000</c:v>
                </c:pt>
                <c:pt idx="30">
                  <c:v>58000</c:v>
                </c:pt>
                <c:pt idx="31">
                  <c:v>55000</c:v>
                </c:pt>
                <c:pt idx="32">
                  <c:v>92000</c:v>
                </c:pt>
                <c:pt idx="33">
                  <c:v>98000</c:v>
                </c:pt>
                <c:pt idx="34">
                  <c:v>78000</c:v>
                </c:pt>
                <c:pt idx="35">
                  <c:v>90000</c:v>
                </c:pt>
                <c:pt idx="36">
                  <c:v>105000</c:v>
                </c:pt>
                <c:pt idx="37">
                  <c:v>101500</c:v>
                </c:pt>
                <c:pt idx="38">
                  <c:v>95000</c:v>
                </c:pt>
                <c:pt idx="39">
                  <c:v>81000</c:v>
                </c:pt>
                <c:pt idx="40">
                  <c:v>62000</c:v>
                </c:pt>
                <c:pt idx="41">
                  <c:v>52000</c:v>
                </c:pt>
                <c:pt idx="42">
                  <c:v>100500</c:v>
                </c:pt>
                <c:pt idx="43">
                  <c:v>68500</c:v>
                </c:pt>
                <c:pt idx="44">
                  <c:v>71000</c:v>
                </c:pt>
                <c:pt idx="45">
                  <c:v>66000</c:v>
                </c:pt>
                <c:pt idx="46">
                  <c:v>60000</c:v>
                </c:pt>
                <c:pt idx="47">
                  <c:v>56000</c:v>
                </c:pt>
                <c:pt idx="48">
                  <c:v>77000</c:v>
                </c:pt>
                <c:pt idx="49">
                  <c:v>59000</c:v>
                </c:pt>
                <c:pt idx="50">
                  <c:v>71500</c:v>
                </c:pt>
                <c:pt idx="51">
                  <c:v>56000</c:v>
                </c:pt>
                <c:pt idx="52">
                  <c:v>92500</c:v>
                </c:pt>
                <c:pt idx="53">
                  <c:v>95000</c:v>
                </c:pt>
                <c:pt idx="54">
                  <c:v>68000</c:v>
                </c:pt>
                <c:pt idx="55">
                  <c:v>65000</c:v>
                </c:pt>
                <c:pt idx="56">
                  <c:v>58000</c:v>
                </c:pt>
                <c:pt idx="57">
                  <c:v>62500</c:v>
                </c:pt>
                <c:pt idx="58">
                  <c:v>62500</c:v>
                </c:pt>
                <c:pt idx="59">
                  <c:v>65000</c:v>
                </c:pt>
                <c:pt idx="60">
                  <c:v>87500</c:v>
                </c:pt>
                <c:pt idx="61">
                  <c:v>87500</c:v>
                </c:pt>
                <c:pt idx="62">
                  <c:v>61000</c:v>
                </c:pt>
                <c:pt idx="63">
                  <c:v>65000</c:v>
                </c:pt>
                <c:pt idx="64">
                  <c:v>57500</c:v>
                </c:pt>
                <c:pt idx="65">
                  <c:v>50000</c:v>
                </c:pt>
                <c:pt idx="66">
                  <c:v>55000</c:v>
                </c:pt>
                <c:pt idx="67">
                  <c:v>54000</c:v>
                </c:pt>
                <c:pt idx="68">
                  <c:v>50000</c:v>
                </c:pt>
                <c:pt idx="69">
                  <c:v>49500</c:v>
                </c:pt>
                <c:pt idx="70">
                  <c:v>77500</c:v>
                </c:pt>
                <c:pt idx="71">
                  <c:v>71500</c:v>
                </c:pt>
                <c:pt idx="72">
                  <c:v>75000</c:v>
                </c:pt>
                <c:pt idx="73">
                  <c:v>110000</c:v>
                </c:pt>
                <c:pt idx="74">
                  <c:v>102500</c:v>
                </c:pt>
                <c:pt idx="75">
                  <c:v>115000</c:v>
                </c:pt>
                <c:pt idx="76">
                  <c:v>64000</c:v>
                </c:pt>
                <c:pt idx="77">
                  <c:v>61000</c:v>
                </c:pt>
                <c:pt idx="78">
                  <c:v>72500</c:v>
                </c:pt>
                <c:pt idx="79">
                  <c:v>59000</c:v>
                </c:pt>
                <c:pt idx="80">
                  <c:v>94800</c:v>
                </c:pt>
                <c:pt idx="81">
                  <c:v>60000</c:v>
                </c:pt>
                <c:pt idx="82">
                  <c:v>60000</c:v>
                </c:pt>
                <c:pt idx="83">
                  <c:v>85000</c:v>
                </c:pt>
                <c:pt idx="84">
                  <c:v>67000</c:v>
                </c:pt>
                <c:pt idx="85">
                  <c:v>59000</c:v>
                </c:pt>
                <c:pt idx="86">
                  <c:v>64500</c:v>
                </c:pt>
                <c:pt idx="87">
                  <c:v>65000</c:v>
                </c:pt>
                <c:pt idx="88">
                  <c:v>62500</c:v>
                </c:pt>
                <c:pt idx="89">
                  <c:v>60400</c:v>
                </c:pt>
                <c:pt idx="90">
                  <c:v>120000</c:v>
                </c:pt>
                <c:pt idx="91">
                  <c:v>102000</c:v>
                </c:pt>
                <c:pt idx="92">
                  <c:v>65000</c:v>
                </c:pt>
                <c:pt idx="93">
                  <c:v>94500</c:v>
                </c:pt>
                <c:pt idx="94">
                  <c:v>58000</c:v>
                </c:pt>
                <c:pt idx="95">
                  <c:v>66000</c:v>
                </c:pt>
                <c:pt idx="96">
                  <c:v>62500</c:v>
                </c:pt>
                <c:pt idx="97">
                  <c:v>61700</c:v>
                </c:pt>
                <c:pt idx="98">
                  <c:v>70000</c:v>
                </c:pt>
                <c:pt idx="99">
                  <c:v>56000</c:v>
                </c:pt>
                <c:pt idx="100">
                  <c:v>67000</c:v>
                </c:pt>
                <c:pt idx="101">
                  <c:v>83500</c:v>
                </c:pt>
                <c:pt idx="102">
                  <c:v>83500</c:v>
                </c:pt>
                <c:pt idx="103">
                  <c:v>51500</c:v>
                </c:pt>
                <c:pt idx="104">
                  <c:v>75000</c:v>
                </c:pt>
                <c:pt idx="105">
                  <c:v>58000</c:v>
                </c:pt>
                <c:pt idx="106">
                  <c:v>85000</c:v>
                </c:pt>
                <c:pt idx="107">
                  <c:v>64000</c:v>
                </c:pt>
                <c:pt idx="108">
                  <c:v>75000</c:v>
                </c:pt>
                <c:pt idx="109">
                  <c:v>72500</c:v>
                </c:pt>
                <c:pt idx="110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F0-4FA8-8909-B802E8D962C5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Лист1!$G$3:$G$113</c:f>
              <c:numCache>
                <c:formatCode>General</c:formatCode>
                <c:ptCount val="111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5</c:v>
                </c:pt>
                <c:pt idx="53">
                  <c:v>4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4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3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3</c:v>
                </c:pt>
                <c:pt idx="97">
                  <c:v>3</c:v>
                </c:pt>
                <c:pt idx="98">
                  <c:v>5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5</c:v>
                </c:pt>
                <c:pt idx="103">
                  <c:v>4</c:v>
                </c:pt>
                <c:pt idx="104">
                  <c:v>4</c:v>
                </c:pt>
                <c:pt idx="105">
                  <c:v>3</c:v>
                </c:pt>
                <c:pt idx="106">
                  <c:v>5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</c:numCache>
            </c:numRef>
          </c:xVal>
          <c:yVal>
            <c:numRef>
              <c:f>Лист2!$B$29:$B$139</c:f>
              <c:numCache>
                <c:formatCode>General</c:formatCode>
                <c:ptCount val="111"/>
                <c:pt idx="0">
                  <c:v>79469.646363633161</c:v>
                </c:pt>
                <c:pt idx="1">
                  <c:v>80233.924960215125</c:v>
                </c:pt>
                <c:pt idx="2">
                  <c:v>77924.783842900099</c:v>
                </c:pt>
                <c:pt idx="3">
                  <c:v>75094.7156761972</c:v>
                </c:pt>
                <c:pt idx="4">
                  <c:v>73937.161589388823</c:v>
                </c:pt>
                <c:pt idx="5">
                  <c:v>71910.462791929691</c:v>
                </c:pt>
                <c:pt idx="6">
                  <c:v>79393.950110288642</c:v>
                </c:pt>
                <c:pt idx="7">
                  <c:v>55806.825869651955</c:v>
                </c:pt>
                <c:pt idx="8">
                  <c:v>57017.407123331715</c:v>
                </c:pt>
                <c:pt idx="9">
                  <c:v>55395.0710640295</c:v>
                </c:pt>
                <c:pt idx="10">
                  <c:v>59479.128967009769</c:v>
                </c:pt>
                <c:pt idx="11">
                  <c:v>61416.784182465453</c:v>
                </c:pt>
                <c:pt idx="12">
                  <c:v>63232.849369999894</c:v>
                </c:pt>
                <c:pt idx="13">
                  <c:v>61099.79401113421</c:v>
                </c:pt>
                <c:pt idx="14">
                  <c:v>62056.226902244816</c:v>
                </c:pt>
                <c:pt idx="15">
                  <c:v>62248.874080849921</c:v>
                </c:pt>
                <c:pt idx="16">
                  <c:v>70716.336688358817</c:v>
                </c:pt>
                <c:pt idx="17">
                  <c:v>54413.355855607944</c:v>
                </c:pt>
                <c:pt idx="18">
                  <c:v>54682.781237184689</c:v>
                </c:pt>
                <c:pt idx="19">
                  <c:v>52935.020235529213</c:v>
                </c:pt>
                <c:pt idx="20">
                  <c:v>53430.462516085092</c:v>
                </c:pt>
                <c:pt idx="21">
                  <c:v>63181.942549889849</c:v>
                </c:pt>
                <c:pt idx="22">
                  <c:v>66701.664920884621</c:v>
                </c:pt>
                <c:pt idx="23">
                  <c:v>61291.852124188663</c:v>
                </c:pt>
                <c:pt idx="24">
                  <c:v>64887.270748527953</c:v>
                </c:pt>
                <c:pt idx="25">
                  <c:v>63039.613125844138</c:v>
                </c:pt>
                <c:pt idx="26">
                  <c:v>66552.03961084754</c:v>
                </c:pt>
                <c:pt idx="27">
                  <c:v>54413.355855607944</c:v>
                </c:pt>
                <c:pt idx="28">
                  <c:v>59486.521034475329</c:v>
                </c:pt>
                <c:pt idx="29">
                  <c:v>55774.151484875445</c:v>
                </c:pt>
                <c:pt idx="30">
                  <c:v>55009.776706819292</c:v>
                </c:pt>
                <c:pt idx="31">
                  <c:v>53580.676891672832</c:v>
                </c:pt>
                <c:pt idx="32">
                  <c:v>71967.090664327523</c:v>
                </c:pt>
                <c:pt idx="33">
                  <c:v>103965.63870562593</c:v>
                </c:pt>
                <c:pt idx="34">
                  <c:v>56873.406684108239</c:v>
                </c:pt>
                <c:pt idx="35">
                  <c:v>91388.633426304761</c:v>
                </c:pt>
                <c:pt idx="36">
                  <c:v>110674.85221767222</c:v>
                </c:pt>
                <c:pt idx="37">
                  <c:v>95899.336539885466</c:v>
                </c:pt>
                <c:pt idx="38">
                  <c:v>87533.934452659145</c:v>
                </c:pt>
                <c:pt idx="39">
                  <c:v>86584.893629014114</c:v>
                </c:pt>
                <c:pt idx="40">
                  <c:v>61486.759383522192</c:v>
                </c:pt>
                <c:pt idx="41">
                  <c:v>51162.469800639257</c:v>
                </c:pt>
                <c:pt idx="42">
                  <c:v>96900.120129253715</c:v>
                </c:pt>
                <c:pt idx="43">
                  <c:v>70967.635904648894</c:v>
                </c:pt>
                <c:pt idx="44">
                  <c:v>76488.185690241196</c:v>
                </c:pt>
                <c:pt idx="45">
                  <c:v>69264.567786739222</c:v>
                </c:pt>
                <c:pt idx="46">
                  <c:v>57738.760032819853</c:v>
                </c:pt>
                <c:pt idx="47">
                  <c:v>60392.047105475889</c:v>
                </c:pt>
                <c:pt idx="48">
                  <c:v>74926.268865275924</c:v>
                </c:pt>
                <c:pt idx="49">
                  <c:v>63451.367931466593</c:v>
                </c:pt>
                <c:pt idx="50">
                  <c:v>77059.324224141601</c:v>
                </c:pt>
                <c:pt idx="51">
                  <c:v>57603.822676239695</c:v>
                </c:pt>
                <c:pt idx="52">
                  <c:v>91380.748474762731</c:v>
                </c:pt>
                <c:pt idx="53">
                  <c:v>93422.830561276307</c:v>
                </c:pt>
                <c:pt idx="54">
                  <c:v>68104.893353169493</c:v>
                </c:pt>
                <c:pt idx="55">
                  <c:v>62923.251266134212</c:v>
                </c:pt>
                <c:pt idx="56">
                  <c:v>60704.494355620649</c:v>
                </c:pt>
                <c:pt idx="57">
                  <c:v>64316.827550225091</c:v>
                </c:pt>
                <c:pt idx="58">
                  <c:v>70355.488702846415</c:v>
                </c:pt>
                <c:pt idx="59">
                  <c:v>60241.832729888156</c:v>
                </c:pt>
                <c:pt idx="60">
                  <c:v>89835.779683982793</c:v>
                </c:pt>
                <c:pt idx="61">
                  <c:v>87828.149267470377</c:v>
                </c:pt>
                <c:pt idx="62">
                  <c:v>57446.216233186402</c:v>
                </c:pt>
                <c:pt idx="63">
                  <c:v>69917.616510348395</c:v>
                </c:pt>
                <c:pt idx="64">
                  <c:v>56034.513783808863</c:v>
                </c:pt>
                <c:pt idx="65">
                  <c:v>53437.854583550652</c:v>
                </c:pt>
                <c:pt idx="66">
                  <c:v>56546.411214473628</c:v>
                </c:pt>
                <c:pt idx="67">
                  <c:v>56161.11685726342</c:v>
                </c:pt>
                <c:pt idx="68">
                  <c:v>53773.913135828589</c:v>
                </c:pt>
                <c:pt idx="69">
                  <c:v>53052.560226340443</c:v>
                </c:pt>
                <c:pt idx="70">
                  <c:v>63350.389360811125</c:v>
                </c:pt>
                <c:pt idx="71">
                  <c:v>62847.555012789686</c:v>
                </c:pt>
                <c:pt idx="72">
                  <c:v>81863.064021432248</c:v>
                </c:pt>
                <c:pt idx="73">
                  <c:v>92893.429494795739</c:v>
                </c:pt>
                <c:pt idx="74">
                  <c:v>93278.723852005947</c:v>
                </c:pt>
                <c:pt idx="75">
                  <c:v>92893.429494795739</c:v>
                </c:pt>
                <c:pt idx="76">
                  <c:v>62653.82588455746</c:v>
                </c:pt>
                <c:pt idx="77">
                  <c:v>58479.181323254677</c:v>
                </c:pt>
                <c:pt idx="78">
                  <c:v>70566.122312771084</c:v>
                </c:pt>
                <c:pt idx="79">
                  <c:v>54915.601138078731</c:v>
                </c:pt>
                <c:pt idx="80">
                  <c:v>62838.49193014636</c:v>
                </c:pt>
                <c:pt idx="81">
                  <c:v>60462.022306532621</c:v>
                </c:pt>
                <c:pt idx="82">
                  <c:v>63005.161455842994</c:v>
                </c:pt>
                <c:pt idx="83">
                  <c:v>86317.139262615136</c:v>
                </c:pt>
                <c:pt idx="84">
                  <c:v>77696.506863192539</c:v>
                </c:pt>
                <c:pt idx="85">
                  <c:v>57471.005666420882</c:v>
                </c:pt>
                <c:pt idx="86">
                  <c:v>70607.966050237796</c:v>
                </c:pt>
                <c:pt idx="87">
                  <c:v>66742.426708724219</c:v>
                </c:pt>
                <c:pt idx="88">
                  <c:v>64661.949185146354</c:v>
                </c:pt>
                <c:pt idx="89">
                  <c:v>57521.91248653092</c:v>
                </c:pt>
                <c:pt idx="90">
                  <c:v>112228.88409109548</c:v>
                </c:pt>
                <c:pt idx="91">
                  <c:v>100923.37218386745</c:v>
                </c:pt>
                <c:pt idx="92">
                  <c:v>69590.621040713784</c:v>
                </c:pt>
                <c:pt idx="93">
                  <c:v>100075.30993087789</c:v>
                </c:pt>
                <c:pt idx="94">
                  <c:v>63418.693546690083</c:v>
                </c:pt>
                <c:pt idx="95">
                  <c:v>64569.198627569596</c:v>
                </c:pt>
                <c:pt idx="96">
                  <c:v>53817.427888473067</c:v>
                </c:pt>
                <c:pt idx="97">
                  <c:v>53699.887897661836</c:v>
                </c:pt>
                <c:pt idx="98">
                  <c:v>72380.516485127751</c:v>
                </c:pt>
                <c:pt idx="99">
                  <c:v>62374.888088753833</c:v>
                </c:pt>
                <c:pt idx="100">
                  <c:v>81259.251102755341</c:v>
                </c:pt>
                <c:pt idx="101">
                  <c:v>81327.555288634292</c:v>
                </c:pt>
                <c:pt idx="102">
                  <c:v>83485.400080734456</c:v>
                </c:pt>
                <c:pt idx="103">
                  <c:v>57068.313943441754</c:v>
                </c:pt>
                <c:pt idx="104">
                  <c:v>79126.195743889664</c:v>
                </c:pt>
                <c:pt idx="105">
                  <c:v>56085.420603918901</c:v>
                </c:pt>
                <c:pt idx="106">
                  <c:v>91699.40966127174</c:v>
                </c:pt>
                <c:pt idx="107">
                  <c:v>64661.949185146354</c:v>
                </c:pt>
                <c:pt idx="108">
                  <c:v>80873.956745545132</c:v>
                </c:pt>
                <c:pt idx="109">
                  <c:v>74455.27295641783</c:v>
                </c:pt>
                <c:pt idx="110">
                  <c:v>50584.528264823952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F0-4FA8-8909-B802E8D9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6224"/>
        <c:axId val="805754144"/>
      </c:scatterChart>
      <c:valAx>
        <c:axId val="80575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Tariff category assigned after training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4144"/>
        <c:crosses val="autoZero"/>
        <c:crossBetween val="midCat"/>
      </c:valAx>
      <c:valAx>
        <c:axId val="805754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62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Technical training at the factory(1=yes, 0=no)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 in tenge</c:v>
          </c:tx>
          <c:spPr>
            <a:ln w="19050">
              <a:noFill/>
            </a:ln>
          </c:spPr>
          <c:xVal>
            <c:numRef>
              <c:f>Лист1!$H$3:$H$113</c:f>
              <c:numCache>
                <c:formatCode>General</c:formatCode>
                <c:ptCount val="1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</c:numCache>
            </c:numRef>
          </c:xVal>
          <c:yVal>
            <c:numRef>
              <c:f>Лист1!$C$3:$C$113</c:f>
              <c:numCache>
                <c:formatCode>General</c:formatCode>
                <c:ptCount val="111"/>
                <c:pt idx="0">
                  <c:v>80000</c:v>
                </c:pt>
                <c:pt idx="1">
                  <c:v>75000</c:v>
                </c:pt>
                <c:pt idx="2">
                  <c:v>76000</c:v>
                </c:pt>
                <c:pt idx="3">
                  <c:v>75000</c:v>
                </c:pt>
                <c:pt idx="4">
                  <c:v>67500</c:v>
                </c:pt>
                <c:pt idx="5">
                  <c:v>60000</c:v>
                </c:pt>
                <c:pt idx="6">
                  <c:v>72500</c:v>
                </c:pt>
                <c:pt idx="7">
                  <c:v>52000</c:v>
                </c:pt>
                <c:pt idx="8">
                  <c:v>55000</c:v>
                </c:pt>
                <c:pt idx="9">
                  <c:v>56000</c:v>
                </c:pt>
                <c:pt idx="10">
                  <c:v>60000</c:v>
                </c:pt>
                <c:pt idx="11">
                  <c:v>56000</c:v>
                </c:pt>
                <c:pt idx="12">
                  <c:v>57000</c:v>
                </c:pt>
                <c:pt idx="13">
                  <c:v>56500</c:v>
                </c:pt>
                <c:pt idx="14">
                  <c:v>58500</c:v>
                </c:pt>
                <c:pt idx="15">
                  <c:v>56500</c:v>
                </c:pt>
                <c:pt idx="16">
                  <c:v>84000</c:v>
                </c:pt>
                <c:pt idx="17">
                  <c:v>53000</c:v>
                </c:pt>
                <c:pt idx="18">
                  <c:v>47500</c:v>
                </c:pt>
                <c:pt idx="19">
                  <c:v>49500</c:v>
                </c:pt>
                <c:pt idx="20">
                  <c:v>50000</c:v>
                </c:pt>
                <c:pt idx="21">
                  <c:v>62500</c:v>
                </c:pt>
                <c:pt idx="22">
                  <c:v>65000</c:v>
                </c:pt>
                <c:pt idx="23">
                  <c:v>60000</c:v>
                </c:pt>
                <c:pt idx="24">
                  <c:v>70000</c:v>
                </c:pt>
                <c:pt idx="25">
                  <c:v>62500</c:v>
                </c:pt>
                <c:pt idx="26">
                  <c:v>67500</c:v>
                </c:pt>
                <c:pt idx="27">
                  <c:v>49000</c:v>
                </c:pt>
                <c:pt idx="28">
                  <c:v>72000</c:v>
                </c:pt>
                <c:pt idx="29">
                  <c:v>56000</c:v>
                </c:pt>
                <c:pt idx="30">
                  <c:v>58000</c:v>
                </c:pt>
                <c:pt idx="31">
                  <c:v>55000</c:v>
                </c:pt>
                <c:pt idx="32">
                  <c:v>92000</c:v>
                </c:pt>
                <c:pt idx="33">
                  <c:v>98000</c:v>
                </c:pt>
                <c:pt idx="34">
                  <c:v>78000</c:v>
                </c:pt>
                <c:pt idx="35">
                  <c:v>90000</c:v>
                </c:pt>
                <c:pt idx="36">
                  <c:v>105000</c:v>
                </c:pt>
                <c:pt idx="37">
                  <c:v>101500</c:v>
                </c:pt>
                <c:pt idx="38">
                  <c:v>95000</c:v>
                </c:pt>
                <c:pt idx="39">
                  <c:v>81000</c:v>
                </c:pt>
                <c:pt idx="40">
                  <c:v>62000</c:v>
                </c:pt>
                <c:pt idx="41">
                  <c:v>52000</c:v>
                </c:pt>
                <c:pt idx="42">
                  <c:v>100500</c:v>
                </c:pt>
                <c:pt idx="43">
                  <c:v>68500</c:v>
                </c:pt>
                <c:pt idx="44">
                  <c:v>71000</c:v>
                </c:pt>
                <c:pt idx="45">
                  <c:v>66000</c:v>
                </c:pt>
                <c:pt idx="46">
                  <c:v>60000</c:v>
                </c:pt>
                <c:pt idx="47">
                  <c:v>56000</c:v>
                </c:pt>
                <c:pt idx="48">
                  <c:v>77000</c:v>
                </c:pt>
                <c:pt idx="49">
                  <c:v>59000</c:v>
                </c:pt>
                <c:pt idx="50">
                  <c:v>71500</c:v>
                </c:pt>
                <c:pt idx="51">
                  <c:v>56000</c:v>
                </c:pt>
                <c:pt idx="52">
                  <c:v>92500</c:v>
                </c:pt>
                <c:pt idx="53">
                  <c:v>95000</c:v>
                </c:pt>
                <c:pt idx="54">
                  <c:v>68000</c:v>
                </c:pt>
                <c:pt idx="55">
                  <c:v>65000</c:v>
                </c:pt>
                <c:pt idx="56">
                  <c:v>58000</c:v>
                </c:pt>
                <c:pt idx="57">
                  <c:v>62500</c:v>
                </c:pt>
                <c:pt idx="58">
                  <c:v>62500</c:v>
                </c:pt>
                <c:pt idx="59">
                  <c:v>65000</c:v>
                </c:pt>
                <c:pt idx="60">
                  <c:v>87500</c:v>
                </c:pt>
                <c:pt idx="61">
                  <c:v>87500</c:v>
                </c:pt>
                <c:pt idx="62">
                  <c:v>61000</c:v>
                </c:pt>
                <c:pt idx="63">
                  <c:v>65000</c:v>
                </c:pt>
                <c:pt idx="64">
                  <c:v>57500</c:v>
                </c:pt>
                <c:pt idx="65">
                  <c:v>50000</c:v>
                </c:pt>
                <c:pt idx="66">
                  <c:v>55000</c:v>
                </c:pt>
                <c:pt idx="67">
                  <c:v>54000</c:v>
                </c:pt>
                <c:pt idx="68">
                  <c:v>50000</c:v>
                </c:pt>
                <c:pt idx="69">
                  <c:v>49500</c:v>
                </c:pt>
                <c:pt idx="70">
                  <c:v>77500</c:v>
                </c:pt>
                <c:pt idx="71">
                  <c:v>71500</c:v>
                </c:pt>
                <c:pt idx="72">
                  <c:v>75000</c:v>
                </c:pt>
                <c:pt idx="73">
                  <c:v>110000</c:v>
                </c:pt>
                <c:pt idx="74">
                  <c:v>102500</c:v>
                </c:pt>
                <c:pt idx="75">
                  <c:v>115000</c:v>
                </c:pt>
                <c:pt idx="76">
                  <c:v>64000</c:v>
                </c:pt>
                <c:pt idx="77">
                  <c:v>61000</c:v>
                </c:pt>
                <c:pt idx="78">
                  <c:v>72500</c:v>
                </c:pt>
                <c:pt idx="79">
                  <c:v>59000</c:v>
                </c:pt>
                <c:pt idx="80">
                  <c:v>94800</c:v>
                </c:pt>
                <c:pt idx="81">
                  <c:v>60000</c:v>
                </c:pt>
                <c:pt idx="82">
                  <c:v>60000</c:v>
                </c:pt>
                <c:pt idx="83">
                  <c:v>85000</c:v>
                </c:pt>
                <c:pt idx="84">
                  <c:v>67000</c:v>
                </c:pt>
                <c:pt idx="85">
                  <c:v>59000</c:v>
                </c:pt>
                <c:pt idx="86">
                  <c:v>64500</c:v>
                </c:pt>
                <c:pt idx="87">
                  <c:v>65000</c:v>
                </c:pt>
                <c:pt idx="88">
                  <c:v>62500</c:v>
                </c:pt>
                <c:pt idx="89">
                  <c:v>60400</c:v>
                </c:pt>
                <c:pt idx="90">
                  <c:v>120000</c:v>
                </c:pt>
                <c:pt idx="91">
                  <c:v>102000</c:v>
                </c:pt>
                <c:pt idx="92">
                  <c:v>65000</c:v>
                </c:pt>
                <c:pt idx="93">
                  <c:v>94500</c:v>
                </c:pt>
                <c:pt idx="94">
                  <c:v>58000</c:v>
                </c:pt>
                <c:pt idx="95">
                  <c:v>66000</c:v>
                </c:pt>
                <c:pt idx="96">
                  <c:v>62500</c:v>
                </c:pt>
                <c:pt idx="97">
                  <c:v>61700</c:v>
                </c:pt>
                <c:pt idx="98">
                  <c:v>70000</c:v>
                </c:pt>
                <c:pt idx="99">
                  <c:v>56000</c:v>
                </c:pt>
                <c:pt idx="100">
                  <c:v>67000</c:v>
                </c:pt>
                <c:pt idx="101">
                  <c:v>83500</c:v>
                </c:pt>
                <c:pt idx="102">
                  <c:v>83500</c:v>
                </c:pt>
                <c:pt idx="103">
                  <c:v>51500</c:v>
                </c:pt>
                <c:pt idx="104">
                  <c:v>75000</c:v>
                </c:pt>
                <c:pt idx="105">
                  <c:v>58000</c:v>
                </c:pt>
                <c:pt idx="106">
                  <c:v>85000</c:v>
                </c:pt>
                <c:pt idx="107">
                  <c:v>64000</c:v>
                </c:pt>
                <c:pt idx="108">
                  <c:v>75000</c:v>
                </c:pt>
                <c:pt idx="109">
                  <c:v>72500</c:v>
                </c:pt>
                <c:pt idx="110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7F-46E0-A015-59866912A5DA}"/>
            </c:ext>
          </c:extLst>
        </c:ser>
        <c:ser>
          <c:idx val="1"/>
          <c:order val="1"/>
          <c:tx>
            <c:v>Предсказанное Salary in tenge</c:v>
          </c:tx>
          <c:spPr>
            <a:ln w="19050">
              <a:noFill/>
            </a:ln>
          </c:spPr>
          <c:xVal>
            <c:numRef>
              <c:f>Лист1!$H$3:$H$113</c:f>
              <c:numCache>
                <c:formatCode>General</c:formatCode>
                <c:ptCount val="1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</c:numCache>
            </c:numRef>
          </c:xVal>
          <c:yVal>
            <c:numRef>
              <c:f>Лист2!$B$29:$B$139</c:f>
              <c:numCache>
                <c:formatCode>General</c:formatCode>
                <c:ptCount val="111"/>
                <c:pt idx="0">
                  <c:v>79469.646363633161</c:v>
                </c:pt>
                <c:pt idx="1">
                  <c:v>80233.924960215125</c:v>
                </c:pt>
                <c:pt idx="2">
                  <c:v>77924.783842900099</c:v>
                </c:pt>
                <c:pt idx="3">
                  <c:v>75094.7156761972</c:v>
                </c:pt>
                <c:pt idx="4">
                  <c:v>73937.161589388823</c:v>
                </c:pt>
                <c:pt idx="5">
                  <c:v>71910.462791929691</c:v>
                </c:pt>
                <c:pt idx="6">
                  <c:v>79393.950110288642</c:v>
                </c:pt>
                <c:pt idx="7">
                  <c:v>55806.825869651955</c:v>
                </c:pt>
                <c:pt idx="8">
                  <c:v>57017.407123331715</c:v>
                </c:pt>
                <c:pt idx="9">
                  <c:v>55395.0710640295</c:v>
                </c:pt>
                <c:pt idx="10">
                  <c:v>59479.128967009769</c:v>
                </c:pt>
                <c:pt idx="11">
                  <c:v>61416.784182465453</c:v>
                </c:pt>
                <c:pt idx="12">
                  <c:v>63232.849369999894</c:v>
                </c:pt>
                <c:pt idx="13">
                  <c:v>61099.79401113421</c:v>
                </c:pt>
                <c:pt idx="14">
                  <c:v>62056.226902244816</c:v>
                </c:pt>
                <c:pt idx="15">
                  <c:v>62248.874080849921</c:v>
                </c:pt>
                <c:pt idx="16">
                  <c:v>70716.336688358817</c:v>
                </c:pt>
                <c:pt idx="17">
                  <c:v>54413.355855607944</c:v>
                </c:pt>
                <c:pt idx="18">
                  <c:v>54682.781237184689</c:v>
                </c:pt>
                <c:pt idx="19">
                  <c:v>52935.020235529213</c:v>
                </c:pt>
                <c:pt idx="20">
                  <c:v>53430.462516085092</c:v>
                </c:pt>
                <c:pt idx="21">
                  <c:v>63181.942549889849</c:v>
                </c:pt>
                <c:pt idx="22">
                  <c:v>66701.664920884621</c:v>
                </c:pt>
                <c:pt idx="23">
                  <c:v>61291.852124188663</c:v>
                </c:pt>
                <c:pt idx="24">
                  <c:v>64887.270748527953</c:v>
                </c:pt>
                <c:pt idx="25">
                  <c:v>63039.613125844138</c:v>
                </c:pt>
                <c:pt idx="26">
                  <c:v>66552.03961084754</c:v>
                </c:pt>
                <c:pt idx="27">
                  <c:v>54413.355855607944</c:v>
                </c:pt>
                <c:pt idx="28">
                  <c:v>59486.521034475329</c:v>
                </c:pt>
                <c:pt idx="29">
                  <c:v>55774.151484875445</c:v>
                </c:pt>
                <c:pt idx="30">
                  <c:v>55009.776706819292</c:v>
                </c:pt>
                <c:pt idx="31">
                  <c:v>53580.676891672832</c:v>
                </c:pt>
                <c:pt idx="32">
                  <c:v>71967.090664327523</c:v>
                </c:pt>
                <c:pt idx="33">
                  <c:v>103965.63870562593</c:v>
                </c:pt>
                <c:pt idx="34">
                  <c:v>56873.406684108239</c:v>
                </c:pt>
                <c:pt idx="35">
                  <c:v>91388.633426304761</c:v>
                </c:pt>
                <c:pt idx="36">
                  <c:v>110674.85221767222</c:v>
                </c:pt>
                <c:pt idx="37">
                  <c:v>95899.336539885466</c:v>
                </c:pt>
                <c:pt idx="38">
                  <c:v>87533.934452659145</c:v>
                </c:pt>
                <c:pt idx="39">
                  <c:v>86584.893629014114</c:v>
                </c:pt>
                <c:pt idx="40">
                  <c:v>61486.759383522192</c:v>
                </c:pt>
                <c:pt idx="41">
                  <c:v>51162.469800639257</c:v>
                </c:pt>
                <c:pt idx="42">
                  <c:v>96900.120129253715</c:v>
                </c:pt>
                <c:pt idx="43">
                  <c:v>70967.635904648894</c:v>
                </c:pt>
                <c:pt idx="44">
                  <c:v>76488.185690241196</c:v>
                </c:pt>
                <c:pt idx="45">
                  <c:v>69264.567786739222</c:v>
                </c:pt>
                <c:pt idx="46">
                  <c:v>57738.760032819853</c:v>
                </c:pt>
                <c:pt idx="47">
                  <c:v>60392.047105475889</c:v>
                </c:pt>
                <c:pt idx="48">
                  <c:v>74926.268865275924</c:v>
                </c:pt>
                <c:pt idx="49">
                  <c:v>63451.367931466593</c:v>
                </c:pt>
                <c:pt idx="50">
                  <c:v>77059.324224141601</c:v>
                </c:pt>
                <c:pt idx="51">
                  <c:v>57603.822676239695</c:v>
                </c:pt>
                <c:pt idx="52">
                  <c:v>91380.748474762731</c:v>
                </c:pt>
                <c:pt idx="53">
                  <c:v>93422.830561276307</c:v>
                </c:pt>
                <c:pt idx="54">
                  <c:v>68104.893353169493</c:v>
                </c:pt>
                <c:pt idx="55">
                  <c:v>62923.251266134212</c:v>
                </c:pt>
                <c:pt idx="56">
                  <c:v>60704.494355620649</c:v>
                </c:pt>
                <c:pt idx="57">
                  <c:v>64316.827550225091</c:v>
                </c:pt>
                <c:pt idx="58">
                  <c:v>70355.488702846415</c:v>
                </c:pt>
                <c:pt idx="59">
                  <c:v>60241.832729888156</c:v>
                </c:pt>
                <c:pt idx="60">
                  <c:v>89835.779683982793</c:v>
                </c:pt>
                <c:pt idx="61">
                  <c:v>87828.149267470377</c:v>
                </c:pt>
                <c:pt idx="62">
                  <c:v>57446.216233186402</c:v>
                </c:pt>
                <c:pt idx="63">
                  <c:v>69917.616510348395</c:v>
                </c:pt>
                <c:pt idx="64">
                  <c:v>56034.513783808863</c:v>
                </c:pt>
                <c:pt idx="65">
                  <c:v>53437.854583550652</c:v>
                </c:pt>
                <c:pt idx="66">
                  <c:v>56546.411214473628</c:v>
                </c:pt>
                <c:pt idx="67">
                  <c:v>56161.11685726342</c:v>
                </c:pt>
                <c:pt idx="68">
                  <c:v>53773.913135828589</c:v>
                </c:pt>
                <c:pt idx="69">
                  <c:v>53052.560226340443</c:v>
                </c:pt>
                <c:pt idx="70">
                  <c:v>63350.389360811125</c:v>
                </c:pt>
                <c:pt idx="71">
                  <c:v>62847.555012789686</c:v>
                </c:pt>
                <c:pt idx="72">
                  <c:v>81863.064021432248</c:v>
                </c:pt>
                <c:pt idx="73">
                  <c:v>92893.429494795739</c:v>
                </c:pt>
                <c:pt idx="74">
                  <c:v>93278.723852005947</c:v>
                </c:pt>
                <c:pt idx="75">
                  <c:v>92893.429494795739</c:v>
                </c:pt>
                <c:pt idx="76">
                  <c:v>62653.82588455746</c:v>
                </c:pt>
                <c:pt idx="77">
                  <c:v>58479.181323254677</c:v>
                </c:pt>
                <c:pt idx="78">
                  <c:v>70566.122312771084</c:v>
                </c:pt>
                <c:pt idx="79">
                  <c:v>54915.601138078731</c:v>
                </c:pt>
                <c:pt idx="80">
                  <c:v>62838.49193014636</c:v>
                </c:pt>
                <c:pt idx="81">
                  <c:v>60462.022306532621</c:v>
                </c:pt>
                <c:pt idx="82">
                  <c:v>63005.161455842994</c:v>
                </c:pt>
                <c:pt idx="83">
                  <c:v>86317.139262615136</c:v>
                </c:pt>
                <c:pt idx="84">
                  <c:v>77696.506863192539</c:v>
                </c:pt>
                <c:pt idx="85">
                  <c:v>57471.005666420882</c:v>
                </c:pt>
                <c:pt idx="86">
                  <c:v>70607.966050237796</c:v>
                </c:pt>
                <c:pt idx="87">
                  <c:v>66742.426708724219</c:v>
                </c:pt>
                <c:pt idx="88">
                  <c:v>64661.949185146354</c:v>
                </c:pt>
                <c:pt idx="89">
                  <c:v>57521.91248653092</c:v>
                </c:pt>
                <c:pt idx="90">
                  <c:v>112228.88409109548</c:v>
                </c:pt>
                <c:pt idx="91">
                  <c:v>100923.37218386745</c:v>
                </c:pt>
                <c:pt idx="92">
                  <c:v>69590.621040713784</c:v>
                </c:pt>
                <c:pt idx="93">
                  <c:v>100075.30993087789</c:v>
                </c:pt>
                <c:pt idx="94">
                  <c:v>63418.693546690083</c:v>
                </c:pt>
                <c:pt idx="95">
                  <c:v>64569.198627569596</c:v>
                </c:pt>
                <c:pt idx="96">
                  <c:v>53817.427888473067</c:v>
                </c:pt>
                <c:pt idx="97">
                  <c:v>53699.887897661836</c:v>
                </c:pt>
                <c:pt idx="98">
                  <c:v>72380.516485127751</c:v>
                </c:pt>
                <c:pt idx="99">
                  <c:v>62374.888088753833</c:v>
                </c:pt>
                <c:pt idx="100">
                  <c:v>81259.251102755341</c:v>
                </c:pt>
                <c:pt idx="101">
                  <c:v>81327.555288634292</c:v>
                </c:pt>
                <c:pt idx="102">
                  <c:v>83485.400080734456</c:v>
                </c:pt>
                <c:pt idx="103">
                  <c:v>57068.313943441754</c:v>
                </c:pt>
                <c:pt idx="104">
                  <c:v>79126.195743889664</c:v>
                </c:pt>
                <c:pt idx="105">
                  <c:v>56085.420603918901</c:v>
                </c:pt>
                <c:pt idx="106">
                  <c:v>91699.40966127174</c:v>
                </c:pt>
                <c:pt idx="107">
                  <c:v>64661.949185146354</c:v>
                </c:pt>
                <c:pt idx="108">
                  <c:v>80873.956745545132</c:v>
                </c:pt>
                <c:pt idx="109">
                  <c:v>74455.27295641783</c:v>
                </c:pt>
                <c:pt idx="110">
                  <c:v>50584.528264823952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7F-46E0-A015-59866912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54976"/>
        <c:axId val="805752064"/>
      </c:scatterChart>
      <c:valAx>
        <c:axId val="80575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Technical training at the factory(1=yes, 0=no)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2064"/>
        <c:crosses val="autoZero"/>
        <c:crossBetween val="midCat"/>
      </c:valAx>
      <c:valAx>
        <c:axId val="805752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7549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нормального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Лист2!$F$29:$F$139</c:f>
              <c:numCache>
                <c:formatCode>General</c:formatCode>
                <c:ptCount val="111"/>
                <c:pt idx="0">
                  <c:v>0.45045045045045046</c:v>
                </c:pt>
                <c:pt idx="1">
                  <c:v>1.3513513513513513</c:v>
                </c:pt>
                <c:pt idx="2">
                  <c:v>2.2522522522522523</c:v>
                </c:pt>
                <c:pt idx="3">
                  <c:v>3.1531531531531529</c:v>
                </c:pt>
                <c:pt idx="4">
                  <c:v>4.0540540540540544</c:v>
                </c:pt>
                <c:pt idx="5">
                  <c:v>4.954954954954955</c:v>
                </c:pt>
                <c:pt idx="6">
                  <c:v>5.8558558558558556</c:v>
                </c:pt>
                <c:pt idx="7">
                  <c:v>6.756756756756757</c:v>
                </c:pt>
                <c:pt idx="8">
                  <c:v>7.6576576576576576</c:v>
                </c:pt>
                <c:pt idx="9">
                  <c:v>8.5585585585585591</c:v>
                </c:pt>
                <c:pt idx="10">
                  <c:v>9.4594594594594597</c:v>
                </c:pt>
                <c:pt idx="11">
                  <c:v>10.36036036036036</c:v>
                </c:pt>
                <c:pt idx="12">
                  <c:v>11.261261261261261</c:v>
                </c:pt>
                <c:pt idx="13">
                  <c:v>12.162162162162161</c:v>
                </c:pt>
                <c:pt idx="14">
                  <c:v>13.063063063063064</c:v>
                </c:pt>
                <c:pt idx="15">
                  <c:v>13.963963963963964</c:v>
                </c:pt>
                <c:pt idx="16">
                  <c:v>14.864864864864865</c:v>
                </c:pt>
                <c:pt idx="17">
                  <c:v>15.765765765765765</c:v>
                </c:pt>
                <c:pt idx="18">
                  <c:v>16.666666666666668</c:v>
                </c:pt>
                <c:pt idx="19">
                  <c:v>17.567567567567568</c:v>
                </c:pt>
                <c:pt idx="20">
                  <c:v>18.468468468468469</c:v>
                </c:pt>
                <c:pt idx="21">
                  <c:v>19.36936936936937</c:v>
                </c:pt>
                <c:pt idx="22">
                  <c:v>20.27027027027027</c:v>
                </c:pt>
                <c:pt idx="23">
                  <c:v>21.171171171171171</c:v>
                </c:pt>
                <c:pt idx="24">
                  <c:v>22.072072072072071</c:v>
                </c:pt>
                <c:pt idx="25">
                  <c:v>22.972972972972972</c:v>
                </c:pt>
                <c:pt idx="26">
                  <c:v>23.873873873873872</c:v>
                </c:pt>
                <c:pt idx="27">
                  <c:v>24.774774774774777</c:v>
                </c:pt>
                <c:pt idx="28">
                  <c:v>25.675675675675677</c:v>
                </c:pt>
                <c:pt idx="29">
                  <c:v>26.576576576576578</c:v>
                </c:pt>
                <c:pt idx="30">
                  <c:v>27.477477477477478</c:v>
                </c:pt>
                <c:pt idx="31">
                  <c:v>28.378378378378379</c:v>
                </c:pt>
                <c:pt idx="32">
                  <c:v>29.27927927927928</c:v>
                </c:pt>
                <c:pt idx="33">
                  <c:v>30.18018018018018</c:v>
                </c:pt>
                <c:pt idx="34">
                  <c:v>31.081081081081081</c:v>
                </c:pt>
                <c:pt idx="35">
                  <c:v>31.981981981981981</c:v>
                </c:pt>
                <c:pt idx="36">
                  <c:v>32.882882882882889</c:v>
                </c:pt>
                <c:pt idx="37">
                  <c:v>33.78378378378379</c:v>
                </c:pt>
                <c:pt idx="38">
                  <c:v>34.68468468468469</c:v>
                </c:pt>
                <c:pt idx="39">
                  <c:v>35.585585585585591</c:v>
                </c:pt>
                <c:pt idx="40">
                  <c:v>36.486486486486491</c:v>
                </c:pt>
                <c:pt idx="41">
                  <c:v>37.387387387387392</c:v>
                </c:pt>
                <c:pt idx="42">
                  <c:v>38.288288288288292</c:v>
                </c:pt>
                <c:pt idx="43">
                  <c:v>39.189189189189193</c:v>
                </c:pt>
                <c:pt idx="44">
                  <c:v>40.090090090090094</c:v>
                </c:pt>
                <c:pt idx="45">
                  <c:v>40.990990990990994</c:v>
                </c:pt>
                <c:pt idx="46">
                  <c:v>41.891891891891895</c:v>
                </c:pt>
                <c:pt idx="47">
                  <c:v>42.792792792792795</c:v>
                </c:pt>
                <c:pt idx="48">
                  <c:v>43.693693693693696</c:v>
                </c:pt>
                <c:pt idx="49">
                  <c:v>44.594594594594597</c:v>
                </c:pt>
                <c:pt idx="50">
                  <c:v>45.495495495495497</c:v>
                </c:pt>
                <c:pt idx="51">
                  <c:v>46.396396396396398</c:v>
                </c:pt>
                <c:pt idx="52">
                  <c:v>47.297297297297298</c:v>
                </c:pt>
                <c:pt idx="53">
                  <c:v>48.198198198198199</c:v>
                </c:pt>
                <c:pt idx="54">
                  <c:v>49.099099099099107</c:v>
                </c:pt>
                <c:pt idx="55">
                  <c:v>50.000000000000007</c:v>
                </c:pt>
                <c:pt idx="56">
                  <c:v>50.900900900900908</c:v>
                </c:pt>
                <c:pt idx="57">
                  <c:v>51.801801801801808</c:v>
                </c:pt>
                <c:pt idx="58">
                  <c:v>52.702702702702709</c:v>
                </c:pt>
                <c:pt idx="59">
                  <c:v>53.603603603603609</c:v>
                </c:pt>
                <c:pt idx="60">
                  <c:v>54.50450450450451</c:v>
                </c:pt>
                <c:pt idx="61">
                  <c:v>55.405405405405411</c:v>
                </c:pt>
                <c:pt idx="62">
                  <c:v>56.306306306306311</c:v>
                </c:pt>
                <c:pt idx="63">
                  <c:v>57.207207207207212</c:v>
                </c:pt>
                <c:pt idx="64">
                  <c:v>58.108108108108112</c:v>
                </c:pt>
                <c:pt idx="65">
                  <c:v>59.009009009009013</c:v>
                </c:pt>
                <c:pt idx="66">
                  <c:v>59.909909909909913</c:v>
                </c:pt>
                <c:pt idx="67">
                  <c:v>60.810810810810814</c:v>
                </c:pt>
                <c:pt idx="68">
                  <c:v>61.711711711711715</c:v>
                </c:pt>
                <c:pt idx="69">
                  <c:v>62.612612612612615</c:v>
                </c:pt>
                <c:pt idx="70">
                  <c:v>63.513513513513516</c:v>
                </c:pt>
                <c:pt idx="71">
                  <c:v>64.414414414414409</c:v>
                </c:pt>
                <c:pt idx="72">
                  <c:v>65.315315315315317</c:v>
                </c:pt>
                <c:pt idx="73">
                  <c:v>66.21621621621621</c:v>
                </c:pt>
                <c:pt idx="74">
                  <c:v>67.117117117117118</c:v>
                </c:pt>
                <c:pt idx="75">
                  <c:v>68.018018018018012</c:v>
                </c:pt>
                <c:pt idx="76">
                  <c:v>68.918918918918919</c:v>
                </c:pt>
                <c:pt idx="77">
                  <c:v>69.819819819819813</c:v>
                </c:pt>
                <c:pt idx="78">
                  <c:v>70.72072072072072</c:v>
                </c:pt>
                <c:pt idx="79">
                  <c:v>71.621621621621614</c:v>
                </c:pt>
                <c:pt idx="80">
                  <c:v>72.522522522522522</c:v>
                </c:pt>
                <c:pt idx="81">
                  <c:v>73.423423423423415</c:v>
                </c:pt>
                <c:pt idx="82">
                  <c:v>74.324324324324323</c:v>
                </c:pt>
                <c:pt idx="83">
                  <c:v>75.225225225225216</c:v>
                </c:pt>
                <c:pt idx="84">
                  <c:v>76.126126126126124</c:v>
                </c:pt>
                <c:pt idx="85">
                  <c:v>77.027027027027017</c:v>
                </c:pt>
                <c:pt idx="86">
                  <c:v>77.927927927927925</c:v>
                </c:pt>
                <c:pt idx="87">
                  <c:v>78.828828828828833</c:v>
                </c:pt>
                <c:pt idx="88">
                  <c:v>79.729729729729726</c:v>
                </c:pt>
                <c:pt idx="89">
                  <c:v>80.630630630630634</c:v>
                </c:pt>
                <c:pt idx="90">
                  <c:v>81.531531531531527</c:v>
                </c:pt>
                <c:pt idx="91">
                  <c:v>82.432432432432435</c:v>
                </c:pt>
                <c:pt idx="92">
                  <c:v>83.333333333333329</c:v>
                </c:pt>
                <c:pt idx="93">
                  <c:v>84.234234234234236</c:v>
                </c:pt>
                <c:pt idx="94">
                  <c:v>85.13513513513513</c:v>
                </c:pt>
                <c:pt idx="95">
                  <c:v>86.036036036036037</c:v>
                </c:pt>
                <c:pt idx="96">
                  <c:v>86.936936936936931</c:v>
                </c:pt>
                <c:pt idx="97">
                  <c:v>87.837837837837839</c:v>
                </c:pt>
                <c:pt idx="98">
                  <c:v>88.738738738738732</c:v>
                </c:pt>
                <c:pt idx="99">
                  <c:v>89.63963963963964</c:v>
                </c:pt>
                <c:pt idx="100">
                  <c:v>90.540540540540533</c:v>
                </c:pt>
                <c:pt idx="101">
                  <c:v>91.441441441441441</c:v>
                </c:pt>
                <c:pt idx="102">
                  <c:v>92.342342342342334</c:v>
                </c:pt>
                <c:pt idx="103">
                  <c:v>93.243243243243242</c:v>
                </c:pt>
                <c:pt idx="104">
                  <c:v>94.144144144144136</c:v>
                </c:pt>
                <c:pt idx="105">
                  <c:v>95.045045045045043</c:v>
                </c:pt>
                <c:pt idx="106">
                  <c:v>95.945945945945937</c:v>
                </c:pt>
                <c:pt idx="107">
                  <c:v>96.846846846846844</c:v>
                </c:pt>
                <c:pt idx="108">
                  <c:v>97.747747747747752</c:v>
                </c:pt>
                <c:pt idx="109">
                  <c:v>98.648648648648646</c:v>
                </c:pt>
                <c:pt idx="110">
                  <c:v>99.549549549549553</c:v>
                </c:pt>
              </c:numCache>
            </c:numRef>
          </c:xVal>
          <c:yVal>
            <c:numRef>
              <c:f>Лист2!$G$29:$G$139</c:f>
              <c:numCache>
                <c:formatCode>General</c:formatCode>
                <c:ptCount val="111"/>
                <c:pt idx="0">
                  <c:v>47500</c:v>
                </c:pt>
                <c:pt idx="1">
                  <c:v>49000</c:v>
                </c:pt>
                <c:pt idx="2">
                  <c:v>49500</c:v>
                </c:pt>
                <c:pt idx="3">
                  <c:v>49500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51000</c:v>
                </c:pt>
                <c:pt idx="8">
                  <c:v>51500</c:v>
                </c:pt>
                <c:pt idx="9">
                  <c:v>52000</c:v>
                </c:pt>
                <c:pt idx="10">
                  <c:v>52000</c:v>
                </c:pt>
                <c:pt idx="11">
                  <c:v>53000</c:v>
                </c:pt>
                <c:pt idx="12">
                  <c:v>54000</c:v>
                </c:pt>
                <c:pt idx="13">
                  <c:v>55000</c:v>
                </c:pt>
                <c:pt idx="14">
                  <c:v>55000</c:v>
                </c:pt>
                <c:pt idx="15">
                  <c:v>55000</c:v>
                </c:pt>
                <c:pt idx="16">
                  <c:v>56000</c:v>
                </c:pt>
                <c:pt idx="17">
                  <c:v>56000</c:v>
                </c:pt>
                <c:pt idx="18">
                  <c:v>56000</c:v>
                </c:pt>
                <c:pt idx="19">
                  <c:v>56000</c:v>
                </c:pt>
                <c:pt idx="20">
                  <c:v>56000</c:v>
                </c:pt>
                <c:pt idx="21">
                  <c:v>56000</c:v>
                </c:pt>
                <c:pt idx="22">
                  <c:v>56500</c:v>
                </c:pt>
                <c:pt idx="23">
                  <c:v>56500</c:v>
                </c:pt>
                <c:pt idx="24">
                  <c:v>57000</c:v>
                </c:pt>
                <c:pt idx="25">
                  <c:v>57500</c:v>
                </c:pt>
                <c:pt idx="26">
                  <c:v>58000</c:v>
                </c:pt>
                <c:pt idx="27">
                  <c:v>58000</c:v>
                </c:pt>
                <c:pt idx="28">
                  <c:v>58000</c:v>
                </c:pt>
                <c:pt idx="29">
                  <c:v>58000</c:v>
                </c:pt>
                <c:pt idx="30">
                  <c:v>58500</c:v>
                </c:pt>
                <c:pt idx="31">
                  <c:v>59000</c:v>
                </c:pt>
                <c:pt idx="32">
                  <c:v>59000</c:v>
                </c:pt>
                <c:pt idx="33">
                  <c:v>59000</c:v>
                </c:pt>
                <c:pt idx="34">
                  <c:v>60000</c:v>
                </c:pt>
                <c:pt idx="35">
                  <c:v>60000</c:v>
                </c:pt>
                <c:pt idx="36">
                  <c:v>60000</c:v>
                </c:pt>
                <c:pt idx="37">
                  <c:v>60000</c:v>
                </c:pt>
                <c:pt idx="38">
                  <c:v>60000</c:v>
                </c:pt>
                <c:pt idx="39">
                  <c:v>60000</c:v>
                </c:pt>
                <c:pt idx="40">
                  <c:v>60400</c:v>
                </c:pt>
                <c:pt idx="41">
                  <c:v>61000</c:v>
                </c:pt>
                <c:pt idx="42">
                  <c:v>61000</c:v>
                </c:pt>
                <c:pt idx="43">
                  <c:v>61700</c:v>
                </c:pt>
                <c:pt idx="44">
                  <c:v>62000</c:v>
                </c:pt>
                <c:pt idx="45">
                  <c:v>62500</c:v>
                </c:pt>
                <c:pt idx="46">
                  <c:v>62500</c:v>
                </c:pt>
                <c:pt idx="47">
                  <c:v>62500</c:v>
                </c:pt>
                <c:pt idx="48">
                  <c:v>62500</c:v>
                </c:pt>
                <c:pt idx="49">
                  <c:v>62500</c:v>
                </c:pt>
                <c:pt idx="50">
                  <c:v>62500</c:v>
                </c:pt>
                <c:pt idx="51">
                  <c:v>64000</c:v>
                </c:pt>
                <c:pt idx="52">
                  <c:v>64000</c:v>
                </c:pt>
                <c:pt idx="53">
                  <c:v>64500</c:v>
                </c:pt>
                <c:pt idx="54">
                  <c:v>65000</c:v>
                </c:pt>
                <c:pt idx="55">
                  <c:v>65000</c:v>
                </c:pt>
                <c:pt idx="56">
                  <c:v>65000</c:v>
                </c:pt>
                <c:pt idx="57">
                  <c:v>65000</c:v>
                </c:pt>
                <c:pt idx="58">
                  <c:v>65000</c:v>
                </c:pt>
                <c:pt idx="59">
                  <c:v>65000</c:v>
                </c:pt>
                <c:pt idx="60">
                  <c:v>66000</c:v>
                </c:pt>
                <c:pt idx="61">
                  <c:v>66000</c:v>
                </c:pt>
                <c:pt idx="62">
                  <c:v>67000</c:v>
                </c:pt>
                <c:pt idx="63">
                  <c:v>67000</c:v>
                </c:pt>
                <c:pt idx="64">
                  <c:v>67500</c:v>
                </c:pt>
                <c:pt idx="65">
                  <c:v>67500</c:v>
                </c:pt>
                <c:pt idx="66">
                  <c:v>68000</c:v>
                </c:pt>
                <c:pt idx="67">
                  <c:v>68500</c:v>
                </c:pt>
                <c:pt idx="68">
                  <c:v>70000</c:v>
                </c:pt>
                <c:pt idx="69">
                  <c:v>70000</c:v>
                </c:pt>
                <c:pt idx="70">
                  <c:v>71000</c:v>
                </c:pt>
                <c:pt idx="71">
                  <c:v>71500</c:v>
                </c:pt>
                <c:pt idx="72">
                  <c:v>71500</c:v>
                </c:pt>
                <c:pt idx="73">
                  <c:v>72000</c:v>
                </c:pt>
                <c:pt idx="74">
                  <c:v>72500</c:v>
                </c:pt>
                <c:pt idx="75">
                  <c:v>72500</c:v>
                </c:pt>
                <c:pt idx="76">
                  <c:v>72500</c:v>
                </c:pt>
                <c:pt idx="77">
                  <c:v>75000</c:v>
                </c:pt>
                <c:pt idx="78">
                  <c:v>75000</c:v>
                </c:pt>
                <c:pt idx="79">
                  <c:v>75000</c:v>
                </c:pt>
                <c:pt idx="80">
                  <c:v>75000</c:v>
                </c:pt>
                <c:pt idx="81">
                  <c:v>75000</c:v>
                </c:pt>
                <c:pt idx="82">
                  <c:v>76000</c:v>
                </c:pt>
                <c:pt idx="83">
                  <c:v>77000</c:v>
                </c:pt>
                <c:pt idx="84">
                  <c:v>77500</c:v>
                </c:pt>
                <c:pt idx="85">
                  <c:v>78000</c:v>
                </c:pt>
                <c:pt idx="86">
                  <c:v>80000</c:v>
                </c:pt>
                <c:pt idx="87">
                  <c:v>81000</c:v>
                </c:pt>
                <c:pt idx="88">
                  <c:v>83500</c:v>
                </c:pt>
                <c:pt idx="89">
                  <c:v>83500</c:v>
                </c:pt>
                <c:pt idx="90">
                  <c:v>84000</c:v>
                </c:pt>
                <c:pt idx="91">
                  <c:v>85000</c:v>
                </c:pt>
                <c:pt idx="92">
                  <c:v>85000</c:v>
                </c:pt>
                <c:pt idx="93">
                  <c:v>87500</c:v>
                </c:pt>
                <c:pt idx="94">
                  <c:v>87500</c:v>
                </c:pt>
                <c:pt idx="95">
                  <c:v>90000</c:v>
                </c:pt>
                <c:pt idx="96">
                  <c:v>92000</c:v>
                </c:pt>
                <c:pt idx="97">
                  <c:v>92500</c:v>
                </c:pt>
                <c:pt idx="98">
                  <c:v>94500</c:v>
                </c:pt>
                <c:pt idx="99">
                  <c:v>94800</c:v>
                </c:pt>
                <c:pt idx="100">
                  <c:v>95000</c:v>
                </c:pt>
                <c:pt idx="101">
                  <c:v>95000</c:v>
                </c:pt>
                <c:pt idx="102">
                  <c:v>98000</c:v>
                </c:pt>
                <c:pt idx="103">
                  <c:v>100500</c:v>
                </c:pt>
                <c:pt idx="104">
                  <c:v>101500</c:v>
                </c:pt>
                <c:pt idx="105">
                  <c:v>102000</c:v>
                </c:pt>
                <c:pt idx="106">
                  <c:v>102500</c:v>
                </c:pt>
                <c:pt idx="107">
                  <c:v>105000</c:v>
                </c:pt>
                <c:pt idx="108">
                  <c:v>110000</c:v>
                </c:pt>
                <c:pt idx="109">
                  <c:v>115000</c:v>
                </c:pt>
                <c:pt idx="110">
                  <c:v>120000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3-436C-BF19-414280CA4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876432"/>
        <c:axId val="650880176"/>
      </c:scatterChart>
      <c:valAx>
        <c:axId val="65087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0880176"/>
        <c:crosses val="autoZero"/>
        <c:crossBetween val="midCat"/>
      </c:valAx>
      <c:valAx>
        <c:axId val="65088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 in tenge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08764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0</xdr:row>
      <xdr:rowOff>175260</xdr:rowOff>
    </xdr:from>
    <xdr:to>
      <xdr:col>16</xdr:col>
      <xdr:colOff>251460</xdr:colOff>
      <xdr:row>10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3BC85C-1546-4AF9-ADFF-B68358BE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251460</xdr:colOff>
      <xdr:row>2</xdr:row>
      <xdr:rowOff>175260</xdr:rowOff>
    </xdr:from>
    <xdr:to>
      <xdr:col>17</xdr:col>
      <xdr:colOff>251460</xdr:colOff>
      <xdr:row>12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47583CB-D35E-486D-9537-8E7B5947B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251460</xdr:colOff>
      <xdr:row>4</xdr:row>
      <xdr:rowOff>175260</xdr:rowOff>
    </xdr:from>
    <xdr:to>
      <xdr:col>18</xdr:col>
      <xdr:colOff>251460</xdr:colOff>
      <xdr:row>14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AC48A3B-4683-42A8-B1B4-405C3D88F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251460</xdr:colOff>
      <xdr:row>6</xdr:row>
      <xdr:rowOff>175260</xdr:rowOff>
    </xdr:from>
    <xdr:to>
      <xdr:col>19</xdr:col>
      <xdr:colOff>251460</xdr:colOff>
      <xdr:row>16</xdr:row>
      <xdr:rowOff>175260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F4D91DA-6A84-40BF-A146-C171D9F19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251460</xdr:colOff>
      <xdr:row>8</xdr:row>
      <xdr:rowOff>175260</xdr:rowOff>
    </xdr:from>
    <xdr:to>
      <xdr:col>20</xdr:col>
      <xdr:colOff>251460</xdr:colOff>
      <xdr:row>18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6957CF6-8221-4E47-B3C8-CDA348CCA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251460</xdr:colOff>
      <xdr:row>10</xdr:row>
      <xdr:rowOff>175260</xdr:rowOff>
    </xdr:from>
    <xdr:to>
      <xdr:col>21</xdr:col>
      <xdr:colOff>251460</xdr:colOff>
      <xdr:row>20</xdr:row>
      <xdr:rowOff>175260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E4AEB25-56C9-4E7C-BE0F-BC84E0CC5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251460</xdr:colOff>
      <xdr:row>12</xdr:row>
      <xdr:rowOff>175260</xdr:rowOff>
    </xdr:from>
    <xdr:to>
      <xdr:col>22</xdr:col>
      <xdr:colOff>251461</xdr:colOff>
      <xdr:row>22</xdr:row>
      <xdr:rowOff>175260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80BB247-D050-4BEF-9B46-E5030CF47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251460</xdr:colOff>
      <xdr:row>14</xdr:row>
      <xdr:rowOff>175260</xdr:rowOff>
    </xdr:from>
    <xdr:to>
      <xdr:col>23</xdr:col>
      <xdr:colOff>251461</xdr:colOff>
      <xdr:row>24</xdr:row>
      <xdr:rowOff>175260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BD90DAE-920C-4AF0-9DF7-F73A84C4B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251460</xdr:colOff>
      <xdr:row>16</xdr:row>
      <xdr:rowOff>175260</xdr:rowOff>
    </xdr:from>
    <xdr:to>
      <xdr:col>24</xdr:col>
      <xdr:colOff>251461</xdr:colOff>
      <xdr:row>26</xdr:row>
      <xdr:rowOff>175260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A20EB8F-65EF-4830-92F3-4514AD7A9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251460</xdr:colOff>
      <xdr:row>18</xdr:row>
      <xdr:rowOff>175260</xdr:rowOff>
    </xdr:from>
    <xdr:to>
      <xdr:col>25</xdr:col>
      <xdr:colOff>251461</xdr:colOff>
      <xdr:row>28</xdr:row>
      <xdr:rowOff>175260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760900C-016A-4050-8C2A-4F1BF4858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251460</xdr:colOff>
      <xdr:row>20</xdr:row>
      <xdr:rowOff>175260</xdr:rowOff>
    </xdr:from>
    <xdr:to>
      <xdr:col>26</xdr:col>
      <xdr:colOff>251461</xdr:colOff>
      <xdr:row>30</xdr:row>
      <xdr:rowOff>175260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2A9B3FD0-581F-4040-B18F-CAD4D1A39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EF5E03-AF7A-4A80-9D5C-8F5ED5531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126A0D-6AAB-452F-9397-32CBE3C45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38CE9C-0ADE-4512-B5A0-0D55BF2EE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ECCB87-AF6D-4119-ACD5-6A221ED36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EB7C019-10BA-474E-ABBA-8F2E5075E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8D56613-E158-4C6C-97DF-D9C9828AA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9D9872A-B11B-431C-816D-E30111138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FD18673-CF98-49AC-A421-4BBBCB0B3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3C64168-D83A-43F5-9B1D-C9F7018F7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251460</xdr:colOff>
      <xdr:row>18</xdr:row>
      <xdr:rowOff>175260</xdr:rowOff>
    </xdr:from>
    <xdr:to>
      <xdr:col>24</xdr:col>
      <xdr:colOff>251461</xdr:colOff>
      <xdr:row>28</xdr:row>
      <xdr:rowOff>175260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4A2FE41-4F44-4A37-A87E-5B36A586A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251460</xdr:colOff>
      <xdr:row>20</xdr:row>
      <xdr:rowOff>175260</xdr:rowOff>
    </xdr:from>
    <xdr:to>
      <xdr:col>25</xdr:col>
      <xdr:colOff>251461</xdr:colOff>
      <xdr:row>30</xdr:row>
      <xdr:rowOff>175260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7E4FC1D3-DAF9-4DFA-88B5-F1A2BBD2F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3B41-7E72-4AC4-B8D9-2059DCAC961C}">
  <dimension ref="A1:J139"/>
  <sheetViews>
    <sheetView tabSelected="1" workbookViewId="0">
      <selection activeCell="C23" sqref="C23"/>
    </sheetView>
  </sheetViews>
  <sheetFormatPr defaultRowHeight="14.4" x14ac:dyDescent="0.3"/>
  <cols>
    <col min="1" max="1" width="21.33203125" customWidth="1"/>
  </cols>
  <sheetData>
    <row r="1" spans="1:10" x14ac:dyDescent="0.3">
      <c r="A1" t="s">
        <v>12</v>
      </c>
    </row>
    <row r="2" spans="1:10" ht="15" thickBot="1" x14ac:dyDescent="0.35"/>
    <row r="3" spans="1:10" x14ac:dyDescent="0.3">
      <c r="A3" s="7" t="s">
        <v>13</v>
      </c>
      <c r="B3" s="7"/>
      <c r="C3" s="11"/>
    </row>
    <row r="4" spans="1:10" x14ac:dyDescent="0.3">
      <c r="A4" s="4" t="s">
        <v>14</v>
      </c>
      <c r="B4" s="4">
        <v>0.90024040995443089</v>
      </c>
      <c r="C4" s="4"/>
    </row>
    <row r="5" spans="1:10" x14ac:dyDescent="0.3">
      <c r="A5" s="4" t="s">
        <v>15</v>
      </c>
      <c r="B5" s="4">
        <v>0.81043279571492177</v>
      </c>
      <c r="C5" s="4"/>
    </row>
    <row r="6" spans="1:10" x14ac:dyDescent="0.3">
      <c r="A6" s="4" t="s">
        <v>16</v>
      </c>
      <c r="B6" s="4">
        <v>0.80140578598706091</v>
      </c>
      <c r="C6" s="4"/>
    </row>
    <row r="7" spans="1:10" x14ac:dyDescent="0.3">
      <c r="A7" s="4" t="s">
        <v>17</v>
      </c>
      <c r="B7" s="4">
        <v>0.44563910736484852</v>
      </c>
      <c r="C7" s="4"/>
    </row>
    <row r="8" spans="1:10" ht="15" thickBot="1" x14ac:dyDescent="0.35">
      <c r="A8" s="5" t="s">
        <v>18</v>
      </c>
      <c r="B8" s="5">
        <v>111</v>
      </c>
      <c r="C8" s="4"/>
    </row>
    <row r="10" spans="1:10" ht="15" thickBot="1" x14ac:dyDescent="0.35">
      <c r="A10" t="s">
        <v>19</v>
      </c>
    </row>
    <row r="11" spans="1:10" x14ac:dyDescent="0.3">
      <c r="A11" s="6"/>
      <c r="B11" s="6" t="s">
        <v>24</v>
      </c>
      <c r="C11" s="6"/>
      <c r="D11" s="6" t="s">
        <v>25</v>
      </c>
      <c r="E11" s="6" t="s">
        <v>26</v>
      </c>
      <c r="F11" s="6" t="s">
        <v>27</v>
      </c>
      <c r="G11" s="6" t="s">
        <v>28</v>
      </c>
    </row>
    <row r="12" spans="1:10" x14ac:dyDescent="0.3">
      <c r="A12" s="4" t="s">
        <v>20</v>
      </c>
      <c r="B12" s="4">
        <v>5</v>
      </c>
      <c r="C12" s="4"/>
      <c r="D12" s="4">
        <v>89.147607528641345</v>
      </c>
      <c r="E12" s="4">
        <v>17.82952150572827</v>
      </c>
      <c r="F12" s="4">
        <v>89.778655407184345</v>
      </c>
      <c r="G12" s="4">
        <v>2.6327431269452259E-36</v>
      </c>
    </row>
    <row r="13" spans="1:10" x14ac:dyDescent="0.3">
      <c r="A13" s="4" t="s">
        <v>21</v>
      </c>
      <c r="B13" s="4">
        <v>105</v>
      </c>
      <c r="C13" s="4"/>
      <c r="D13" s="4">
        <v>20.852392471358591</v>
      </c>
      <c r="E13" s="4">
        <v>0.19859421401293897</v>
      </c>
      <c r="F13" s="4"/>
      <c r="G13" s="4"/>
    </row>
    <row r="14" spans="1:10" ht="15" thickBot="1" x14ac:dyDescent="0.35">
      <c r="A14" s="5" t="s">
        <v>22</v>
      </c>
      <c r="B14" s="5">
        <v>110</v>
      </c>
      <c r="C14" s="5"/>
      <c r="D14" s="5">
        <v>109.99999999999994</v>
      </c>
      <c r="E14" s="5"/>
      <c r="F14" s="5"/>
      <c r="G14" s="5"/>
    </row>
    <row r="15" spans="1:10" ht="15" thickBot="1" x14ac:dyDescent="0.35"/>
    <row r="16" spans="1:10" x14ac:dyDescent="0.3">
      <c r="A16" s="6"/>
      <c r="B16" s="6" t="s">
        <v>29</v>
      </c>
      <c r="C16" s="6"/>
      <c r="D16" s="6" t="s">
        <v>17</v>
      </c>
      <c r="E16" s="6" t="s">
        <v>30</v>
      </c>
      <c r="F16" s="6" t="s">
        <v>31</v>
      </c>
      <c r="G16" s="6" t="s">
        <v>32</v>
      </c>
      <c r="H16" s="6" t="s">
        <v>33</v>
      </c>
      <c r="I16" s="6" t="s">
        <v>34</v>
      </c>
      <c r="J16" s="6" t="s">
        <v>35</v>
      </c>
    </row>
    <row r="17" spans="1:10" x14ac:dyDescent="0.3">
      <c r="A17" s="4" t="s">
        <v>23</v>
      </c>
      <c r="B17" s="4">
        <v>-3.0999139802732344E-17</v>
      </c>
      <c r="C17" s="4"/>
      <c r="D17" s="4">
        <v>4.229819219753523E-2</v>
      </c>
      <c r="E17" s="4">
        <v>-7.328715056654054E-16</v>
      </c>
      <c r="F17" s="4">
        <v>1</v>
      </c>
      <c r="G17" s="4">
        <v>-8.3869501543191338E-2</v>
      </c>
      <c r="H17" s="4">
        <v>8.3869501543191283E-2</v>
      </c>
      <c r="I17" s="4">
        <v>-8.3869501543191338E-2</v>
      </c>
      <c r="J17" s="4">
        <v>8.3869501543191283E-2</v>
      </c>
    </row>
    <row r="18" spans="1:10" x14ac:dyDescent="0.3">
      <c r="A18" s="4" t="s">
        <v>7</v>
      </c>
      <c r="B18" s="4">
        <v>0.85610589016826488</v>
      </c>
      <c r="C18" s="4">
        <f>Лист2!B18*_xlfn.STDEV.S(Лист1!D$3:D$113)/_xlfn.STDEV.S(Лист1!$C$3:$C$113)</f>
        <v>0.85610589016826499</v>
      </c>
      <c r="D18" s="4">
        <v>5.0161051585866361E-2</v>
      </c>
      <c r="E18" s="4">
        <v>17.067143991245306</v>
      </c>
      <c r="F18" s="4">
        <v>4.705475987858939E-32</v>
      </c>
      <c r="G18" s="4">
        <v>0.75664579093418782</v>
      </c>
      <c r="H18" s="4">
        <v>0.95556598940234194</v>
      </c>
      <c r="I18" s="4">
        <v>0.75664579093418782</v>
      </c>
      <c r="J18" s="4">
        <v>0.95556598940234194</v>
      </c>
    </row>
    <row r="19" spans="1:10" x14ac:dyDescent="0.3">
      <c r="A19" s="4" t="s">
        <v>1</v>
      </c>
      <c r="B19" s="4">
        <v>-9.8544777890630219E-3</v>
      </c>
      <c r="C19" s="4">
        <f>Лист2!B19*_xlfn.STDEV.S(Лист1!E$3:E$113)/_xlfn.STDEV.S(Лист1!$C$3:$C$113)</f>
        <v>-9.8544777890632318E-3</v>
      </c>
      <c r="D19" s="4">
        <v>5.0197696628113742E-2</v>
      </c>
      <c r="E19" s="4">
        <v>-0.19631334604990458</v>
      </c>
      <c r="F19" s="4">
        <v>0.84474436810181941</v>
      </c>
      <c r="G19" s="4">
        <v>-0.10938723737261705</v>
      </c>
      <c r="H19" s="4">
        <v>8.9678281794490999E-2</v>
      </c>
      <c r="I19" s="4">
        <v>-0.10938723737261705</v>
      </c>
      <c r="J19" s="4">
        <v>8.9678281794490999E-2</v>
      </c>
    </row>
    <row r="20" spans="1:10" x14ac:dyDescent="0.3">
      <c r="A20" s="4" t="s">
        <v>2</v>
      </c>
      <c r="B20" s="4">
        <v>1.9625776782102727E-2</v>
      </c>
      <c r="C20" s="4">
        <f>Лист2!B20*_xlfn.STDEV.S(Лист1!F$3:F$113)/_xlfn.STDEV.S(Лист1!$C$3:$C$113)</f>
        <v>1.9625776782102665E-2</v>
      </c>
      <c r="D20" s="4">
        <v>4.6976708807551275E-2</v>
      </c>
      <c r="E20" s="4">
        <v>0.41777675108112255</v>
      </c>
      <c r="F20" s="4">
        <v>0.67696344802587127</v>
      </c>
      <c r="G20" s="4">
        <v>-7.3520358954132226E-2</v>
      </c>
      <c r="H20" s="4">
        <v>0.11277191251833768</v>
      </c>
      <c r="I20" s="4">
        <v>-7.3520358954132226E-2</v>
      </c>
      <c r="J20" s="4">
        <v>0.11277191251833768</v>
      </c>
    </row>
    <row r="21" spans="1:10" x14ac:dyDescent="0.3">
      <c r="A21" s="4" t="s">
        <v>3</v>
      </c>
      <c r="B21" s="4">
        <v>7.6079952562796857E-2</v>
      </c>
      <c r="C21" s="4">
        <f>Лист2!B21*_xlfn.STDEV.S(Лист1!G$3:G$113)/_xlfn.STDEV.S(Лист1!$C$3:$C$113)</f>
        <v>7.6079952562796829E-2</v>
      </c>
      <c r="D21" s="4">
        <v>4.5937194175988155E-2</v>
      </c>
      <c r="E21" s="4">
        <v>1.6561732584565347</v>
      </c>
      <c r="F21" s="4">
        <v>0.10067232319052472</v>
      </c>
      <c r="G21" s="4">
        <v>-1.5005017684641311E-2</v>
      </c>
      <c r="H21" s="4">
        <v>0.16716492281023504</v>
      </c>
      <c r="I21" s="4">
        <v>-1.5005017684641311E-2</v>
      </c>
      <c r="J21" s="4">
        <v>0.16716492281023504</v>
      </c>
    </row>
    <row r="22" spans="1:10" ht="15" thickBot="1" x14ac:dyDescent="0.35">
      <c r="A22" s="5" t="s">
        <v>5</v>
      </c>
      <c r="B22" s="5">
        <v>5.6041798661641995E-2</v>
      </c>
      <c r="C22" s="4">
        <f>Лист2!B22*_xlfn.STDEV.S(Лист1!H$3:H$113)/_xlfn.STDEV.S(Лист1!$C$3:$C$113)</f>
        <v>5.6041798661641856E-2</v>
      </c>
      <c r="D22" s="5">
        <v>4.5683767924800098E-2</v>
      </c>
      <c r="E22" s="5">
        <v>1.2267332842136012</v>
      </c>
      <c r="F22" s="5">
        <v>0.22266653458527133</v>
      </c>
      <c r="G22" s="5">
        <v>-3.4540674144159872E-2</v>
      </c>
      <c r="H22" s="5">
        <v>0.14662427146744386</v>
      </c>
      <c r="I22" s="5">
        <v>-3.4540674144159872E-2</v>
      </c>
      <c r="J22" s="5">
        <v>0.14662427146744386</v>
      </c>
    </row>
    <row r="26" spans="1:10" x14ac:dyDescent="0.3">
      <c r="A26" t="s">
        <v>36</v>
      </c>
      <c r="G26" t="s">
        <v>41</v>
      </c>
    </row>
    <row r="27" spans="1:10" ht="15" thickBot="1" x14ac:dyDescent="0.35"/>
    <row r="28" spans="1:10" x14ac:dyDescent="0.3">
      <c r="A28" s="6" t="s">
        <v>37</v>
      </c>
      <c r="B28" s="6" t="s">
        <v>38</v>
      </c>
      <c r="C28" s="6"/>
      <c r="D28" s="6" t="s">
        <v>39</v>
      </c>
      <c r="E28" s="6" t="s">
        <v>40</v>
      </c>
      <c r="G28" s="6" t="s">
        <v>42</v>
      </c>
      <c r="H28" s="6" t="s">
        <v>6</v>
      </c>
    </row>
    <row r="29" spans="1:10" x14ac:dyDescent="0.3">
      <c r="A29" s="4">
        <v>1</v>
      </c>
      <c r="B29" s="4">
        <v>0.62496212941757256</v>
      </c>
      <c r="C29" s="4"/>
      <c r="D29" s="4">
        <v>3.3063752601670715E-2</v>
      </c>
      <c r="E29" s="4">
        <v>7.5939990782512207E-2</v>
      </c>
      <c r="G29" s="4">
        <v>0.45045045045045046</v>
      </c>
      <c r="H29" s="4">
        <v>-1.3681164612586845</v>
      </c>
    </row>
    <row r="30" spans="1:10" x14ac:dyDescent="0.3">
      <c r="A30" s="4">
        <v>2</v>
      </c>
      <c r="B30" s="4">
        <v>0.67260942869744211</v>
      </c>
      <c r="C30" s="4"/>
      <c r="D30" s="4">
        <v>-0.32629775333634153</v>
      </c>
      <c r="E30" s="4">
        <v>-0.74943242768711404</v>
      </c>
      <c r="G30" s="4">
        <v>1.3513513513513513</v>
      </c>
      <c r="H30" s="4">
        <v>-1.2746021992612415</v>
      </c>
    </row>
    <row r="31" spans="1:10" x14ac:dyDescent="0.3">
      <c r="A31" s="4">
        <v>3</v>
      </c>
      <c r="B31" s="4">
        <v>0.52865101040833207</v>
      </c>
      <c r="C31" s="4"/>
      <c r="D31" s="4">
        <v>-0.11999649371560295</v>
      </c>
      <c r="E31" s="4">
        <v>-0.27560491201583132</v>
      </c>
      <c r="G31" s="4">
        <v>2.2522522522522523</v>
      </c>
      <c r="H31" s="4">
        <v>-1.2434307785954273</v>
      </c>
    </row>
    <row r="32" spans="1:10" x14ac:dyDescent="0.3">
      <c r="A32" s="4">
        <v>4</v>
      </c>
      <c r="B32" s="4">
        <v>0.3522165197338803</v>
      </c>
      <c r="C32" s="4"/>
      <c r="D32" s="4">
        <v>-5.9048443727797162E-3</v>
      </c>
      <c r="E32" s="4">
        <v>-1.3562097219975035E-2</v>
      </c>
      <c r="G32" s="4">
        <v>3.1531531531531529</v>
      </c>
      <c r="H32" s="4">
        <v>-1.2434307785954273</v>
      </c>
    </row>
    <row r="33" spans="1:8" x14ac:dyDescent="0.3">
      <c r="A33" s="4">
        <v>5</v>
      </c>
      <c r="B33" s="4">
        <v>0.28005130896720676</v>
      </c>
      <c r="C33" s="4"/>
      <c r="D33" s="4">
        <v>-0.40131094359332026</v>
      </c>
      <c r="E33" s="4">
        <v>-0.92172082596148153</v>
      </c>
      <c r="G33" s="4">
        <v>4.0540540540540544</v>
      </c>
      <c r="H33" s="4">
        <v>-1.212259357929613</v>
      </c>
    </row>
    <row r="34" spans="1:8" x14ac:dyDescent="0.3">
      <c r="A34" s="4">
        <v>6</v>
      </c>
      <c r="B34" s="4">
        <v>0.15370114741021093</v>
      </c>
      <c r="C34" s="4"/>
      <c r="D34" s="4">
        <v>-0.74253209202353854</v>
      </c>
      <c r="E34" s="4">
        <v>-1.7054289300827195</v>
      </c>
      <c r="G34" s="4">
        <v>4.954954954954955</v>
      </c>
      <c r="H34" s="4">
        <v>-1.212259357929613</v>
      </c>
    </row>
    <row r="35" spans="1:8" x14ac:dyDescent="0.3">
      <c r="A35" s="4">
        <v>7</v>
      </c>
      <c r="B35" s="4">
        <v>0.6202430099059163</v>
      </c>
      <c r="C35" s="4"/>
      <c r="D35" s="4">
        <v>-0.4297884378738871</v>
      </c>
      <c r="E35" s="4">
        <v>-0.98712721462003983</v>
      </c>
      <c r="G35" s="4">
        <v>5.8558558558558556</v>
      </c>
      <c r="H35" s="4">
        <v>-1.212259357929613</v>
      </c>
    </row>
    <row r="36" spans="1:8" x14ac:dyDescent="0.3">
      <c r="A36" s="4">
        <v>8</v>
      </c>
      <c r="B36" s="4">
        <v>-0.85024533409750502</v>
      </c>
      <c r="C36" s="4"/>
      <c r="D36" s="4">
        <v>-0.23732834116885104</v>
      </c>
      <c r="E36" s="4">
        <v>-0.54508973188605248</v>
      </c>
      <c r="G36" s="4">
        <v>6.756756756756757</v>
      </c>
      <c r="H36" s="4">
        <v>-1.1499165165979846</v>
      </c>
    </row>
    <row r="37" spans="1:8" x14ac:dyDescent="0.3">
      <c r="A37" s="4">
        <v>9</v>
      </c>
      <c r="B37" s="4">
        <v>-0.77477425908030384</v>
      </c>
      <c r="C37" s="4"/>
      <c r="D37" s="4">
        <v>-0.12577089219116644</v>
      </c>
      <c r="E37" s="4">
        <v>-0.2888674043980991</v>
      </c>
      <c r="G37" s="4">
        <v>7.6576576576576576</v>
      </c>
      <c r="H37" s="4">
        <v>-1.1187450959321703</v>
      </c>
    </row>
    <row r="38" spans="1:8" x14ac:dyDescent="0.3">
      <c r="A38" s="4">
        <v>10</v>
      </c>
      <c r="B38" s="4">
        <v>-0.87591529861196138</v>
      </c>
      <c r="C38" s="4"/>
      <c r="D38" s="4">
        <v>3.7712988672119585E-2</v>
      </c>
      <c r="E38" s="4">
        <v>8.6618238608434123E-2</v>
      </c>
      <c r="G38" s="4">
        <v>8.5585585585585591</v>
      </c>
      <c r="H38" s="4">
        <v>-1.0875736752663561</v>
      </c>
    </row>
    <row r="39" spans="1:8" x14ac:dyDescent="0.3">
      <c r="A39" s="4">
        <v>11</v>
      </c>
      <c r="B39" s="4">
        <v>-0.62130352477727868</v>
      </c>
      <c r="C39" s="4"/>
      <c r="D39" s="4">
        <v>3.2472580163951048E-2</v>
      </c>
      <c r="E39" s="4">
        <v>7.4582200878499968E-2</v>
      </c>
      <c r="G39" s="4">
        <v>9.4594594594594597</v>
      </c>
      <c r="H39" s="4">
        <v>-1.0875736752663561</v>
      </c>
    </row>
    <row r="40" spans="1:8" x14ac:dyDescent="0.3">
      <c r="A40" s="4">
        <v>12</v>
      </c>
      <c r="B40" s="4">
        <v>-0.50050459312472229</v>
      </c>
      <c r="C40" s="4"/>
      <c r="D40" s="4">
        <v>-0.33769771681511951</v>
      </c>
      <c r="E40" s="4">
        <v>-0.77561557549640514</v>
      </c>
      <c r="G40" s="4">
        <v>10.36036036036036</v>
      </c>
      <c r="H40" s="4">
        <v>-1.0252308339347274</v>
      </c>
    </row>
    <row r="41" spans="1:8" x14ac:dyDescent="0.3">
      <c r="A41" s="4">
        <v>13</v>
      </c>
      <c r="B41" s="4">
        <v>-0.38728592929036854</v>
      </c>
      <c r="C41" s="4"/>
      <c r="D41" s="4">
        <v>-0.38857353931784466</v>
      </c>
      <c r="E41" s="4">
        <v>-0.89246587795464605</v>
      </c>
      <c r="G41" s="4">
        <v>11.261261261261261</v>
      </c>
      <c r="H41" s="4">
        <v>-0.96288799260309887</v>
      </c>
    </row>
    <row r="42" spans="1:8" x14ac:dyDescent="0.3">
      <c r="A42" s="4">
        <v>14</v>
      </c>
      <c r="B42" s="4">
        <v>-0.52026666107971176</v>
      </c>
      <c r="C42" s="4"/>
      <c r="D42" s="4">
        <v>-0.2867642281943158</v>
      </c>
      <c r="E42" s="4">
        <v>-0.65863282695655612</v>
      </c>
      <c r="G42" s="4">
        <v>12.162162162162161</v>
      </c>
      <c r="H42" s="4">
        <v>-0.90054515127147028</v>
      </c>
    </row>
    <row r="43" spans="1:8" x14ac:dyDescent="0.3">
      <c r="A43" s="4">
        <v>15</v>
      </c>
      <c r="B43" s="4">
        <v>-0.46063991710485264</v>
      </c>
      <c r="C43" s="4"/>
      <c r="D43" s="4">
        <v>-0.22170528950591772</v>
      </c>
      <c r="E43" s="4">
        <v>-0.50920710193866059</v>
      </c>
      <c r="G43" s="4">
        <v>13.063063063063064</v>
      </c>
      <c r="H43" s="4">
        <v>-0.90054515127147028</v>
      </c>
    </row>
    <row r="44" spans="1:8" x14ac:dyDescent="0.3">
      <c r="A44" s="4">
        <v>16</v>
      </c>
      <c r="B44" s="4">
        <v>-0.44862974461608884</v>
      </c>
      <c r="C44" s="4"/>
      <c r="D44" s="4">
        <v>-0.35840114465793871</v>
      </c>
      <c r="E44" s="4">
        <v>-0.82316668496940093</v>
      </c>
      <c r="G44" s="4">
        <v>13.963963963963964</v>
      </c>
      <c r="H44" s="4">
        <v>-0.90054515127147028</v>
      </c>
    </row>
    <row r="45" spans="1:8" x14ac:dyDescent="0.3">
      <c r="A45" s="4">
        <v>17</v>
      </c>
      <c r="B45" s="4">
        <v>7.925593320533672E-2</v>
      </c>
      <c r="C45" s="4"/>
      <c r="D45" s="4">
        <v>0.8281413141404208</v>
      </c>
      <c r="E45" s="4">
        <v>1.9020540263558381</v>
      </c>
      <c r="G45" s="4">
        <v>14.864864864864865</v>
      </c>
      <c r="H45" s="4">
        <v>-0.83820230993984179</v>
      </c>
    </row>
    <row r="46" spans="1:8" x14ac:dyDescent="0.3">
      <c r="A46" s="4">
        <v>18</v>
      </c>
      <c r="B46" s="4">
        <v>-0.93711821408343299</v>
      </c>
      <c r="C46" s="4"/>
      <c r="D46" s="4">
        <v>-8.8112619851294371E-2</v>
      </c>
      <c r="E46" s="4">
        <v>-0.20237483687777733</v>
      </c>
      <c r="G46" s="4">
        <v>15.765765765765765</v>
      </c>
      <c r="H46" s="4">
        <v>-0.83820230993984179</v>
      </c>
    </row>
    <row r="47" spans="1:8" x14ac:dyDescent="0.3">
      <c r="A47" s="4">
        <v>19</v>
      </c>
      <c r="B47" s="4">
        <v>-0.92032147026908051</v>
      </c>
      <c r="C47" s="4"/>
      <c r="D47" s="4">
        <v>-0.44779499098960396</v>
      </c>
      <c r="E47" s="4">
        <v>-1.0284842104246616</v>
      </c>
      <c r="G47" s="4">
        <v>16.666666666666668</v>
      </c>
      <c r="H47" s="4">
        <v>-0.83820230993984179</v>
      </c>
    </row>
    <row r="48" spans="1:8" x14ac:dyDescent="0.3">
      <c r="A48" s="4">
        <v>20</v>
      </c>
      <c r="B48" s="4">
        <v>-1.0292818570808961</v>
      </c>
      <c r="C48" s="4"/>
      <c r="D48" s="4">
        <v>-0.21414892151453113</v>
      </c>
      <c r="E48" s="4">
        <v>-0.49185182703903607</v>
      </c>
      <c r="G48" s="4">
        <v>17.567567567567568</v>
      </c>
      <c r="H48" s="4">
        <v>-0.83820230993984179</v>
      </c>
    </row>
    <row r="49" spans="1:8" x14ac:dyDescent="0.3">
      <c r="A49" s="4">
        <v>21</v>
      </c>
      <c r="B49" s="4">
        <v>-0.99839457759522088</v>
      </c>
      <c r="C49" s="4"/>
      <c r="D49" s="4">
        <v>-0.21386478033439216</v>
      </c>
      <c r="E49" s="4">
        <v>-0.49119921876251532</v>
      </c>
      <c r="G49" s="4">
        <v>18.468468468468469</v>
      </c>
      <c r="H49" s="4">
        <v>-0.83820230993984179</v>
      </c>
    </row>
    <row r="50" spans="1:8" x14ac:dyDescent="0.3">
      <c r="A50" s="4">
        <v>22</v>
      </c>
      <c r="B50" s="4">
        <v>-0.39045960509918665</v>
      </c>
      <c r="C50" s="4"/>
      <c r="D50" s="4">
        <v>-4.2514236185069609E-2</v>
      </c>
      <c r="E50" s="4">
        <v>-9.7645622471074112E-2</v>
      </c>
      <c r="G50" s="4">
        <v>19.36936936936937</v>
      </c>
      <c r="H50" s="4">
        <v>-0.83820230993984179</v>
      </c>
    </row>
    <row r="51" spans="1:8" x14ac:dyDescent="0.3">
      <c r="A51" s="4">
        <v>23</v>
      </c>
      <c r="B51" s="4">
        <v>-0.1710301117928755</v>
      </c>
      <c r="C51" s="4"/>
      <c r="D51" s="4">
        <v>-0.10608662616230938</v>
      </c>
      <c r="E51" s="4">
        <v>-0.2436570800044793</v>
      </c>
      <c r="G51" s="4">
        <v>20.27027027027027</v>
      </c>
      <c r="H51" s="4">
        <v>-0.80703088927402755</v>
      </c>
    </row>
    <row r="52" spans="1:8" x14ac:dyDescent="0.3">
      <c r="A52" s="4">
        <v>24</v>
      </c>
      <c r="B52" s="4">
        <v>-0.50829321261110616</v>
      </c>
      <c r="C52" s="4"/>
      <c r="D52" s="4">
        <v>-8.0537732002221474E-2</v>
      </c>
      <c r="E52" s="4">
        <v>-0.18497702603739216</v>
      </c>
      <c r="G52" s="4">
        <v>21.171171171171171</v>
      </c>
      <c r="H52" s="4">
        <v>-0.80703088927402755</v>
      </c>
    </row>
    <row r="53" spans="1:8" x14ac:dyDescent="0.3">
      <c r="A53" s="4">
        <v>25</v>
      </c>
      <c r="B53" s="4">
        <v>-0.28414459979313861</v>
      </c>
      <c r="C53" s="4"/>
      <c r="D53" s="4">
        <v>0.31874206849609649</v>
      </c>
      <c r="E53" s="4">
        <v>0.73207872183175438</v>
      </c>
      <c r="G53" s="4">
        <v>22.072072072072071</v>
      </c>
      <c r="H53" s="4">
        <v>-0.7758594686082132</v>
      </c>
    </row>
    <row r="54" spans="1:8" x14ac:dyDescent="0.3">
      <c r="A54" s="4">
        <v>26</v>
      </c>
      <c r="B54" s="4">
        <v>-0.39933282579929058</v>
      </c>
      <c r="C54" s="4"/>
      <c r="D54" s="4">
        <v>-3.3641015484965675E-2</v>
      </c>
      <c r="E54" s="4">
        <v>-7.7265833573698914E-2</v>
      </c>
      <c r="G54" s="4">
        <v>22.972972972972972</v>
      </c>
      <c r="H54" s="4">
        <v>-0.74468804794239896</v>
      </c>
    </row>
    <row r="55" spans="1:8" x14ac:dyDescent="0.3">
      <c r="A55" s="4">
        <v>27</v>
      </c>
      <c r="B55" s="4">
        <v>-0.1803581787557135</v>
      </c>
      <c r="C55" s="4"/>
      <c r="D55" s="4">
        <v>5.90985441296E-2</v>
      </c>
      <c r="E55" s="4">
        <v>0.13573604153555574</v>
      </c>
      <c r="G55" s="4">
        <v>23.873873873873872</v>
      </c>
      <c r="H55" s="4">
        <v>-0.71351662727658471</v>
      </c>
    </row>
    <row r="56" spans="1:8" x14ac:dyDescent="0.3">
      <c r="A56" s="4">
        <v>28</v>
      </c>
      <c r="B56" s="4">
        <v>-0.93711821408343299</v>
      </c>
      <c r="C56" s="4"/>
      <c r="D56" s="4">
        <v>-0.33748398517780853</v>
      </c>
      <c r="E56" s="4">
        <v>-0.77512468207717156</v>
      </c>
      <c r="G56" s="4">
        <v>24.774774774774777</v>
      </c>
      <c r="H56" s="4">
        <v>-0.71351662727658471</v>
      </c>
    </row>
    <row r="57" spans="1:8" x14ac:dyDescent="0.3">
      <c r="A57" s="4">
        <v>29</v>
      </c>
      <c r="B57" s="4">
        <v>-0.62084268228816053</v>
      </c>
      <c r="C57" s="4"/>
      <c r="D57" s="4">
        <v>0.78012583365437549</v>
      </c>
      <c r="E57" s="4">
        <v>1.7917732851025321</v>
      </c>
      <c r="G57" s="4">
        <v>25.675675675675677</v>
      </c>
      <c r="H57" s="4">
        <v>-0.71351662727658471</v>
      </c>
    </row>
    <row r="58" spans="1:8" x14ac:dyDescent="0.3">
      <c r="A58" s="4">
        <v>30</v>
      </c>
      <c r="B58" s="4">
        <v>-0.85228234808323555</v>
      </c>
      <c r="C58" s="4"/>
      <c r="D58" s="4">
        <v>1.4080038143393758E-2</v>
      </c>
      <c r="E58" s="4">
        <v>3.2338675519024827E-2</v>
      </c>
      <c r="G58" s="4">
        <v>26.576576576576578</v>
      </c>
      <c r="H58" s="4">
        <v>-0.71351662727658471</v>
      </c>
    </row>
    <row r="59" spans="1:8" x14ac:dyDescent="0.3">
      <c r="A59" s="4">
        <v>31</v>
      </c>
      <c r="B59" s="4">
        <v>-0.89993564358948908</v>
      </c>
      <c r="C59" s="4"/>
      <c r="D59" s="4">
        <v>0.18641901631290436</v>
      </c>
      <c r="E59" s="4">
        <v>0.42816248207021768</v>
      </c>
      <c r="G59" s="4">
        <v>27.477477477477478</v>
      </c>
      <c r="H59" s="4">
        <v>-0.68234520661077036</v>
      </c>
    </row>
    <row r="60" spans="1:8" x14ac:dyDescent="0.3">
      <c r="A60" s="4">
        <v>32</v>
      </c>
      <c r="B60" s="4">
        <v>-0.98902978661222463</v>
      </c>
      <c r="C60" s="4"/>
      <c r="D60" s="4">
        <v>8.8484635340754347E-2</v>
      </c>
      <c r="E60" s="4">
        <v>0.20322927264557686</v>
      </c>
      <c r="G60" s="4">
        <v>28.378378378378379</v>
      </c>
      <c r="H60" s="4">
        <v>-0.65117378594495612</v>
      </c>
    </row>
    <row r="61" spans="1:8" x14ac:dyDescent="0.3">
      <c r="A61" s="4">
        <v>33</v>
      </c>
      <c r="B61" s="4">
        <v>0.15723148987405669</v>
      </c>
      <c r="C61" s="4"/>
      <c r="D61" s="4">
        <v>1.248908488124729</v>
      </c>
      <c r="E61" s="4">
        <v>2.8684614302249769</v>
      </c>
      <c r="G61" s="4">
        <v>29.27927927927928</v>
      </c>
      <c r="H61" s="4">
        <v>-0.65117378594495612</v>
      </c>
    </row>
    <row r="62" spans="1:8" x14ac:dyDescent="0.3">
      <c r="A62" s="4">
        <v>34</v>
      </c>
      <c r="B62" s="4">
        <v>2.1521118932552161</v>
      </c>
      <c r="C62" s="4"/>
      <c r="D62" s="4">
        <v>-0.37191486726665901</v>
      </c>
      <c r="E62" s="4">
        <v>-0.85420466129069095</v>
      </c>
      <c r="G62" s="4">
        <v>30.18018018018018</v>
      </c>
      <c r="H62" s="4">
        <v>-0.65117378594495612</v>
      </c>
    </row>
    <row r="63" spans="1:8" x14ac:dyDescent="0.3">
      <c r="A63" s="4">
        <v>35</v>
      </c>
      <c r="B63" s="4">
        <v>-0.78375165561449833</v>
      </c>
      <c r="C63" s="4"/>
      <c r="D63" s="4">
        <v>1.3170918549704846</v>
      </c>
      <c r="E63" s="4">
        <v>3.0250632628168916</v>
      </c>
      <c r="G63" s="4">
        <v>31.081081081081081</v>
      </c>
      <c r="H63" s="4">
        <v>-0.58883094461332763</v>
      </c>
    </row>
    <row r="64" spans="1:8" x14ac:dyDescent="0.3">
      <c r="A64" s="4">
        <v>36</v>
      </c>
      <c r="B64" s="4">
        <v>1.3680256486994413</v>
      </c>
      <c r="C64" s="4"/>
      <c r="D64" s="4">
        <v>-8.6571353363912529E-2</v>
      </c>
      <c r="E64" s="4">
        <v>-0.19883489498868703</v>
      </c>
      <c r="G64" s="4">
        <v>31.981981981981981</v>
      </c>
      <c r="H64" s="4">
        <v>-0.58883094461332763</v>
      </c>
    </row>
    <row r="65" spans="1:8" x14ac:dyDescent="0.3">
      <c r="A65" s="4">
        <v>37</v>
      </c>
      <c r="B65" s="4">
        <v>2.570383326696736</v>
      </c>
      <c r="C65" s="4"/>
      <c r="D65" s="4">
        <v>-0.3537864113867788</v>
      </c>
      <c r="E65" s="4">
        <v>-0.81256768230029897</v>
      </c>
      <c r="G65" s="4">
        <v>32.882882882882889</v>
      </c>
      <c r="H65" s="4">
        <v>-0.58883094461332763</v>
      </c>
    </row>
    <row r="66" spans="1:8" x14ac:dyDescent="0.3">
      <c r="A66" s="4">
        <v>38</v>
      </c>
      <c r="B66" s="4">
        <v>1.649235697203487</v>
      </c>
      <c r="C66" s="4"/>
      <c r="D66" s="4">
        <v>0.34916127344577008</v>
      </c>
      <c r="E66" s="4">
        <v>0.80194478244862577</v>
      </c>
      <c r="G66" s="4">
        <v>33.78378378378379</v>
      </c>
      <c r="H66" s="4">
        <v>-0.58883094461332763</v>
      </c>
    </row>
    <row r="67" spans="1:8" x14ac:dyDescent="0.3">
      <c r="A67" s="4">
        <v>39</v>
      </c>
      <c r="B67" s="4">
        <v>1.1277127622042624</v>
      </c>
      <c r="C67" s="4"/>
      <c r="D67" s="4">
        <v>0.46545573978940902</v>
      </c>
      <c r="E67" s="4">
        <v>1.0690469716220006</v>
      </c>
      <c r="G67" s="4">
        <v>34.68468468468469</v>
      </c>
      <c r="H67" s="4">
        <v>-0.58883094461332763</v>
      </c>
    </row>
    <row r="68" spans="1:8" x14ac:dyDescent="0.3">
      <c r="A68" s="4">
        <v>40</v>
      </c>
      <c r="B68" s="4">
        <v>1.0685468607185216</v>
      </c>
      <c r="C68" s="4"/>
      <c r="D68" s="4">
        <v>-0.34817813736764969</v>
      </c>
      <c r="E68" s="4">
        <v>-0.7996867403682284</v>
      </c>
      <c r="G68" s="4">
        <v>35.585585585585591</v>
      </c>
      <c r="H68" s="4">
        <v>-0.58883094461332763</v>
      </c>
    </row>
    <row r="69" spans="1:8" x14ac:dyDescent="0.3">
      <c r="A69" s="4">
        <v>41</v>
      </c>
      <c r="B69" s="4">
        <v>-0.49614214026809345</v>
      </c>
      <c r="C69" s="4"/>
      <c r="D69" s="4">
        <v>3.1996878318022948E-2</v>
      </c>
      <c r="E69" s="4">
        <v>7.3489620909425971E-2</v>
      </c>
      <c r="G69" s="4">
        <v>36.486486486486491</v>
      </c>
      <c r="H69" s="4">
        <v>-0.56389380808067613</v>
      </c>
    </row>
    <row r="70" spans="1:8" x14ac:dyDescent="0.3">
      <c r="A70" s="4">
        <v>42</v>
      </c>
      <c r="B70" s="4">
        <v>-1.1397876875955499</v>
      </c>
      <c r="C70" s="4"/>
      <c r="D70" s="4">
        <v>5.2214012329193871E-2</v>
      </c>
      <c r="E70" s="4">
        <v>0.11992382300842049</v>
      </c>
      <c r="G70" s="4">
        <v>37.387387387387392</v>
      </c>
      <c r="H70" s="4">
        <v>-0.52648810328169904</v>
      </c>
    </row>
    <row r="71" spans="1:8" x14ac:dyDescent="0.3">
      <c r="A71" s="4">
        <v>43</v>
      </c>
      <c r="B71" s="4">
        <v>1.7116273897227692</v>
      </c>
      <c r="C71" s="4"/>
      <c r="D71" s="4">
        <v>0.22442673959485937</v>
      </c>
      <c r="E71" s="4">
        <v>0.51545765967658808</v>
      </c>
      <c r="G71" s="4">
        <v>38.288288288288292</v>
      </c>
      <c r="H71" s="4">
        <v>-0.52648810328169904</v>
      </c>
    </row>
    <row r="72" spans="1:8" x14ac:dyDescent="0.3">
      <c r="A72" s="4">
        <v>44</v>
      </c>
      <c r="B72" s="4">
        <v>9.4922640373271722E-2</v>
      </c>
      <c r="C72" s="4"/>
      <c r="D72" s="4">
        <v>-0.15383943366775668</v>
      </c>
      <c r="E72" s="4">
        <v>-0.35333452059903264</v>
      </c>
      <c r="G72" s="4">
        <v>39.189189189189193</v>
      </c>
      <c r="H72" s="4">
        <v>-0.48284811434955904</v>
      </c>
    </row>
    <row r="73" spans="1:8" x14ac:dyDescent="0.3">
      <c r="A73" s="4">
        <v>45</v>
      </c>
      <c r="B73" s="4">
        <v>0.4390893997198082</v>
      </c>
      <c r="C73" s="4"/>
      <c r="D73" s="4">
        <v>-0.34214908968522179</v>
      </c>
      <c r="E73" s="4">
        <v>-0.78583937612779531</v>
      </c>
      <c r="G73" s="4">
        <v>40.090090090090094</v>
      </c>
      <c r="H73" s="4">
        <v>-0.4641452619500705</v>
      </c>
    </row>
    <row r="74" spans="1:8" x14ac:dyDescent="0.3">
      <c r="A74" s="4">
        <v>46</v>
      </c>
      <c r="B74" s="4">
        <v>-1.1251465078527485E-2</v>
      </c>
      <c r="C74" s="4"/>
      <c r="D74" s="4">
        <v>-0.20352243154502883</v>
      </c>
      <c r="E74" s="4">
        <v>-0.46744517362445404</v>
      </c>
      <c r="G74" s="4">
        <v>40.990990990990994</v>
      </c>
      <c r="H74" s="4">
        <v>-0.43297384128425626</v>
      </c>
    </row>
    <row r="75" spans="1:8" x14ac:dyDescent="0.3">
      <c r="A75" s="4">
        <v>47</v>
      </c>
      <c r="B75" s="4">
        <v>-0.72980306909997616</v>
      </c>
      <c r="C75" s="4"/>
      <c r="D75" s="4">
        <v>0.14097212448664853</v>
      </c>
      <c r="E75" s="4">
        <v>0.3237812102902774</v>
      </c>
      <c r="G75" s="4">
        <v>41.891891891891895</v>
      </c>
      <c r="H75" s="4">
        <v>-0.43297384128425626</v>
      </c>
    </row>
    <row r="76" spans="1:8" x14ac:dyDescent="0.3">
      <c r="A76" s="4">
        <v>48</v>
      </c>
      <c r="B76" s="4">
        <v>-0.56438961412211941</v>
      </c>
      <c r="C76" s="4"/>
      <c r="D76" s="4">
        <v>-0.27381269581772238</v>
      </c>
      <c r="E76" s="4">
        <v>-0.6288860749424422</v>
      </c>
      <c r="G76" s="4">
        <v>42.792792792792795</v>
      </c>
      <c r="H76" s="4">
        <v>-0.43297384128425626</v>
      </c>
    </row>
    <row r="77" spans="1:8" x14ac:dyDescent="0.3">
      <c r="A77" s="4">
        <v>49</v>
      </c>
      <c r="B77" s="4">
        <v>0.34171506692779641</v>
      </c>
      <c r="C77" s="4"/>
      <c r="D77" s="4">
        <v>0.12928229109656125</v>
      </c>
      <c r="E77" s="4">
        <v>0.29693229659959508</v>
      </c>
      <c r="G77" s="4">
        <v>43.693693693693696</v>
      </c>
      <c r="H77" s="4">
        <v>-0.43297384128425626</v>
      </c>
    </row>
    <row r="78" spans="1:8" x14ac:dyDescent="0.3">
      <c r="A78" s="4">
        <v>50</v>
      </c>
      <c r="B78" s="4">
        <v>-0.37366286128483417</v>
      </c>
      <c r="C78" s="4"/>
      <c r="D78" s="4">
        <v>-0.27751092466012195</v>
      </c>
      <c r="E78" s="4">
        <v>-0.63738007341826108</v>
      </c>
      <c r="G78" s="4">
        <v>44.594594594594597</v>
      </c>
      <c r="H78" s="4">
        <v>-0.43297384128425626</v>
      </c>
    </row>
    <row r="79" spans="1:8" x14ac:dyDescent="0.3">
      <c r="A79" s="4">
        <v>51</v>
      </c>
      <c r="B79" s="4">
        <v>0.47469579871713968</v>
      </c>
      <c r="C79" s="4"/>
      <c r="D79" s="4">
        <v>-0.34658406801673902</v>
      </c>
      <c r="E79" s="4">
        <v>-0.7960255221975866</v>
      </c>
      <c r="G79" s="4">
        <v>45.495495495495497</v>
      </c>
      <c r="H79" s="4">
        <v>-0.43297384128425626</v>
      </c>
    </row>
    <row r="80" spans="1:8" x14ac:dyDescent="0.3">
      <c r="A80" s="4">
        <v>52</v>
      </c>
      <c r="B80" s="4">
        <v>-0.73821544731096178</v>
      </c>
      <c r="C80" s="4"/>
      <c r="D80" s="4">
        <v>-9.9986862628880013E-2</v>
      </c>
      <c r="E80" s="4">
        <v>-0.22964729738589282</v>
      </c>
      <c r="G80" s="4">
        <v>46.396396396396398</v>
      </c>
      <c r="H80" s="4">
        <v>-0.33945957928681342</v>
      </c>
    </row>
    <row r="81" spans="1:8" x14ac:dyDescent="0.3">
      <c r="A81" s="4">
        <v>53</v>
      </c>
      <c r="B81" s="4">
        <v>1.3675340784165491</v>
      </c>
      <c r="C81" s="4"/>
      <c r="D81" s="4">
        <v>6.9777320248051167E-2</v>
      </c>
      <c r="E81" s="4">
        <v>0.16026278445470993</v>
      </c>
      <c r="G81" s="4">
        <v>47.297297297297298</v>
      </c>
      <c r="H81" s="4">
        <v>-0.33945957928681342</v>
      </c>
    </row>
    <row r="82" spans="1:8" x14ac:dyDescent="0.3">
      <c r="A82" s="4">
        <v>54</v>
      </c>
      <c r="B82" s="4">
        <v>1.4948432779222254</v>
      </c>
      <c r="C82" s="4"/>
      <c r="D82" s="4">
        <v>9.832522407144606E-2</v>
      </c>
      <c r="E82" s="4">
        <v>0.22583088797055548</v>
      </c>
      <c r="G82" s="4">
        <v>48.198198198198199</v>
      </c>
      <c r="H82" s="4">
        <v>-0.30828815862099912</v>
      </c>
    </row>
    <row r="83" spans="1:8" x14ac:dyDescent="0.3">
      <c r="A83" s="4">
        <v>55</v>
      </c>
      <c r="B83" s="4">
        <v>-8.3548864286910524E-2</v>
      </c>
      <c r="C83" s="4"/>
      <c r="D83" s="4">
        <v>-6.5393496733887058E-3</v>
      </c>
      <c r="E83" s="4">
        <v>-1.5019412947569338E-2</v>
      </c>
      <c r="G83" s="4">
        <v>49.099099099099107</v>
      </c>
      <c r="H83" s="4">
        <v>-0.27711673795518488</v>
      </c>
    </row>
    <row r="84" spans="1:8" x14ac:dyDescent="0.3">
      <c r="A84" s="4">
        <v>56</v>
      </c>
      <c r="B84" s="4">
        <v>-0.4065871547562398</v>
      </c>
      <c r="C84" s="4"/>
      <c r="D84" s="4">
        <v>0.12947041680105492</v>
      </c>
      <c r="E84" s="4">
        <v>0.29736437895991613</v>
      </c>
      <c r="G84" s="4">
        <v>50.000000000000007</v>
      </c>
      <c r="H84" s="4">
        <v>-0.27711673795518488</v>
      </c>
    </row>
    <row r="85" spans="1:8" x14ac:dyDescent="0.3">
      <c r="A85" s="4">
        <v>57</v>
      </c>
      <c r="B85" s="4">
        <v>-0.54491076478184119</v>
      </c>
      <c r="C85" s="4"/>
      <c r="D85" s="4">
        <v>-0.16860586249474352</v>
      </c>
      <c r="E85" s="4">
        <v>-0.38724968088109152</v>
      </c>
      <c r="G85" s="4">
        <v>50.900900900900908</v>
      </c>
      <c r="H85" s="4">
        <v>-0.27711673795518488</v>
      </c>
    </row>
    <row r="86" spans="1:8" x14ac:dyDescent="0.3">
      <c r="A86" s="4">
        <v>58</v>
      </c>
      <c r="B86" s="4">
        <v>-0.31970764959364184</v>
      </c>
      <c r="C86" s="4"/>
      <c r="D86" s="4">
        <v>-0.11326619169061442</v>
      </c>
      <c r="E86" s="4">
        <v>-0.2601469245363543</v>
      </c>
      <c r="G86" s="4">
        <v>51.801801801801808</v>
      </c>
      <c r="H86" s="4">
        <v>-0.27711673795518488</v>
      </c>
    </row>
    <row r="87" spans="1:8" x14ac:dyDescent="0.3">
      <c r="A87" s="4">
        <v>59</v>
      </c>
      <c r="B87" s="4">
        <v>5.6759644499698447E-2</v>
      </c>
      <c r="C87" s="4"/>
      <c r="D87" s="4">
        <v>-0.4897334857839547</v>
      </c>
      <c r="E87" s="4">
        <v>-1.124807484630219</v>
      </c>
      <c r="G87" s="4">
        <v>52.702702702702709</v>
      </c>
      <c r="H87" s="4">
        <v>-0.27711673795518488</v>
      </c>
    </row>
    <row r="88" spans="1:8" x14ac:dyDescent="0.3">
      <c r="A88" s="4">
        <v>60</v>
      </c>
      <c r="B88" s="4">
        <v>-0.57375440510511566</v>
      </c>
      <c r="C88" s="4"/>
      <c r="D88" s="4">
        <v>0.29663766714993078</v>
      </c>
      <c r="E88" s="4">
        <v>0.68130989184734558</v>
      </c>
      <c r="G88" s="4">
        <v>53.603603603603609</v>
      </c>
      <c r="H88" s="4">
        <v>-0.27711673795518488</v>
      </c>
    </row>
    <row r="89" spans="1:8" x14ac:dyDescent="0.3">
      <c r="A89" s="4">
        <v>61</v>
      </c>
      <c r="B89" s="4">
        <v>1.2712163342306384</v>
      </c>
      <c r="C89" s="4"/>
      <c r="D89" s="4">
        <v>-0.14561914222418104</v>
      </c>
      <c r="E89" s="4">
        <v>-0.33445436310525939</v>
      </c>
      <c r="G89" s="4">
        <v>54.50450450450451</v>
      </c>
      <c r="H89" s="4">
        <v>-0.21477389662355631</v>
      </c>
    </row>
    <row r="90" spans="1:8" x14ac:dyDescent="0.3">
      <c r="A90" s="4">
        <v>62</v>
      </c>
      <c r="B90" s="4">
        <v>1.1460549497214532</v>
      </c>
      <c r="C90" s="4"/>
      <c r="D90" s="4">
        <v>-2.0457757714995806E-2</v>
      </c>
      <c r="E90" s="4">
        <v>-4.6986860536488158E-2</v>
      </c>
      <c r="G90" s="4">
        <v>55.405405405405411</v>
      </c>
      <c r="H90" s="4">
        <v>-0.21477389662355631</v>
      </c>
    </row>
    <row r="91" spans="1:8" x14ac:dyDescent="0.3">
      <c r="A91" s="4">
        <v>63</v>
      </c>
      <c r="B91" s="4">
        <v>-0.7480410807830763</v>
      </c>
      <c r="C91" s="4"/>
      <c r="D91" s="4">
        <v>0.22155297750137726</v>
      </c>
      <c r="E91" s="4">
        <v>0.5088572755786519</v>
      </c>
      <c r="G91" s="4">
        <v>56.306306306306311</v>
      </c>
      <c r="H91" s="4">
        <v>-0.15243105529192777</v>
      </c>
    </row>
    <row r="92" spans="1:8" x14ac:dyDescent="0.3">
      <c r="A92" s="4">
        <v>64</v>
      </c>
      <c r="B92" s="4">
        <v>2.9461447879262137E-2</v>
      </c>
      <c r="C92" s="4"/>
      <c r="D92" s="4">
        <v>-0.30657818583444701</v>
      </c>
      <c r="E92" s="4">
        <v>-0.70414102376300747</v>
      </c>
      <c r="G92" s="4">
        <v>57.207207207207212</v>
      </c>
      <c r="H92" s="4">
        <v>-0.15243105529192777</v>
      </c>
    </row>
    <row r="93" spans="1:8" x14ac:dyDescent="0.3">
      <c r="A93" s="4">
        <v>65</v>
      </c>
      <c r="B93" s="4">
        <v>-0.83605062259209184</v>
      </c>
      <c r="C93" s="4"/>
      <c r="D93" s="4">
        <v>9.1362574649692885E-2</v>
      </c>
      <c r="E93" s="4">
        <v>0.20983925086633026</v>
      </c>
      <c r="G93" s="4">
        <v>58.108108108108112</v>
      </c>
      <c r="H93" s="4">
        <v>-0.1212596346261135</v>
      </c>
    </row>
    <row r="94" spans="1:8" x14ac:dyDescent="0.3">
      <c r="A94" s="4">
        <v>66</v>
      </c>
      <c r="B94" s="4">
        <v>-0.99793373510610273</v>
      </c>
      <c r="C94" s="4"/>
      <c r="D94" s="4">
        <v>-0.21432562282351031</v>
      </c>
      <c r="E94" s="4">
        <v>-0.49225767013666616</v>
      </c>
      <c r="G94" s="4">
        <v>59.009009009009013</v>
      </c>
      <c r="H94" s="4">
        <v>-0.1212596346261135</v>
      </c>
    </row>
    <row r="95" spans="1:8" x14ac:dyDescent="0.3">
      <c r="A95" s="4">
        <v>67</v>
      </c>
      <c r="B95" s="4">
        <v>-0.80413748229408966</v>
      </c>
      <c r="C95" s="4"/>
      <c r="D95" s="4">
        <v>-9.6407668977380623E-2</v>
      </c>
      <c r="E95" s="4">
        <v>-0.22142669592609496</v>
      </c>
      <c r="G95" s="4">
        <v>59.909909909909913</v>
      </c>
      <c r="H95" s="4">
        <v>-9.0088213960299229E-2</v>
      </c>
    </row>
    <row r="96" spans="1:8" x14ac:dyDescent="0.3">
      <c r="A96" s="4">
        <v>68</v>
      </c>
      <c r="B96" s="4">
        <v>-0.82815782727161735</v>
      </c>
      <c r="C96" s="4"/>
      <c r="D96" s="4">
        <v>-0.13473016533148152</v>
      </c>
      <c r="E96" s="4">
        <v>-0.30944483636385722</v>
      </c>
      <c r="G96" s="4">
        <v>60.810810810810814</v>
      </c>
      <c r="H96" s="4">
        <v>-5.8916793294484952E-2</v>
      </c>
    </row>
    <row r="97" spans="1:8" x14ac:dyDescent="0.3">
      <c r="A97" s="4">
        <v>69</v>
      </c>
      <c r="B97" s="4">
        <v>-0.97698289010330264</v>
      </c>
      <c r="C97" s="4"/>
      <c r="D97" s="4">
        <v>-0.2352764678263104</v>
      </c>
      <c r="E97" s="4">
        <v>-0.54037704108544615</v>
      </c>
      <c r="G97" s="4">
        <v>61.711711711711715</v>
      </c>
      <c r="H97" s="4">
        <v>3.4597468702957865E-2</v>
      </c>
    </row>
    <row r="98" spans="1:8" x14ac:dyDescent="0.3">
      <c r="A98" s="4">
        <v>70</v>
      </c>
      <c r="B98" s="4">
        <v>-1.0219540800836304</v>
      </c>
      <c r="C98" s="4"/>
      <c r="D98" s="4">
        <v>-0.22147669851179685</v>
      </c>
      <c r="E98" s="4">
        <v>-0.50868207992450398</v>
      </c>
      <c r="G98" s="4">
        <v>62.612612612612615</v>
      </c>
      <c r="H98" s="4">
        <v>3.4597468702957865E-2</v>
      </c>
    </row>
    <row r="99" spans="1:8" x14ac:dyDescent="0.3">
      <c r="A99" s="4">
        <v>71</v>
      </c>
      <c r="B99" s="4">
        <v>-0.37995815229310287</v>
      </c>
      <c r="C99" s="4"/>
      <c r="D99" s="4">
        <v>0.88212693098327488</v>
      </c>
      <c r="E99" s="4">
        <v>2.0260468258067816</v>
      </c>
      <c r="G99" s="4">
        <v>63.513513513513516</v>
      </c>
      <c r="H99" s="4">
        <v>9.6940310034586405E-2</v>
      </c>
    </row>
    <row r="100" spans="1:8" x14ac:dyDescent="0.3">
      <c r="A100" s="4">
        <v>72</v>
      </c>
      <c r="B100" s="4">
        <v>-0.41130627426789618</v>
      </c>
      <c r="C100" s="4"/>
      <c r="D100" s="4">
        <v>0.53941800496829684</v>
      </c>
      <c r="E100" s="4">
        <v>1.2389216317552443</v>
      </c>
      <c r="G100" s="4">
        <v>64.414414414414409</v>
      </c>
      <c r="H100" s="4">
        <v>0.12811173070040069</v>
      </c>
    </row>
    <row r="101" spans="1:8" x14ac:dyDescent="0.3">
      <c r="A101" s="4">
        <v>73</v>
      </c>
      <c r="B101" s="4">
        <v>0.77417458669805972</v>
      </c>
      <c r="C101" s="4"/>
      <c r="D101" s="4">
        <v>-0.42786291133695914</v>
      </c>
      <c r="E101" s="4">
        <v>-0.98270471396721304</v>
      </c>
      <c r="G101" s="4">
        <v>65.315315315315317</v>
      </c>
      <c r="H101" s="4">
        <v>0.12811173070040069</v>
      </c>
    </row>
    <row r="102" spans="1:8" x14ac:dyDescent="0.3">
      <c r="A102" s="4">
        <v>74</v>
      </c>
      <c r="B102" s="4">
        <v>1.4618389112338332</v>
      </c>
      <c r="C102" s="4"/>
      <c r="D102" s="4">
        <v>1.0664722107342663</v>
      </c>
      <c r="E102" s="4">
        <v>2.4494464021870668</v>
      </c>
      <c r="G102" s="4">
        <v>66.21621621621621</v>
      </c>
      <c r="H102" s="4">
        <v>0.15928315136621496</v>
      </c>
    </row>
    <row r="103" spans="1:8" x14ac:dyDescent="0.3">
      <c r="A103" s="4">
        <v>75</v>
      </c>
      <c r="B103" s="4">
        <v>1.4858592562113608</v>
      </c>
      <c r="C103" s="4"/>
      <c r="D103" s="4">
        <v>0.57488055576952468</v>
      </c>
      <c r="E103" s="4">
        <v>1.3203711215761165</v>
      </c>
      <c r="G103" s="4">
        <v>67.117117117117118</v>
      </c>
      <c r="H103" s="4">
        <v>0.19045457203202923</v>
      </c>
    </row>
    <row r="104" spans="1:8" x14ac:dyDescent="0.3">
      <c r="A104" s="4">
        <v>76</v>
      </c>
      <c r="B104" s="4">
        <v>1.4618389112338332</v>
      </c>
      <c r="C104" s="4"/>
      <c r="D104" s="4">
        <v>1.3781864173924092</v>
      </c>
      <c r="E104" s="4">
        <v>3.1653837086863099</v>
      </c>
      <c r="G104" s="4">
        <v>68.018018018018012</v>
      </c>
      <c r="H104" s="4">
        <v>0.19045457203202923</v>
      </c>
    </row>
    <row r="105" spans="1:8" x14ac:dyDescent="0.3">
      <c r="A105" s="4">
        <v>77</v>
      </c>
      <c r="B105" s="4">
        <v>-0.42338389857059244</v>
      </c>
      <c r="C105" s="4"/>
      <c r="D105" s="4">
        <v>8.3924319283779025E-2</v>
      </c>
      <c r="E105" s="4">
        <v>0.19275525405778507</v>
      </c>
      <c r="G105" s="4">
        <v>68.918918918918919</v>
      </c>
      <c r="H105" s="4">
        <v>0.19045457203202923</v>
      </c>
    </row>
    <row r="106" spans="1:8" x14ac:dyDescent="0.3">
      <c r="A106" s="4">
        <v>78</v>
      </c>
      <c r="B106" s="4">
        <v>-0.68364310207183787</v>
      </c>
      <c r="C106" s="4"/>
      <c r="D106" s="4">
        <v>0.15715499879013883</v>
      </c>
      <c r="E106" s="4">
        <v>0.36094962672040487</v>
      </c>
      <c r="G106" s="4">
        <v>69.819819819819813</v>
      </c>
      <c r="H106" s="4">
        <v>0.34631167536110058</v>
      </c>
    </row>
    <row r="107" spans="1:8" x14ac:dyDescent="0.3">
      <c r="A107" s="4">
        <v>79</v>
      </c>
      <c r="B107" s="4">
        <v>6.9891142222340469E-2</v>
      </c>
      <c r="C107" s="4"/>
      <c r="D107" s="4">
        <v>0.12056342980968876</v>
      </c>
      <c r="E107" s="4">
        <v>0.27690703649873033</v>
      </c>
      <c r="G107" s="4">
        <v>70.72072072072072</v>
      </c>
      <c r="H107" s="4">
        <v>0.34631167536110058</v>
      </c>
    </row>
    <row r="108" spans="1:8" x14ac:dyDescent="0.3">
      <c r="A108" s="4">
        <v>80</v>
      </c>
      <c r="B108" s="4">
        <v>-0.90580681612879776</v>
      </c>
      <c r="C108" s="4"/>
      <c r="D108" s="4">
        <v>0.25463303018384165</v>
      </c>
      <c r="E108" s="4">
        <v>0.58483470397449666</v>
      </c>
      <c r="G108" s="4">
        <v>71.621621621621614</v>
      </c>
      <c r="H108" s="4">
        <v>0.34631167536110058</v>
      </c>
    </row>
    <row r="109" spans="1:8" x14ac:dyDescent="0.3">
      <c r="A109" s="4">
        <v>81</v>
      </c>
      <c r="B109" s="4">
        <v>-0.41187129259110489</v>
      </c>
      <c r="C109" s="4"/>
      <c r="D109" s="4">
        <v>1.9925712263184505</v>
      </c>
      <c r="E109" s="4">
        <v>4.5764871998369649</v>
      </c>
      <c r="G109" s="4">
        <v>72.522522522522522</v>
      </c>
      <c r="H109" s="4">
        <v>0.34631167536110058</v>
      </c>
    </row>
    <row r="110" spans="1:8" x14ac:dyDescent="0.3">
      <c r="A110" s="4">
        <v>82</v>
      </c>
      <c r="B110" s="4">
        <v>-0.56002716126549079</v>
      </c>
      <c r="C110" s="4"/>
      <c r="D110" s="4">
        <v>-2.8803783347836842E-2</v>
      </c>
      <c r="E110" s="4">
        <v>-6.6155801136307826E-2</v>
      </c>
      <c r="G110" s="4">
        <v>73.423423423423415</v>
      </c>
      <c r="H110" s="4">
        <v>0.34631167536110058</v>
      </c>
    </row>
    <row r="111" spans="1:8" x14ac:dyDescent="0.3">
      <c r="A111" s="4">
        <v>83</v>
      </c>
      <c r="B111" s="4">
        <v>-0.40148064079578166</v>
      </c>
      <c r="C111" s="4"/>
      <c r="D111" s="4">
        <v>-0.18735030381754597</v>
      </c>
      <c r="E111" s="4">
        <v>-0.43030143965831608</v>
      </c>
      <c r="G111" s="4">
        <v>74.324324324324323</v>
      </c>
      <c r="H111" s="4">
        <v>0.40865451669272912</v>
      </c>
    </row>
    <row r="112" spans="1:8" x14ac:dyDescent="0.3">
      <c r="A112" s="4">
        <v>84</v>
      </c>
      <c r="B112" s="4">
        <v>1.0518542927382595</v>
      </c>
      <c r="C112" s="4"/>
      <c r="D112" s="4">
        <v>-8.2114204060873441E-2</v>
      </c>
      <c r="E112" s="4">
        <v>-0.18859782719221538</v>
      </c>
      <c r="G112" s="4">
        <v>75.225225225225216</v>
      </c>
      <c r="H112" s="4">
        <v>0.47099735802435766</v>
      </c>
    </row>
    <row r="113" spans="1:8" x14ac:dyDescent="0.3">
      <c r="A113" s="4">
        <v>85</v>
      </c>
      <c r="B113" s="4">
        <v>0.51441957488276058</v>
      </c>
      <c r="C113" s="4"/>
      <c r="D113" s="4">
        <v>-0.66685063017468837</v>
      </c>
      <c r="E113" s="4">
        <v>-1.5316056625169465</v>
      </c>
      <c r="G113" s="4">
        <v>76.126126126126124</v>
      </c>
      <c r="H113" s="4">
        <v>0.50216877869017196</v>
      </c>
    </row>
    <row r="114" spans="1:8" x14ac:dyDescent="0.3">
      <c r="A114" s="4">
        <v>86</v>
      </c>
      <c r="B114" s="4">
        <v>-0.74649563708023814</v>
      </c>
      <c r="C114" s="4"/>
      <c r="D114" s="4">
        <v>9.5321851135282021E-2</v>
      </c>
      <c r="E114" s="4">
        <v>0.21893281696704756</v>
      </c>
      <c r="G114" s="4">
        <v>77.027027027027017</v>
      </c>
      <c r="H114" s="4">
        <v>0.5333401993559862</v>
      </c>
    </row>
    <row r="115" spans="1:8" x14ac:dyDescent="0.3">
      <c r="A115" s="4">
        <v>87</v>
      </c>
      <c r="B115" s="4">
        <v>7.2499799707949883E-2</v>
      </c>
      <c r="C115" s="4"/>
      <c r="D115" s="4">
        <v>-0.38078795832894902</v>
      </c>
      <c r="E115" s="4">
        <v>-0.87458415243921372</v>
      </c>
      <c r="G115" s="4">
        <v>77.927927927927925</v>
      </c>
      <c r="H115" s="4">
        <v>0.65802588201924328</v>
      </c>
    </row>
    <row r="116" spans="1:8" x14ac:dyDescent="0.3">
      <c r="A116" s="4">
        <v>88</v>
      </c>
      <c r="B116" s="4">
        <v>-0.16848890612119843</v>
      </c>
      <c r="C116" s="4"/>
      <c r="D116" s="4">
        <v>-0.10862783183398644</v>
      </c>
      <c r="E116" s="4">
        <v>-0.24949365692327324</v>
      </c>
      <c r="G116" s="4">
        <v>78.828828828828833</v>
      </c>
      <c r="H116" s="4">
        <v>0.72036872335087188</v>
      </c>
    </row>
    <row r="117" spans="1:8" x14ac:dyDescent="0.3">
      <c r="A117" s="4">
        <v>89</v>
      </c>
      <c r="B117" s="4">
        <v>-0.29819178626763299</v>
      </c>
      <c r="C117" s="4"/>
      <c r="D117" s="4">
        <v>-0.13478205501662327</v>
      </c>
      <c r="E117" s="4">
        <v>-0.30956401528038385</v>
      </c>
      <c r="G117" s="4">
        <v>79.729729729729726</v>
      </c>
      <c r="H117" s="4">
        <v>0.8762258266799432</v>
      </c>
    </row>
    <row r="118" spans="1:8" x14ac:dyDescent="0.3">
      <c r="A118" s="4">
        <v>90</v>
      </c>
      <c r="B118" s="4">
        <v>-0.74332196127141992</v>
      </c>
      <c r="C118" s="4"/>
      <c r="D118" s="4">
        <v>0.17942815319074379</v>
      </c>
      <c r="E118" s="4">
        <v>0.41210604445243038</v>
      </c>
      <c r="G118" s="4">
        <v>80.630630630630634</v>
      </c>
      <c r="H118" s="4">
        <v>0.8762258266799432</v>
      </c>
    </row>
    <row r="119" spans="1:8" x14ac:dyDescent="0.3">
      <c r="A119" s="4">
        <v>91</v>
      </c>
      <c r="B119" s="4">
        <v>2.6672660892058557</v>
      </c>
      <c r="C119" s="4"/>
      <c r="D119" s="4">
        <v>0.4844734460785296</v>
      </c>
      <c r="E119" s="4">
        <v>1.1127263584629052</v>
      </c>
      <c r="G119" s="4">
        <v>81.531531531531527</v>
      </c>
      <c r="H119" s="4">
        <v>0.90739724734575755</v>
      </c>
    </row>
    <row r="120" spans="1:8" x14ac:dyDescent="0.3">
      <c r="A120" s="4">
        <v>92</v>
      </c>
      <c r="B120" s="4">
        <v>1.9624483542007023</v>
      </c>
      <c r="C120" s="4"/>
      <c r="D120" s="4">
        <v>6.712003711436898E-2</v>
      </c>
      <c r="E120" s="4">
        <v>0.1541596037568192</v>
      </c>
      <c r="G120" s="4">
        <v>82.432432432432435</v>
      </c>
      <c r="H120" s="4">
        <v>0.96974008867738604</v>
      </c>
    </row>
    <row r="121" spans="1:8" x14ac:dyDescent="0.3">
      <c r="A121" s="4">
        <v>93</v>
      </c>
      <c r="B121" s="4">
        <v>9.0756211996707789E-3</v>
      </c>
      <c r="C121" s="4"/>
      <c r="D121" s="4">
        <v>-0.28619235915485564</v>
      </c>
      <c r="E121" s="4">
        <v>-0.65731937260947704</v>
      </c>
      <c r="G121" s="4">
        <v>83.333333333333329</v>
      </c>
      <c r="H121" s="4">
        <v>0.96974008867738604</v>
      </c>
    </row>
    <row r="122" spans="1:8" x14ac:dyDescent="0.3">
      <c r="A122" s="4">
        <v>94</v>
      </c>
      <c r="B122" s="4">
        <v>1.9095777437232295</v>
      </c>
      <c r="C122" s="4"/>
      <c r="D122" s="4">
        <v>-0.34758066239537233</v>
      </c>
      <c r="E122" s="4">
        <v>-0.79831447496223717</v>
      </c>
      <c r="G122" s="4">
        <v>84.234234234234236</v>
      </c>
      <c r="H122" s="4">
        <v>1.1255971920064574</v>
      </c>
    </row>
    <row r="123" spans="1:8" x14ac:dyDescent="0.3">
      <c r="A123" s="4">
        <v>95</v>
      </c>
      <c r="B123" s="4">
        <v>-0.3756998752705647</v>
      </c>
      <c r="C123" s="4"/>
      <c r="D123" s="4">
        <v>-0.33781675200602002</v>
      </c>
      <c r="E123" s="4">
        <v>-0.77588897251242683</v>
      </c>
      <c r="G123" s="4">
        <v>85.13513513513513</v>
      </c>
      <c r="H123" s="4">
        <v>1.1255971920064574</v>
      </c>
    </row>
    <row r="124" spans="1:8" x14ac:dyDescent="0.3">
      <c r="A124" s="4">
        <v>96</v>
      </c>
      <c r="B124" s="4">
        <v>-0.30397411956206055</v>
      </c>
      <c r="C124" s="4"/>
      <c r="D124" s="4">
        <v>8.9200222938504242E-2</v>
      </c>
      <c r="E124" s="4">
        <v>0.20487281614264685</v>
      </c>
      <c r="G124" s="4">
        <v>86.036036036036037</v>
      </c>
      <c r="H124" s="4">
        <v>1.2814542953355288</v>
      </c>
    </row>
    <row r="125" spans="1:8" x14ac:dyDescent="0.3">
      <c r="A125" s="4">
        <v>97</v>
      </c>
      <c r="B125" s="4">
        <v>-0.97427005678360268</v>
      </c>
      <c r="C125" s="4"/>
      <c r="D125" s="4">
        <v>0.54129621549934637</v>
      </c>
      <c r="E125" s="4">
        <v>1.2432354582024066</v>
      </c>
      <c r="G125" s="4">
        <v>86.936936936936931</v>
      </c>
      <c r="H125" s="4">
        <v>1.4061399779987858</v>
      </c>
    </row>
    <row r="126" spans="1:8" x14ac:dyDescent="0.3">
      <c r="A126" s="4">
        <v>98</v>
      </c>
      <c r="B126" s="4">
        <v>-0.9815978337808684</v>
      </c>
      <c r="C126" s="4"/>
      <c r="D126" s="4">
        <v>0.49874971943130936</v>
      </c>
      <c r="E126" s="4">
        <v>1.1455157420479958</v>
      </c>
      <c r="G126" s="4">
        <v>87.837837837837839</v>
      </c>
      <c r="H126" s="4">
        <v>1.4373113986646002</v>
      </c>
    </row>
    <row r="127" spans="1:8" x14ac:dyDescent="0.3">
      <c r="A127" s="4">
        <v>99</v>
      </c>
      <c r="B127" s="4">
        <v>0.18300563022260366</v>
      </c>
      <c r="C127" s="4"/>
      <c r="D127" s="4">
        <v>-0.14840816151964581</v>
      </c>
      <c r="E127" s="4">
        <v>-0.34086011208788214</v>
      </c>
      <c r="G127" s="4">
        <v>88.738738738738732</v>
      </c>
      <c r="H127" s="4">
        <v>1.5619970813278572</v>
      </c>
    </row>
    <row r="128" spans="1:8" x14ac:dyDescent="0.3">
      <c r="A128" s="4">
        <v>100</v>
      </c>
      <c r="B128" s="4">
        <v>-0.44077367331577244</v>
      </c>
      <c r="C128" s="4"/>
      <c r="D128" s="4">
        <v>-0.39742863662406935</v>
      </c>
      <c r="E128" s="4">
        <v>-0.91280404149930594</v>
      </c>
      <c r="G128" s="4">
        <v>89.63963963963964</v>
      </c>
      <c r="H128" s="4">
        <v>1.5806999337273457</v>
      </c>
    </row>
    <row r="129" spans="1:8" x14ac:dyDescent="0.3">
      <c r="A129" s="4">
        <v>101</v>
      </c>
      <c r="B129" s="4">
        <v>0.73653117371499766</v>
      </c>
      <c r="C129" s="4"/>
      <c r="D129" s="4">
        <v>-0.88896222900692545</v>
      </c>
      <c r="E129" s="4">
        <v>-2.0417459654406032</v>
      </c>
      <c r="G129" s="4">
        <v>90.540540540540533</v>
      </c>
      <c r="H129" s="4">
        <v>1.5931685019936714</v>
      </c>
    </row>
    <row r="130" spans="1:8" x14ac:dyDescent="0.3">
      <c r="A130" s="4">
        <v>102</v>
      </c>
      <c r="B130" s="4">
        <v>0.74078945073753577</v>
      </c>
      <c r="C130" s="4"/>
      <c r="D130" s="4">
        <v>0.13543637594240743</v>
      </c>
      <c r="E130" s="4">
        <v>0.31106684303473692</v>
      </c>
      <c r="G130" s="4">
        <v>91.441441441441441</v>
      </c>
      <c r="H130" s="4">
        <v>1.5931685019936714</v>
      </c>
    </row>
    <row r="131" spans="1:8" x14ac:dyDescent="0.3">
      <c r="A131" s="4">
        <v>103</v>
      </c>
      <c r="B131" s="4">
        <v>0.87531562622971715</v>
      </c>
      <c r="C131" s="4"/>
      <c r="D131" s="4">
        <v>9.1020045022605078E-4</v>
      </c>
      <c r="E131" s="4">
        <v>2.0905253748152012E-3</v>
      </c>
      <c r="G131" s="4">
        <v>92.342342342342334</v>
      </c>
      <c r="H131" s="4">
        <v>1.7801970259885571</v>
      </c>
    </row>
    <row r="132" spans="1:8" x14ac:dyDescent="0.3">
      <c r="A132" s="4">
        <v>104</v>
      </c>
      <c r="B132" s="4">
        <v>-0.77160058327148573</v>
      </c>
      <c r="C132" s="4"/>
      <c r="D132" s="4">
        <v>-0.34714451266068458</v>
      </c>
      <c r="E132" s="4">
        <v>-0.79731273728197438</v>
      </c>
      <c r="G132" s="4">
        <v>93.243243243243242</v>
      </c>
      <c r="H132" s="4">
        <v>1.9360541293176285</v>
      </c>
    </row>
    <row r="133" spans="1:8" x14ac:dyDescent="0.3">
      <c r="A133" s="4">
        <v>105</v>
      </c>
      <c r="B133" s="4">
        <v>0.60355044192565432</v>
      </c>
      <c r="C133" s="4"/>
      <c r="D133" s="4">
        <v>-0.25723876656455374</v>
      </c>
      <c r="E133" s="4">
        <v>-0.5908194933937998</v>
      </c>
      <c r="G133" s="4">
        <v>94.144144144144136</v>
      </c>
      <c r="H133" s="4">
        <v>1.998396970649257</v>
      </c>
    </row>
    <row r="134" spans="1:8" x14ac:dyDescent="0.3">
      <c r="A134" s="4">
        <v>106</v>
      </c>
      <c r="B134" s="4">
        <v>-0.83287694678327362</v>
      </c>
      <c r="C134" s="4"/>
      <c r="D134" s="4">
        <v>0.11936031950668891</v>
      </c>
      <c r="E134" s="4">
        <v>0.27414376318184924</v>
      </c>
      <c r="G134" s="4">
        <v>95.045045045045043</v>
      </c>
      <c r="H134" s="4">
        <v>2.0295683913150713</v>
      </c>
    </row>
    <row r="135" spans="1:8" x14ac:dyDescent="0.3">
      <c r="A135" s="4">
        <v>107</v>
      </c>
      <c r="B135" s="4">
        <v>1.387400322205629</v>
      </c>
      <c r="C135" s="4"/>
      <c r="D135" s="4">
        <v>-0.417660233528243</v>
      </c>
      <c r="E135" s="4">
        <v>-0.95927146160517784</v>
      </c>
      <c r="G135" s="4">
        <v>95.945945945945937</v>
      </c>
      <c r="H135" s="4">
        <v>2.0607398119808855</v>
      </c>
    </row>
    <row r="136" spans="1:8" x14ac:dyDescent="0.3">
      <c r="A136" s="4">
        <v>108</v>
      </c>
      <c r="B136" s="4">
        <v>-0.29819178626763299</v>
      </c>
      <c r="C136" s="4"/>
      <c r="D136" s="4">
        <v>-4.1267793019180432E-2</v>
      </c>
      <c r="E136" s="4">
        <v>-9.4782823330610957E-2</v>
      </c>
      <c r="G136" s="4">
        <v>96.846846846846844</v>
      </c>
      <c r="H136" s="4">
        <v>2.2165969153099572</v>
      </c>
    </row>
    <row r="137" spans="1:8" x14ac:dyDescent="0.3">
      <c r="A137" s="4">
        <v>109</v>
      </c>
      <c r="B137" s="4">
        <v>0.71251082873746996</v>
      </c>
      <c r="C137" s="4"/>
      <c r="D137" s="4">
        <v>-0.36619915337636938</v>
      </c>
      <c r="E137" s="4">
        <v>-0.84107695417972805</v>
      </c>
      <c r="G137" s="4">
        <v>97.747747747747752</v>
      </c>
      <c r="H137" s="4">
        <v>2.5283111219680996</v>
      </c>
    </row>
    <row r="138" spans="1:8" x14ac:dyDescent="0.3">
      <c r="A138" s="4">
        <v>110</v>
      </c>
      <c r="B138" s="4">
        <v>0.31235184371401059</v>
      </c>
      <c r="C138" s="4"/>
      <c r="D138" s="4">
        <v>-0.12189727168198136</v>
      </c>
      <c r="E138" s="4">
        <v>-0.27997057077771925</v>
      </c>
      <c r="G138" s="4">
        <v>98.648648648648646</v>
      </c>
      <c r="H138" s="4">
        <v>2.8400253286262425</v>
      </c>
    </row>
    <row r="139" spans="1:8" ht="15" thickBot="1" x14ac:dyDescent="0.35">
      <c r="A139" s="5">
        <v>111</v>
      </c>
      <c r="B139" s="5">
        <v>-1.1758182050618413</v>
      </c>
      <c r="C139" s="5"/>
      <c r="D139" s="5">
        <v>2.5901688463856765E-2</v>
      </c>
      <c r="E139" s="5">
        <v>5.9490343001701328E-2</v>
      </c>
      <c r="G139" s="5">
        <v>99.549549549549553</v>
      </c>
      <c r="H139" s="5">
        <v>3.1517395352843853</v>
      </c>
    </row>
  </sheetData>
  <sortState xmlns:xlrd2="http://schemas.microsoft.com/office/spreadsheetml/2017/richdata2" ref="H29:H139">
    <sortCondition ref="H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64F4-D86B-4C0F-9EB8-6EE6434E0104}">
  <dimension ref="A1:I139"/>
  <sheetViews>
    <sheetView topLeftCell="A6" workbookViewId="0">
      <selection activeCell="I30" sqref="I30"/>
    </sheetView>
  </sheetViews>
  <sheetFormatPr defaultRowHeight="14.4" x14ac:dyDescent="0.3"/>
  <cols>
    <col min="1" max="2" width="19.44140625" customWidth="1"/>
    <col min="3" max="3" width="12.88671875" bestFit="1" customWidth="1"/>
    <col min="4" max="4" width="11.6640625" bestFit="1" customWidth="1"/>
    <col min="5" max="5" width="11.77734375" bestFit="1" customWidth="1"/>
    <col min="6" max="9" width="9" bestFit="1" customWidth="1"/>
  </cols>
  <sheetData>
    <row r="1" spans="1:9" x14ac:dyDescent="0.3">
      <c r="A1" t="s">
        <v>12</v>
      </c>
    </row>
    <row r="2" spans="1:9" ht="15" thickBot="1" x14ac:dyDescent="0.35"/>
    <row r="3" spans="1:9" x14ac:dyDescent="0.3">
      <c r="A3" s="7" t="s">
        <v>13</v>
      </c>
      <c r="B3" s="7"/>
    </row>
    <row r="4" spans="1:9" x14ac:dyDescent="0.3">
      <c r="A4" s="4" t="s">
        <v>14</v>
      </c>
      <c r="B4" s="8">
        <v>0.90024040995443089</v>
      </c>
    </row>
    <row r="5" spans="1:9" x14ac:dyDescent="0.3">
      <c r="A5" s="4" t="s">
        <v>15</v>
      </c>
      <c r="B5" s="8">
        <v>0.81043279571492188</v>
      </c>
      <c r="C5">
        <f>C12/C14</f>
        <v>0.81043279571492188</v>
      </c>
    </row>
    <row r="6" spans="1:9" x14ac:dyDescent="0.3">
      <c r="A6" s="4" t="s">
        <v>16</v>
      </c>
      <c r="B6" s="8">
        <v>0.80140578598706091</v>
      </c>
    </row>
    <row r="7" spans="1:9" x14ac:dyDescent="0.3">
      <c r="A7" s="4" t="s">
        <v>17</v>
      </c>
      <c r="B7" s="8">
        <v>7148.2001436909368</v>
      </c>
    </row>
    <row r="8" spans="1:9" ht="15" thickBot="1" x14ac:dyDescent="0.35">
      <c r="A8" s="5" t="s">
        <v>18</v>
      </c>
      <c r="B8" s="5">
        <v>111</v>
      </c>
    </row>
    <row r="10" spans="1:9" ht="15" thickBot="1" x14ac:dyDescent="0.35">
      <c r="A10" t="s">
        <v>19</v>
      </c>
    </row>
    <row r="11" spans="1:9" x14ac:dyDescent="0.3">
      <c r="A11" s="6"/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9" x14ac:dyDescent="0.3">
      <c r="A12" s="4" t="s">
        <v>20</v>
      </c>
      <c r="B12" s="4">
        <v>5</v>
      </c>
      <c r="C12" s="4">
        <v>22936994418.87714</v>
      </c>
      <c r="D12" s="4">
        <v>4587398883.7754278</v>
      </c>
      <c r="E12" s="8">
        <v>89.778655407184374</v>
      </c>
      <c r="F12" s="8">
        <v>2.6327431269451885E-36</v>
      </c>
    </row>
    <row r="13" spans="1:9" x14ac:dyDescent="0.3">
      <c r="A13" s="4" t="s">
        <v>21</v>
      </c>
      <c r="B13" s="4">
        <v>105</v>
      </c>
      <c r="C13" s="4">
        <v>5365160355.8976288</v>
      </c>
      <c r="D13" s="4">
        <v>51096765.294263132</v>
      </c>
      <c r="E13" s="4"/>
      <c r="F13" s="4"/>
    </row>
    <row r="14" spans="1:9" ht="15" thickBot="1" x14ac:dyDescent="0.35">
      <c r="A14" s="5" t="s">
        <v>22</v>
      </c>
      <c r="B14" s="5">
        <v>110</v>
      </c>
      <c r="C14" s="5">
        <v>28302154774.774769</v>
      </c>
      <c r="D14" s="5"/>
      <c r="E14" s="5"/>
      <c r="F14" s="5"/>
    </row>
    <row r="15" spans="1:9" ht="15" thickBot="1" x14ac:dyDescent="0.35">
      <c r="C15">
        <f>Лист1!J114</f>
        <v>28302154774.774769</v>
      </c>
    </row>
    <row r="16" spans="1:9" x14ac:dyDescent="0.3">
      <c r="A16" s="6"/>
      <c r="B16" s="6" t="s">
        <v>29</v>
      </c>
      <c r="C16" s="6" t="s">
        <v>17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35</v>
      </c>
    </row>
    <row r="17" spans="1:9" x14ac:dyDescent="0.3">
      <c r="A17" s="4" t="s">
        <v>23</v>
      </c>
      <c r="B17" s="8">
        <v>7588.0304597676668</v>
      </c>
      <c r="C17" s="4">
        <v>5730.28865483966</v>
      </c>
      <c r="D17" s="8">
        <v>1.3241968977180589</v>
      </c>
      <c r="E17" s="8">
        <v>0.18831298131918878</v>
      </c>
      <c r="F17" s="4">
        <v>-3774.073408302881</v>
      </c>
      <c r="G17" s="4">
        <v>18950.134327838216</v>
      </c>
      <c r="H17" s="4">
        <v>-3774.073408302881</v>
      </c>
      <c r="I17" s="4">
        <v>18950.134327838216</v>
      </c>
    </row>
    <row r="18" spans="1:9" x14ac:dyDescent="0.3">
      <c r="A18" s="4" t="s">
        <v>7</v>
      </c>
      <c r="B18" s="8">
        <v>453.59854308916681</v>
      </c>
      <c r="C18" s="4">
        <v>26.577296314007949</v>
      </c>
      <c r="D18" s="8">
        <v>17.067143991245306</v>
      </c>
      <c r="E18" s="8">
        <v>4.705475987858939E-32</v>
      </c>
      <c r="F18" s="4">
        <v>400.90067402157507</v>
      </c>
      <c r="G18" s="4">
        <v>506.29641215675855</v>
      </c>
      <c r="H18" s="4">
        <v>400.90067402157507</v>
      </c>
      <c r="I18" s="4">
        <v>506.29641215675855</v>
      </c>
    </row>
    <row r="19" spans="1:9" x14ac:dyDescent="0.3">
      <c r="A19" s="4" t="s">
        <v>1</v>
      </c>
      <c r="B19" s="8">
        <v>-117.53999081123432</v>
      </c>
      <c r="C19" s="4">
        <v>598.73662782637359</v>
      </c>
      <c r="D19" s="8">
        <v>-0.19631334604990877</v>
      </c>
      <c r="E19" s="8">
        <v>0.84474436810181608</v>
      </c>
      <c r="F19" s="4">
        <v>-1304.7241214459079</v>
      </c>
      <c r="G19" s="4">
        <v>1069.6441398234394</v>
      </c>
      <c r="H19" s="4">
        <v>-1304.7241214459079</v>
      </c>
      <c r="I19" s="4">
        <v>1069.6441398234394</v>
      </c>
    </row>
    <row r="20" spans="1:9" x14ac:dyDescent="0.3">
      <c r="A20" s="4" t="s">
        <v>2</v>
      </c>
      <c r="B20" s="8">
        <v>192.64717860510214</v>
      </c>
      <c r="C20" s="4">
        <v>461.12469903260626</v>
      </c>
      <c r="D20" s="8">
        <v>0.41777675108112133</v>
      </c>
      <c r="E20" s="8">
        <v>0.67696344802587205</v>
      </c>
      <c r="F20" s="4">
        <v>-721.67791776089348</v>
      </c>
      <c r="G20" s="4">
        <v>1106.9722749710977</v>
      </c>
      <c r="H20" s="4">
        <v>-721.67791776089348</v>
      </c>
      <c r="I20" s="4">
        <v>1106.9722749710977</v>
      </c>
    </row>
    <row r="21" spans="1:9" x14ac:dyDescent="0.3">
      <c r="A21" s="4" t="s">
        <v>3</v>
      </c>
      <c r="B21" s="8">
        <v>1890.0904257011885</v>
      </c>
      <c r="C21" s="4">
        <v>1141.2395509046275</v>
      </c>
      <c r="D21" s="8">
        <v>1.6561732584565338</v>
      </c>
      <c r="E21" s="8">
        <v>0.10067232319052472</v>
      </c>
      <c r="F21" s="4">
        <v>-372.77678689150662</v>
      </c>
      <c r="G21" s="4">
        <v>4152.9576382938831</v>
      </c>
      <c r="H21" s="4">
        <v>-372.77678689150662</v>
      </c>
      <c r="I21" s="4">
        <v>4152.9576382938831</v>
      </c>
    </row>
    <row r="22" spans="1:9" ht="15" thickBot="1" x14ac:dyDescent="0.35">
      <c r="A22" s="5" t="s">
        <v>5</v>
      </c>
      <c r="B22" s="9">
        <v>1747.7610016554727</v>
      </c>
      <c r="C22" s="5">
        <v>1424.7277905856129</v>
      </c>
      <c r="D22" s="9">
        <v>1.2267332842135983</v>
      </c>
      <c r="E22" s="9">
        <v>0.22266653458527319</v>
      </c>
      <c r="F22" s="5">
        <v>-1077.2110225179508</v>
      </c>
      <c r="G22" s="5">
        <v>4572.7330258288966</v>
      </c>
      <c r="H22" s="5">
        <v>-1077.2110225179508</v>
      </c>
      <c r="I22" s="5">
        <v>4572.7330258288966</v>
      </c>
    </row>
    <row r="26" spans="1:9" x14ac:dyDescent="0.3">
      <c r="A26" t="s">
        <v>36</v>
      </c>
      <c r="F26" t="s">
        <v>41</v>
      </c>
    </row>
    <row r="27" spans="1:9" ht="15" thickBot="1" x14ac:dyDescent="0.35"/>
    <row r="28" spans="1:9" x14ac:dyDescent="0.3">
      <c r="A28" s="6" t="s">
        <v>37</v>
      </c>
      <c r="B28" s="6" t="s">
        <v>38</v>
      </c>
      <c r="C28" s="6" t="s">
        <v>39</v>
      </c>
      <c r="D28" s="6" t="s">
        <v>40</v>
      </c>
      <c r="E28" s="10" t="s">
        <v>43</v>
      </c>
      <c r="F28" s="6" t="s">
        <v>42</v>
      </c>
      <c r="G28" s="6" t="s">
        <v>6</v>
      </c>
    </row>
    <row r="29" spans="1:9" x14ac:dyDescent="0.3">
      <c r="A29" s="4">
        <v>1</v>
      </c>
      <c r="B29" s="4">
        <v>79469.646363633161</v>
      </c>
      <c r="C29" s="4">
        <v>530.35363636683905</v>
      </c>
      <c r="D29" s="4">
        <v>7.5939990782510708E-2</v>
      </c>
      <c r="E29">
        <f>(Лист1!C3-Лист3!B29)^2</f>
        <v>6399900006.449872</v>
      </c>
      <c r="F29" s="4">
        <v>0.45045045045045046</v>
      </c>
      <c r="G29" s="4">
        <v>47500</v>
      </c>
    </row>
    <row r="30" spans="1:9" x14ac:dyDescent="0.3">
      <c r="A30" s="4">
        <v>2</v>
      </c>
      <c r="B30" s="4">
        <v>80233.924960215125</v>
      </c>
      <c r="C30" s="4">
        <v>-5233.9249602151249</v>
      </c>
      <c r="D30" s="4">
        <v>-0.74943242768711449</v>
      </c>
      <c r="E30">
        <f>(Лист1!C4-Лист3!B30)^2</f>
        <v>5624899109.0380983</v>
      </c>
      <c r="F30" s="4">
        <v>1.3513513513513513</v>
      </c>
      <c r="G30" s="4">
        <v>49000</v>
      </c>
    </row>
    <row r="31" spans="1:9" x14ac:dyDescent="0.3">
      <c r="A31" s="4">
        <v>3</v>
      </c>
      <c r="B31" s="4">
        <v>77924.783842900099</v>
      </c>
      <c r="C31" s="4">
        <v>-1924.7838429000985</v>
      </c>
      <c r="D31" s="4">
        <v>-0.27560491201583159</v>
      </c>
      <c r="E31">
        <f>(Лист1!C5-Лист3!B31)^2</f>
        <v>5775919645.3258905</v>
      </c>
      <c r="F31" s="4">
        <v>2.2522522522522523</v>
      </c>
      <c r="G31" s="4">
        <v>49500</v>
      </c>
    </row>
    <row r="32" spans="1:9" x14ac:dyDescent="0.3">
      <c r="A32" s="4">
        <v>4</v>
      </c>
      <c r="B32" s="4">
        <v>75094.7156761972</v>
      </c>
      <c r="C32" s="4">
        <v>-94.715676197200082</v>
      </c>
      <c r="D32" s="4">
        <v>-1.3562097219975573E-2</v>
      </c>
      <c r="E32">
        <f>(Лист1!C6-Лист3!B32)^2</f>
        <v>5624947167.6460962</v>
      </c>
      <c r="F32" s="4">
        <v>3.1531531531531529</v>
      </c>
      <c r="G32" s="4">
        <v>49500</v>
      </c>
    </row>
    <row r="33" spans="1:7" x14ac:dyDescent="0.3">
      <c r="A33" s="4">
        <v>5</v>
      </c>
      <c r="B33" s="4">
        <v>73937.161589388823</v>
      </c>
      <c r="C33" s="4">
        <v>-6437.1615893888229</v>
      </c>
      <c r="D33" s="4">
        <v>-0.92172082596148364</v>
      </c>
      <c r="E33">
        <f>(Лист1!C7-Лист3!B33)^2</f>
        <v>4556212193.1517191</v>
      </c>
      <c r="F33" s="4">
        <v>4.0540540540540544</v>
      </c>
      <c r="G33" s="4">
        <v>50000</v>
      </c>
    </row>
    <row r="34" spans="1:7" x14ac:dyDescent="0.3">
      <c r="A34" s="4">
        <v>6</v>
      </c>
      <c r="B34" s="4">
        <v>71910.462791929691</v>
      </c>
      <c r="C34" s="4">
        <v>-11910.462791929691</v>
      </c>
      <c r="D34" s="4">
        <v>-1.7054289300827186</v>
      </c>
      <c r="E34">
        <f>(Лист1!C8-Лист3!B34)^2</f>
        <v>3599981555.8859344</v>
      </c>
      <c r="F34" s="4">
        <v>4.954954954954955</v>
      </c>
      <c r="G34" s="4">
        <v>50000</v>
      </c>
    </row>
    <row r="35" spans="1:7" x14ac:dyDescent="0.3">
      <c r="A35" s="4">
        <v>7</v>
      </c>
      <c r="B35" s="4">
        <v>79393.950110288642</v>
      </c>
      <c r="C35" s="4">
        <v>-6893.9501102886425</v>
      </c>
      <c r="D35" s="4">
        <v>-0.9871272146200416</v>
      </c>
      <c r="E35">
        <f>(Лист1!C9-Лист3!B35)^2</f>
        <v>5256160065.1482649</v>
      </c>
      <c r="F35" s="4">
        <v>5.8558558558558556</v>
      </c>
      <c r="G35" s="4">
        <v>50000</v>
      </c>
    </row>
    <row r="36" spans="1:7" x14ac:dyDescent="0.3">
      <c r="A36" s="4">
        <v>8</v>
      </c>
      <c r="B36" s="4">
        <v>55806.825869651955</v>
      </c>
      <c r="C36" s="4">
        <v>-3806.8258696519551</v>
      </c>
      <c r="D36" s="4">
        <v>-0.54508973188605159</v>
      </c>
      <c r="E36">
        <f>(Лист1!C10-Лист3!B36)^2</f>
        <v>2704088426.2376633</v>
      </c>
      <c r="F36" s="4">
        <v>6.756756756756757</v>
      </c>
      <c r="G36" s="4">
        <v>51000</v>
      </c>
    </row>
    <row r="37" spans="1:7" x14ac:dyDescent="0.3">
      <c r="A37" s="4">
        <v>9</v>
      </c>
      <c r="B37" s="4">
        <v>57017.407123331715</v>
      </c>
      <c r="C37" s="4">
        <v>-2017.4071233317154</v>
      </c>
      <c r="D37" s="4">
        <v>-0.28886740439809877</v>
      </c>
      <c r="E37">
        <f>(Лист1!C11-Лист3!B37)^2</f>
        <v>3025085225.768774</v>
      </c>
      <c r="F37" s="4">
        <v>7.6576576576576576</v>
      </c>
      <c r="G37" s="4">
        <v>51500</v>
      </c>
    </row>
    <row r="38" spans="1:7" x14ac:dyDescent="0.3">
      <c r="A38" s="4">
        <v>10</v>
      </c>
      <c r="B38" s="4">
        <v>55395.0710640295</v>
      </c>
      <c r="C38" s="4">
        <v>604.92893597049988</v>
      </c>
      <c r="D38" s="4">
        <v>8.6618238608434511E-2</v>
      </c>
      <c r="E38">
        <f>(Лист1!C12-Лист3!B38)^2</f>
        <v>3136098103.2806721</v>
      </c>
      <c r="F38" s="4">
        <v>8.5585585585585591</v>
      </c>
      <c r="G38" s="4">
        <v>52000</v>
      </c>
    </row>
    <row r="39" spans="1:7" x14ac:dyDescent="0.3">
      <c r="A39" s="4">
        <v>11</v>
      </c>
      <c r="B39" s="4">
        <v>59479.128967009769</v>
      </c>
      <c r="C39" s="4">
        <v>520.87103299023147</v>
      </c>
      <c r="D39" s="4">
        <v>7.4582200878500898E-2</v>
      </c>
      <c r="E39">
        <f>(Лист1!C13-Лист3!B39)^2</f>
        <v>3600074556.8089914</v>
      </c>
      <c r="F39" s="4">
        <v>9.4594594594594597</v>
      </c>
      <c r="G39" s="4">
        <v>52000</v>
      </c>
    </row>
    <row r="40" spans="1:7" x14ac:dyDescent="0.3">
      <c r="A40" s="4">
        <v>12</v>
      </c>
      <c r="B40" s="4">
        <v>61416.784182465453</v>
      </c>
      <c r="C40" s="4">
        <v>-5416.7841824654533</v>
      </c>
      <c r="D40" s="4">
        <v>-0.77561557549640381</v>
      </c>
      <c r="E40">
        <f>(Лист1!C14-Лист3!B40)^2</f>
        <v>3136056056.764935</v>
      </c>
      <c r="F40" s="4">
        <v>10.36036036036036</v>
      </c>
      <c r="G40" s="4">
        <v>53000</v>
      </c>
    </row>
    <row r="41" spans="1:7" x14ac:dyDescent="0.3">
      <c r="A41" s="4">
        <v>13</v>
      </c>
      <c r="B41" s="4">
        <v>63232.849369999894</v>
      </c>
      <c r="C41" s="4">
        <v>-6232.8493699998944</v>
      </c>
      <c r="D41" s="4">
        <v>-0.89246587795464527</v>
      </c>
      <c r="E41">
        <f>(Лист1!C15-Лист3!B41)^2</f>
        <v>3249044150.7459292</v>
      </c>
      <c r="F41" s="4">
        <v>11.261261261261261</v>
      </c>
      <c r="G41" s="4">
        <v>54000</v>
      </c>
    </row>
    <row r="42" spans="1:7" x14ac:dyDescent="0.3">
      <c r="A42" s="4">
        <v>14</v>
      </c>
      <c r="B42" s="4">
        <v>61099.79401113421</v>
      </c>
      <c r="C42" s="4">
        <v>-4599.7940111342105</v>
      </c>
      <c r="D42" s="4">
        <v>-0.6586328269565549</v>
      </c>
      <c r="E42">
        <f>(Лист1!C16-Лист3!B42)^2</f>
        <v>3192308790.4033794</v>
      </c>
      <c r="F42" s="4">
        <v>12.162162162162161</v>
      </c>
      <c r="G42" s="4">
        <v>55000</v>
      </c>
    </row>
    <row r="43" spans="1:7" x14ac:dyDescent="0.3">
      <c r="A43" s="4">
        <v>15</v>
      </c>
      <c r="B43" s="4">
        <v>62056.226902244816</v>
      </c>
      <c r="C43" s="4">
        <v>-3556.2269022448163</v>
      </c>
      <c r="D43" s="4">
        <v>-0.50920710193865992</v>
      </c>
      <c r="E43">
        <f>(Лист1!C17-Лист3!B43)^2</f>
        <v>3422303895.08249</v>
      </c>
      <c r="F43" s="4">
        <v>13.063063063063064</v>
      </c>
      <c r="G43" s="4">
        <v>55000</v>
      </c>
    </row>
    <row r="44" spans="1:7" x14ac:dyDescent="0.3">
      <c r="A44" s="4">
        <v>16</v>
      </c>
      <c r="B44" s="4">
        <v>62248.874080849921</v>
      </c>
      <c r="C44" s="4">
        <v>-5748.8740808499206</v>
      </c>
      <c r="D44" s="4">
        <v>-0.82316668496940038</v>
      </c>
      <c r="E44">
        <f>(Лист1!C18-Лист3!B44)^2</f>
        <v>3192300695.3624101</v>
      </c>
      <c r="F44" s="4">
        <v>13.963963963963964</v>
      </c>
      <c r="G44" s="4">
        <v>55000</v>
      </c>
    </row>
    <row r="45" spans="1:7" x14ac:dyDescent="0.3">
      <c r="A45" s="4">
        <v>17</v>
      </c>
      <c r="B45" s="4">
        <v>70716.336688358817</v>
      </c>
      <c r="C45" s="4">
        <v>13283.663311641183</v>
      </c>
      <c r="D45" s="4">
        <v>1.9020540263558399</v>
      </c>
      <c r="E45">
        <f>(Лист1!C19-Лист3!B45)^2</f>
        <v>7055986685.0095034</v>
      </c>
      <c r="F45" s="4">
        <v>14.864864864864865</v>
      </c>
      <c r="G45" s="4">
        <v>56000</v>
      </c>
    </row>
    <row r="46" spans="1:7" x14ac:dyDescent="0.3">
      <c r="A46" s="4">
        <v>18</v>
      </c>
      <c r="B46" s="4">
        <v>54413.355855607944</v>
      </c>
      <c r="C46" s="4">
        <v>-1413.3558556079442</v>
      </c>
      <c r="D46" s="4">
        <v>-0.20237483687777683</v>
      </c>
      <c r="E46">
        <f>(Лист1!C20-Лист3!B46)^2</f>
        <v>2809099335.4088831</v>
      </c>
      <c r="F46" s="4">
        <v>15.765765765765765</v>
      </c>
      <c r="G46" s="4">
        <v>56000</v>
      </c>
    </row>
    <row r="47" spans="1:7" x14ac:dyDescent="0.3">
      <c r="A47" s="4">
        <v>19</v>
      </c>
      <c r="B47" s="4">
        <v>54682.781237184689</v>
      </c>
      <c r="C47" s="4">
        <v>-7182.7812371846885</v>
      </c>
      <c r="D47" s="4">
        <v>-1.0284842104246608</v>
      </c>
      <c r="E47">
        <f>(Лист1!C21-Лист3!B47)^2</f>
        <v>2256337431.3866673</v>
      </c>
      <c r="F47" s="4">
        <v>16.666666666666668</v>
      </c>
      <c r="G47" s="4">
        <v>56000</v>
      </c>
    </row>
    <row r="48" spans="1:7" x14ac:dyDescent="0.3">
      <c r="A48" s="4">
        <v>20</v>
      </c>
      <c r="B48" s="4">
        <v>52935.020235529213</v>
      </c>
      <c r="C48" s="4">
        <v>-3435.0202355292131</v>
      </c>
      <c r="D48" s="4">
        <v>-0.49185182703903579</v>
      </c>
      <c r="E48">
        <f>(Лист1!C22-Лист3!B48)^2</f>
        <v>2450351899.9632721</v>
      </c>
      <c r="F48" s="4">
        <v>17.567567567567568</v>
      </c>
      <c r="G48" s="4">
        <v>56000</v>
      </c>
    </row>
    <row r="49" spans="1:7" x14ac:dyDescent="0.3">
      <c r="A49" s="4">
        <v>21</v>
      </c>
      <c r="B49" s="4">
        <v>53430.462516085092</v>
      </c>
      <c r="C49" s="4">
        <v>-3430.4625160850919</v>
      </c>
      <c r="D49" s="4">
        <v>-0.49119921876251516</v>
      </c>
      <c r="E49">
        <f>(Лист1!C23-Лист3!B49)^2</f>
        <v>2500099840.4545512</v>
      </c>
      <c r="F49" s="4">
        <v>18.468468468468469</v>
      </c>
      <c r="G49" s="4">
        <v>56000</v>
      </c>
    </row>
    <row r="50" spans="1:7" x14ac:dyDescent="0.3">
      <c r="A50" s="4">
        <v>22</v>
      </c>
      <c r="B50" s="4">
        <v>63181.942549889849</v>
      </c>
      <c r="C50" s="4">
        <v>-681.94254988984903</v>
      </c>
      <c r="D50" s="4">
        <v>-9.7645622471072793E-2</v>
      </c>
      <c r="E50">
        <f>(Лист1!C24-Лист3!B50)^2</f>
        <v>3906298807.603096</v>
      </c>
      <c r="F50" s="4">
        <v>19.36936936936937</v>
      </c>
      <c r="G50" s="4">
        <v>56000</v>
      </c>
    </row>
    <row r="51" spans="1:7" x14ac:dyDescent="0.3">
      <c r="A51" s="4">
        <v>23</v>
      </c>
      <c r="B51" s="4">
        <v>66701.664920884621</v>
      </c>
      <c r="C51" s="4">
        <v>-1701.6649208846211</v>
      </c>
      <c r="D51" s="4">
        <v>-0.2436570800044765</v>
      </c>
      <c r="E51">
        <f>(Лист1!C25-Лист3!B51)^2</f>
        <v>4225022233.9437842</v>
      </c>
      <c r="F51" s="4">
        <v>20.27027027027027</v>
      </c>
      <c r="G51" s="4">
        <v>56500</v>
      </c>
    </row>
    <row r="52" spans="1:7" x14ac:dyDescent="0.3">
      <c r="A52" s="4">
        <v>24</v>
      </c>
      <c r="B52" s="4">
        <v>61291.852124188663</v>
      </c>
      <c r="C52" s="4">
        <v>-1291.8521241886629</v>
      </c>
      <c r="D52" s="4">
        <v>-0.1849770260373913</v>
      </c>
      <c r="E52">
        <f>(Лист1!C26-Лист3!B52)^2</f>
        <v>3600060995.4438753</v>
      </c>
      <c r="F52" s="4">
        <v>21.171171171171171</v>
      </c>
      <c r="G52" s="4">
        <v>56500</v>
      </c>
    </row>
    <row r="53" spans="1:7" x14ac:dyDescent="0.3">
      <c r="A53" s="4">
        <v>25</v>
      </c>
      <c r="B53" s="4">
        <v>64887.270748527953</v>
      </c>
      <c r="C53" s="4">
        <v>5112.7292514720466</v>
      </c>
      <c r="D53" s="4">
        <v>0.73207872183175726</v>
      </c>
      <c r="E53">
        <f>(Лист1!C27-Лист3!B53)^2</f>
        <v>4900039780.3247089</v>
      </c>
      <c r="F53" s="4">
        <v>22.072072072072071</v>
      </c>
      <c r="G53" s="4">
        <v>57000</v>
      </c>
    </row>
    <row r="54" spans="1:7" x14ac:dyDescent="0.3">
      <c r="A54" s="4">
        <v>26</v>
      </c>
      <c r="B54" s="4">
        <v>63039.613125844138</v>
      </c>
      <c r="C54" s="4">
        <v>-539.61312584413827</v>
      </c>
      <c r="D54" s="4">
        <v>-7.7265833573697845E-2</v>
      </c>
      <c r="E54">
        <f>(Лист1!C28-Лист3!B54)^2</f>
        <v>3906299916.7626915</v>
      </c>
      <c r="F54" s="4">
        <v>22.972972972972972</v>
      </c>
      <c r="G54" s="4">
        <v>57500</v>
      </c>
    </row>
    <row r="55" spans="1:7" x14ac:dyDescent="0.3">
      <c r="A55" s="4">
        <v>27</v>
      </c>
      <c r="B55" s="4">
        <v>66552.03961084754</v>
      </c>
      <c r="C55" s="4">
        <v>947.96038915246027</v>
      </c>
      <c r="D55" s="4">
        <v>0.13573604153555727</v>
      </c>
      <c r="E55">
        <f>(Лист1!C29-Лист3!B55)^2</f>
        <v>4556274348.3866606</v>
      </c>
      <c r="F55" s="4">
        <v>23.873873873873872</v>
      </c>
      <c r="G55" s="4">
        <v>58000</v>
      </c>
    </row>
    <row r="56" spans="1:7" x14ac:dyDescent="0.3">
      <c r="A56" s="4">
        <v>28</v>
      </c>
      <c r="B56" s="4">
        <v>54413.355855607944</v>
      </c>
      <c r="C56" s="4">
        <v>-5413.3558556079442</v>
      </c>
      <c r="D56" s="4">
        <v>-0.775124682077171</v>
      </c>
      <c r="E56">
        <f>(Лист1!C30-Лист3!B56)^2</f>
        <v>2401091838.4631705</v>
      </c>
      <c r="F56" s="4">
        <v>24.774774774774777</v>
      </c>
      <c r="G56" s="4">
        <v>58000</v>
      </c>
    </row>
    <row r="57" spans="1:7" x14ac:dyDescent="0.3">
      <c r="A57" s="4">
        <v>29</v>
      </c>
      <c r="B57" s="4">
        <v>59486.521034475329</v>
      </c>
      <c r="C57" s="4">
        <v>12513.478965524671</v>
      </c>
      <c r="D57" s="4">
        <v>1.7917732851025325</v>
      </c>
      <c r="E57">
        <f>(Лист1!C31-Лист3!B57)^2</f>
        <v>5184089401.7316942</v>
      </c>
      <c r="F57" s="4">
        <v>25.675675675675677</v>
      </c>
      <c r="G57" s="4">
        <v>58000</v>
      </c>
    </row>
    <row r="58" spans="1:7" x14ac:dyDescent="0.3">
      <c r="A58" s="4">
        <v>30</v>
      </c>
      <c r="B58" s="4">
        <v>55774.151484875445</v>
      </c>
      <c r="C58" s="4">
        <v>225.84851512455498</v>
      </c>
      <c r="D58" s="4">
        <v>3.2338675519025473E-2</v>
      </c>
      <c r="E58">
        <f>(Лист1!C32-Лист3!B58)^2</f>
        <v>3136095456.3493705</v>
      </c>
      <c r="F58" s="4">
        <v>26.576576576576578</v>
      </c>
      <c r="G58" s="4">
        <v>58000</v>
      </c>
    </row>
    <row r="59" spans="1:7" x14ac:dyDescent="0.3">
      <c r="A59" s="4">
        <v>31</v>
      </c>
      <c r="B59" s="4">
        <v>55009.776706819292</v>
      </c>
      <c r="C59" s="4">
        <v>2990.2232931807084</v>
      </c>
      <c r="D59" s="4">
        <v>0.42816248207021834</v>
      </c>
      <c r="E59">
        <f>(Лист1!C33-Лист3!B59)^2</f>
        <v>3364104393.3445406</v>
      </c>
      <c r="F59" s="4">
        <v>27.477477477477478</v>
      </c>
      <c r="G59" s="4">
        <v>58500</v>
      </c>
    </row>
    <row r="60" spans="1:7" x14ac:dyDescent="0.3">
      <c r="A60" s="4">
        <v>32</v>
      </c>
      <c r="B60" s="4">
        <v>53580.676891672832</v>
      </c>
      <c r="C60" s="4">
        <v>1419.3231083271676</v>
      </c>
      <c r="D60" s="4">
        <v>0.20322927264557705</v>
      </c>
      <c r="E60">
        <f>(Лист1!C34-Лист3!B60)^2</f>
        <v>3025108794.2547073</v>
      </c>
      <c r="F60" s="4">
        <v>28.378378378378379</v>
      </c>
      <c r="G60" s="4">
        <v>59000</v>
      </c>
    </row>
    <row r="61" spans="1:7" x14ac:dyDescent="0.3">
      <c r="A61" s="4">
        <v>33</v>
      </c>
      <c r="B61" s="4">
        <v>71967.090664327523</v>
      </c>
      <c r="C61" s="4">
        <v>20032.909335672477</v>
      </c>
      <c r="D61" s="4">
        <v>2.8684614302249773</v>
      </c>
      <c r="E61">
        <f>(Лист1!C35-Лист3!B61)^2</f>
        <v>8463971069.430584</v>
      </c>
      <c r="F61" s="4">
        <v>29.27927927927928</v>
      </c>
      <c r="G61" s="4">
        <v>59000</v>
      </c>
    </row>
    <row r="62" spans="1:7" x14ac:dyDescent="0.3">
      <c r="A62" s="4">
        <v>34</v>
      </c>
      <c r="B62" s="4">
        <v>103965.63870562593</v>
      </c>
      <c r="C62" s="4">
        <v>-5965.6387056259264</v>
      </c>
      <c r="D62" s="4">
        <v>-0.85420466129069084</v>
      </c>
      <c r="E62">
        <f>(Лист1!C36-Лист3!B62)^2</f>
        <v>9603578190.7005062</v>
      </c>
      <c r="F62" s="4">
        <v>30.18018018018018</v>
      </c>
      <c r="G62" s="4">
        <v>59000</v>
      </c>
    </row>
    <row r="63" spans="1:7" x14ac:dyDescent="0.3">
      <c r="A63" s="4">
        <v>35</v>
      </c>
      <c r="B63" s="4">
        <v>56873.406684108239</v>
      </c>
      <c r="C63" s="4">
        <v>21126.593315891761</v>
      </c>
      <c r="D63" s="4">
        <v>3.0250632628168903</v>
      </c>
      <c r="E63">
        <f>(Лист1!C37-Лист3!B63)^2</f>
        <v>6084122265.8725433</v>
      </c>
      <c r="F63" s="4">
        <v>31.081081081081081</v>
      </c>
      <c r="G63" s="4">
        <v>60000</v>
      </c>
    </row>
    <row r="64" spans="1:7" x14ac:dyDescent="0.3">
      <c r="A64" s="4">
        <v>36</v>
      </c>
      <c r="B64" s="4">
        <v>91388.633426304761</v>
      </c>
      <c r="C64" s="4">
        <v>-1388.6334263047611</v>
      </c>
      <c r="D64" s="4">
        <v>-0.19883489498868906</v>
      </c>
      <c r="E64">
        <f>(Лист1!C38-Лист3!B64)^2</f>
        <v>8099753757.2547283</v>
      </c>
      <c r="F64" s="4">
        <v>31.981981981981981</v>
      </c>
      <c r="G64" s="4">
        <v>60000</v>
      </c>
    </row>
    <row r="65" spans="1:7" x14ac:dyDescent="0.3">
      <c r="A65" s="4">
        <v>37</v>
      </c>
      <c r="B65" s="4">
        <v>110674.85221767222</v>
      </c>
      <c r="C65" s="4">
        <v>-5674.8522176722181</v>
      </c>
      <c r="D65" s="4">
        <v>-0.81256768230030041</v>
      </c>
      <c r="E65">
        <f>(Лист1!C39-Лист3!B65)^2</f>
        <v>11024460226.108263</v>
      </c>
      <c r="F65" s="4">
        <v>32.882882882882889</v>
      </c>
      <c r="G65" s="4">
        <v>60000</v>
      </c>
    </row>
    <row r="66" spans="1:7" x14ac:dyDescent="0.3">
      <c r="A66" s="4">
        <v>38</v>
      </c>
      <c r="B66" s="4">
        <v>95899.336539885466</v>
      </c>
      <c r="C66" s="4">
        <v>5600.6634601145342</v>
      </c>
      <c r="D66" s="4">
        <v>0.80194478244862566</v>
      </c>
      <c r="E66">
        <f>(Лист1!C40-Лист3!B66)^2</f>
        <v>10301915207.873447</v>
      </c>
      <c r="F66" s="4">
        <v>33.78378378378379</v>
      </c>
      <c r="G66" s="4">
        <v>60000</v>
      </c>
    </row>
    <row r="67" spans="1:7" x14ac:dyDescent="0.3">
      <c r="A67" s="4">
        <v>39</v>
      </c>
      <c r="B67" s="4">
        <v>87533.934452659145</v>
      </c>
      <c r="C67" s="4">
        <v>7466.0655473408551</v>
      </c>
      <c r="D67" s="4">
        <v>1.0690469716220012</v>
      </c>
      <c r="E67">
        <f>(Лист1!C41-Лист3!B67)^2</f>
        <v>9024785735.8469181</v>
      </c>
      <c r="F67" s="4">
        <v>34.68468468468469</v>
      </c>
      <c r="G67" s="4">
        <v>60000</v>
      </c>
    </row>
    <row r="68" spans="1:7" x14ac:dyDescent="0.3">
      <c r="A68" s="4">
        <v>40</v>
      </c>
      <c r="B68" s="4">
        <v>86584.893629014114</v>
      </c>
      <c r="C68" s="4">
        <v>-5584.8936290141137</v>
      </c>
      <c r="D68" s="4">
        <v>-0.79968674036822907</v>
      </c>
      <c r="E68">
        <f>(Лист1!C42-Лист3!B68)^2</f>
        <v>6560826896.5503569</v>
      </c>
      <c r="F68" s="4">
        <v>35.585585585585591</v>
      </c>
      <c r="G68" s="4">
        <v>60000</v>
      </c>
    </row>
    <row r="69" spans="1:7" x14ac:dyDescent="0.3">
      <c r="A69" s="4">
        <v>41</v>
      </c>
      <c r="B69" s="4">
        <v>61486.759383522192</v>
      </c>
      <c r="C69" s="4">
        <v>513.24061647780763</v>
      </c>
      <c r="D69" s="4">
        <v>7.3489620909426484E-2</v>
      </c>
      <c r="E69">
        <f>(Лист1!C43-Лист3!B69)^2</f>
        <v>3844061521.8715506</v>
      </c>
      <c r="F69" s="4">
        <v>36.486486486486491</v>
      </c>
      <c r="G69" s="4">
        <v>60400</v>
      </c>
    </row>
    <row r="70" spans="1:7" x14ac:dyDescent="0.3">
      <c r="A70" s="4">
        <v>42</v>
      </c>
      <c r="B70" s="4">
        <v>51162.469800639257</v>
      </c>
      <c r="C70" s="4">
        <v>837.5301993607427</v>
      </c>
      <c r="D70" s="4">
        <v>0.11992382300842078</v>
      </c>
      <c r="E70">
        <f>(Лист1!C44-Лист3!B70)^2</f>
        <v>2704118539.2186255</v>
      </c>
      <c r="F70" s="4">
        <v>37.387387387387392</v>
      </c>
      <c r="G70" s="4">
        <v>61000</v>
      </c>
    </row>
    <row r="71" spans="1:7" x14ac:dyDescent="0.3">
      <c r="A71" s="4">
        <v>43</v>
      </c>
      <c r="B71" s="4">
        <v>96900.120129253715</v>
      </c>
      <c r="C71" s="4">
        <v>3599.8798707462847</v>
      </c>
      <c r="D71" s="4">
        <v>0.51545765967658741</v>
      </c>
      <c r="E71">
        <f>(Лист1!C45-Лист3!B71)^2</f>
        <v>10099905965.824333</v>
      </c>
      <c r="F71" s="4">
        <v>38.288288288288292</v>
      </c>
      <c r="G71" s="4">
        <v>61000</v>
      </c>
    </row>
    <row r="72" spans="1:7" x14ac:dyDescent="0.3">
      <c r="A72" s="4">
        <v>44</v>
      </c>
      <c r="B72" s="4">
        <v>70967.635904648894</v>
      </c>
      <c r="C72" s="4">
        <v>-2467.6359046488942</v>
      </c>
      <c r="D72" s="4">
        <v>-0.35333452059903031</v>
      </c>
      <c r="E72">
        <f>(Лист1!C46-Лист3!B72)^2</f>
        <v>4692236995.6072788</v>
      </c>
      <c r="F72" s="4">
        <v>39.189189189189193</v>
      </c>
      <c r="G72" s="4">
        <v>61700</v>
      </c>
    </row>
    <row r="73" spans="1:7" x14ac:dyDescent="0.3">
      <c r="A73" s="4">
        <v>45</v>
      </c>
      <c r="B73" s="4">
        <v>76488.185690241196</v>
      </c>
      <c r="C73" s="4">
        <v>-5488.1856902411964</v>
      </c>
      <c r="D73" s="4">
        <v>-0.78583937612779386</v>
      </c>
      <c r="E73">
        <f>(Лист1!C47-Лист3!B73)^2</f>
        <v>5040937649.4980392</v>
      </c>
      <c r="F73" s="4">
        <v>40.090090090090094</v>
      </c>
      <c r="G73" s="4">
        <v>62000</v>
      </c>
    </row>
    <row r="74" spans="1:7" x14ac:dyDescent="0.3">
      <c r="A74" s="4">
        <v>46</v>
      </c>
      <c r="B74" s="4">
        <v>69264.567786739222</v>
      </c>
      <c r="C74" s="4">
        <v>-3264.5677867392224</v>
      </c>
      <c r="D74" s="4">
        <v>-0.46744517362445459</v>
      </c>
      <c r="E74">
        <f>(Лист1!C48-Лист3!B74)^2</f>
        <v>4356001485.1935177</v>
      </c>
      <c r="F74" s="4">
        <v>40.990990990990994</v>
      </c>
      <c r="G74" s="4">
        <v>62500</v>
      </c>
    </row>
    <row r="75" spans="1:7" x14ac:dyDescent="0.3">
      <c r="A75" s="4">
        <v>47</v>
      </c>
      <c r="B75" s="4">
        <v>57738.760032819853</v>
      </c>
      <c r="C75" s="4">
        <v>2261.2399671801468</v>
      </c>
      <c r="D75" s="4">
        <v>0.32378121029027807</v>
      </c>
      <c r="E75">
        <f>(Лист1!C49-Лист3!B75)^2</f>
        <v>3600087576.9009047</v>
      </c>
      <c r="F75" s="4">
        <v>41.891891891891895</v>
      </c>
      <c r="G75" s="4">
        <v>62500</v>
      </c>
    </row>
    <row r="76" spans="1:7" x14ac:dyDescent="0.3">
      <c r="A76" s="4">
        <v>48</v>
      </c>
      <c r="B76" s="4">
        <v>60392.047105475889</v>
      </c>
      <c r="C76" s="4">
        <v>-4392.0471054758891</v>
      </c>
      <c r="D76" s="4">
        <v>-0.62888607494244064</v>
      </c>
      <c r="E76">
        <f>(Лист1!C50-Лист3!B76)^2</f>
        <v>3136063211.955317</v>
      </c>
      <c r="F76" s="4">
        <v>42.792792792792795</v>
      </c>
      <c r="G76" s="4">
        <v>62500</v>
      </c>
    </row>
    <row r="77" spans="1:7" x14ac:dyDescent="0.3">
      <c r="A77" s="4">
        <v>49</v>
      </c>
      <c r="B77" s="4">
        <v>74926.268865275924</v>
      </c>
      <c r="C77" s="4">
        <v>2073.7311347240757</v>
      </c>
      <c r="D77" s="4">
        <v>0.29693229659959458</v>
      </c>
      <c r="E77">
        <f>(Лист1!C51-Лист3!B77)^2</f>
        <v>5928947375.9964628</v>
      </c>
      <c r="F77" s="4">
        <v>43.693693693693696</v>
      </c>
      <c r="G77" s="4">
        <v>62500</v>
      </c>
    </row>
    <row r="78" spans="1:7" x14ac:dyDescent="0.3">
      <c r="A78" s="4">
        <v>50</v>
      </c>
      <c r="B78" s="4">
        <v>63451.367931466593</v>
      </c>
      <c r="C78" s="4">
        <v>-4451.3679314665933</v>
      </c>
      <c r="D78" s="4">
        <v>-0.63738007341825964</v>
      </c>
      <c r="E78">
        <f>(Лист1!C52-Лист3!B78)^2</f>
        <v>3481044092.3572555</v>
      </c>
      <c r="F78" s="4">
        <v>44.594594594594597</v>
      </c>
      <c r="G78" s="4">
        <v>62500</v>
      </c>
    </row>
    <row r="79" spans="1:7" x14ac:dyDescent="0.3">
      <c r="A79" s="4">
        <v>51</v>
      </c>
      <c r="B79" s="4">
        <v>77059.324224141601</v>
      </c>
      <c r="C79" s="4">
        <v>-5559.324224141601</v>
      </c>
      <c r="D79" s="4">
        <v>-0.79602552219758604</v>
      </c>
      <c r="E79">
        <f>(Лист1!C53-Лист3!B79)^2</f>
        <v>5112182118.726119</v>
      </c>
      <c r="F79" s="4">
        <v>45.495495495495497</v>
      </c>
      <c r="G79" s="4">
        <v>62500</v>
      </c>
    </row>
    <row r="80" spans="1:7" x14ac:dyDescent="0.3">
      <c r="A80" s="4">
        <v>52</v>
      </c>
      <c r="B80" s="4">
        <v>57603.822676239695</v>
      </c>
      <c r="C80" s="4">
        <v>-1603.8226762396953</v>
      </c>
      <c r="D80" s="4">
        <v>-0.22964729738589088</v>
      </c>
      <c r="E80">
        <f>(Лист1!C54-Лист3!B80)^2</f>
        <v>3136082680.6750607</v>
      </c>
      <c r="F80" s="4">
        <v>46.396396396396398</v>
      </c>
      <c r="G80" s="4">
        <v>64000</v>
      </c>
    </row>
    <row r="81" spans="1:7" x14ac:dyDescent="0.3">
      <c r="A81" s="4">
        <v>53</v>
      </c>
      <c r="B81" s="4">
        <v>91380.748474762731</v>
      </c>
      <c r="C81" s="4">
        <v>1119.2515252372687</v>
      </c>
      <c r="D81" s="4">
        <v>0.16026278445470785</v>
      </c>
      <c r="E81">
        <f>(Лист1!C55-Лист3!B81)^2</f>
        <v>8555997008.0656433</v>
      </c>
      <c r="F81" s="4">
        <v>47.297297297297298</v>
      </c>
      <c r="G81" s="4">
        <v>64000</v>
      </c>
    </row>
    <row r="82" spans="1:7" x14ac:dyDescent="0.3">
      <c r="A82" s="4">
        <v>54</v>
      </c>
      <c r="B82" s="4">
        <v>93422.830561276307</v>
      </c>
      <c r="C82" s="4">
        <v>1577.169438723693</v>
      </c>
      <c r="D82" s="4">
        <v>0.22583088797055265</v>
      </c>
      <c r="E82">
        <f>(Лист1!C56-Лист3!B82)^2</f>
        <v>9024715982.0117512</v>
      </c>
      <c r="F82" s="4">
        <v>48.198198198198199</v>
      </c>
      <c r="G82" s="4">
        <v>64500</v>
      </c>
    </row>
    <row r="83" spans="1:7" x14ac:dyDescent="0.3">
      <c r="A83" s="4">
        <v>55</v>
      </c>
      <c r="B83" s="4">
        <v>68104.893353169493</v>
      </c>
      <c r="C83" s="4">
        <v>-104.89335316949291</v>
      </c>
      <c r="D83" s="4">
        <v>-1.5019412947568112E-2</v>
      </c>
      <c r="E83">
        <f>(Лист1!C57-Лист3!B83)^2</f>
        <v>4624011362.652524</v>
      </c>
      <c r="F83" s="4">
        <v>49.099099099099107</v>
      </c>
      <c r="G83" s="4">
        <v>65000</v>
      </c>
    </row>
    <row r="84" spans="1:7" x14ac:dyDescent="0.3">
      <c r="A84" s="4">
        <v>56</v>
      </c>
      <c r="B84" s="4">
        <v>62923.251266134212</v>
      </c>
      <c r="C84" s="4">
        <v>2076.7487338657884</v>
      </c>
      <c r="D84" s="4">
        <v>0.29736437895991702</v>
      </c>
      <c r="E84">
        <f>(Лист1!C58-Лист3!B84)^2</f>
        <v>4225052856.4954314</v>
      </c>
      <c r="F84" s="4">
        <v>50.000000000000007</v>
      </c>
      <c r="G84" s="4">
        <v>65000</v>
      </c>
    </row>
    <row r="85" spans="1:7" x14ac:dyDescent="0.3">
      <c r="A85" s="4">
        <v>57</v>
      </c>
      <c r="B85" s="4">
        <v>60704.494355620649</v>
      </c>
      <c r="C85" s="4">
        <v>-2704.494355620649</v>
      </c>
      <c r="D85" s="4">
        <v>-0.38724968088109052</v>
      </c>
      <c r="E85">
        <f>(Лист1!C59-Лист3!B85)^2</f>
        <v>3364063209.945642</v>
      </c>
      <c r="F85" s="4">
        <v>50.900900900900908</v>
      </c>
      <c r="G85" s="4">
        <v>65000</v>
      </c>
    </row>
    <row r="86" spans="1:7" x14ac:dyDescent="0.3">
      <c r="A86" s="4">
        <v>58</v>
      </c>
      <c r="B86" s="4">
        <v>64316.827550225091</v>
      </c>
      <c r="C86" s="4">
        <v>-1816.8275502250908</v>
      </c>
      <c r="D86" s="4">
        <v>-0.2601469245363538</v>
      </c>
      <c r="E86">
        <f>(Лист1!C60-Лист3!B86)^2</f>
        <v>3906289963.5584121</v>
      </c>
      <c r="F86" s="4">
        <v>51.801801801801808</v>
      </c>
      <c r="G86" s="4">
        <v>65000</v>
      </c>
    </row>
    <row r="87" spans="1:7" x14ac:dyDescent="0.3">
      <c r="A87" s="4">
        <v>59</v>
      </c>
      <c r="B87" s="4">
        <v>70355.488702846415</v>
      </c>
      <c r="C87" s="4">
        <v>-7855.4887028464145</v>
      </c>
      <c r="D87" s="4">
        <v>-1.1248074846302183</v>
      </c>
      <c r="E87">
        <f>(Лист1!C61-Лист3!B87)^2</f>
        <v>3906242905.0476594</v>
      </c>
      <c r="F87" s="4">
        <v>52.702702702702709</v>
      </c>
      <c r="G87" s="4">
        <v>65000</v>
      </c>
    </row>
    <row r="88" spans="1:7" x14ac:dyDescent="0.3">
      <c r="A88" s="4">
        <v>60</v>
      </c>
      <c r="B88" s="4">
        <v>60241.832729888156</v>
      </c>
      <c r="C88" s="4">
        <v>4758.1672701118441</v>
      </c>
      <c r="D88" s="4">
        <v>0.68130989184734569</v>
      </c>
      <c r="E88">
        <f>(Лист1!C62-Лист3!B88)^2</f>
        <v>4225074588.4018583</v>
      </c>
      <c r="F88" s="4">
        <v>53.603603603603609</v>
      </c>
      <c r="G88" s="4">
        <v>65000</v>
      </c>
    </row>
    <row r="89" spans="1:7" x14ac:dyDescent="0.3">
      <c r="A89" s="4">
        <v>61</v>
      </c>
      <c r="B89" s="4">
        <v>89835.779683982793</v>
      </c>
      <c r="C89" s="4">
        <v>-2335.7796839827934</v>
      </c>
      <c r="D89" s="4">
        <v>-0.33445436310525867</v>
      </c>
      <c r="E89">
        <f>(Лист1!C63-Лист3!B89)^2</f>
        <v>7656027538.7574997</v>
      </c>
      <c r="F89" s="4">
        <v>54.50450450450451</v>
      </c>
      <c r="G89" s="4">
        <v>66000</v>
      </c>
    </row>
    <row r="90" spans="1:7" x14ac:dyDescent="0.3">
      <c r="A90" s="4">
        <v>62</v>
      </c>
      <c r="B90" s="4">
        <v>87828.149267470377</v>
      </c>
      <c r="C90" s="4">
        <v>-328.1492674703768</v>
      </c>
      <c r="D90" s="4">
        <v>-4.6986860536488227E-2</v>
      </c>
      <c r="E90">
        <f>(Лист1!C64-Лист3!B90)^2</f>
        <v>7656049441.6972399</v>
      </c>
      <c r="F90" s="4">
        <v>55.405405405405411</v>
      </c>
      <c r="G90" s="4">
        <v>66000</v>
      </c>
    </row>
    <row r="91" spans="1:7" x14ac:dyDescent="0.3">
      <c r="A91" s="4">
        <v>63</v>
      </c>
      <c r="B91" s="4">
        <v>57446.216233186402</v>
      </c>
      <c r="C91" s="4">
        <v>3553.783766813598</v>
      </c>
      <c r="D91" s="4">
        <v>0.50885727557865201</v>
      </c>
      <c r="E91">
        <f>(Лист1!C65-Лист3!B91)^2</f>
        <v>3721091261.5714211</v>
      </c>
      <c r="F91" s="4">
        <v>56.306306306306311</v>
      </c>
      <c r="G91" s="4">
        <v>67000</v>
      </c>
    </row>
    <row r="92" spans="1:7" x14ac:dyDescent="0.3">
      <c r="A92" s="4">
        <v>64</v>
      </c>
      <c r="B92" s="4">
        <v>69917.616510348395</v>
      </c>
      <c r="C92" s="4">
        <v>-4917.6165103483945</v>
      </c>
      <c r="D92" s="4">
        <v>-0.70414102376300702</v>
      </c>
      <c r="E92">
        <f>(Лист1!C66-Лист3!B92)^2</f>
        <v>4224996170.0126438</v>
      </c>
      <c r="F92" s="4">
        <v>57.207207207207212</v>
      </c>
      <c r="G92" s="4">
        <v>67000</v>
      </c>
    </row>
    <row r="93" spans="1:7" x14ac:dyDescent="0.3">
      <c r="A93" s="4">
        <v>65</v>
      </c>
      <c r="B93" s="4">
        <v>56034.513783808863</v>
      </c>
      <c r="C93" s="4">
        <v>1465.4862161911369</v>
      </c>
      <c r="D93" s="4">
        <v>0.2098392508663299</v>
      </c>
      <c r="E93">
        <f>(Лист1!C67-Лист3!B93)^2</f>
        <v>3306346146.5205789</v>
      </c>
      <c r="F93" s="4">
        <v>58.108108108108112</v>
      </c>
      <c r="G93" s="4">
        <v>67500</v>
      </c>
    </row>
    <row r="94" spans="1:7" x14ac:dyDescent="0.3">
      <c r="A94" s="4">
        <v>66</v>
      </c>
      <c r="B94" s="4">
        <v>53437.854583550652</v>
      </c>
      <c r="C94" s="4">
        <v>-3437.854583550652</v>
      </c>
      <c r="D94" s="4">
        <v>-0.49225767013666588</v>
      </c>
      <c r="E94">
        <f>(Лист1!C68-Лист3!B94)^2</f>
        <v>2500099794.3693819</v>
      </c>
      <c r="F94" s="4">
        <v>59.009009009009013</v>
      </c>
      <c r="G94" s="4">
        <v>67500</v>
      </c>
    </row>
    <row r="95" spans="1:7" x14ac:dyDescent="0.3">
      <c r="A95" s="4">
        <v>67</v>
      </c>
      <c r="B95" s="4">
        <v>56546.411214473628</v>
      </c>
      <c r="C95" s="4">
        <v>-1546.4112144736282</v>
      </c>
      <c r="D95" s="4">
        <v>-0.22142669592609443</v>
      </c>
      <c r="E95">
        <f>(Лист1!C69-Лист3!B95)^2</f>
        <v>3025088455.7696896</v>
      </c>
      <c r="F95" s="4">
        <v>59.909909909909913</v>
      </c>
      <c r="G95" s="4">
        <v>68000</v>
      </c>
    </row>
    <row r="96" spans="1:7" x14ac:dyDescent="0.3">
      <c r="A96" s="4">
        <v>68</v>
      </c>
      <c r="B96" s="4">
        <v>56161.11685726342</v>
      </c>
      <c r="C96" s="4">
        <v>-2161.1168572634197</v>
      </c>
      <c r="D96" s="4">
        <v>-0.30944483636385622</v>
      </c>
      <c r="E96">
        <f>(Лист1!C70-Лист3!B96)^2</f>
        <v>2916089441.7311907</v>
      </c>
      <c r="F96" s="4">
        <v>60.810810810810814</v>
      </c>
      <c r="G96" s="4">
        <v>68500</v>
      </c>
    </row>
    <row r="97" spans="1:7" x14ac:dyDescent="0.3">
      <c r="A97" s="4">
        <v>69</v>
      </c>
      <c r="B97" s="4">
        <v>53773.913135828589</v>
      </c>
      <c r="C97" s="4">
        <v>-3773.9131358285886</v>
      </c>
      <c r="D97" s="4">
        <v>-0.54037704108544604</v>
      </c>
      <c r="E97">
        <f>(Лист1!C71-Лист3!B97)^2</f>
        <v>2500097699.243506</v>
      </c>
      <c r="F97" s="4">
        <v>61.711711711711715</v>
      </c>
      <c r="G97" s="4">
        <v>70000</v>
      </c>
    </row>
    <row r="98" spans="1:7" x14ac:dyDescent="0.3">
      <c r="A98" s="4">
        <v>70</v>
      </c>
      <c r="B98" s="4">
        <v>53052.560226340443</v>
      </c>
      <c r="C98" s="4">
        <v>-3552.5602263404435</v>
      </c>
      <c r="D98" s="4">
        <v>-0.50868207992450343</v>
      </c>
      <c r="E98">
        <f>(Лист1!C72-Лист3!B98)^2</f>
        <v>2450351174.4983182</v>
      </c>
      <c r="F98" s="4">
        <v>62.612612612612615</v>
      </c>
      <c r="G98" s="4">
        <v>70000</v>
      </c>
    </row>
    <row r="99" spans="1:7" x14ac:dyDescent="0.3">
      <c r="A99" s="4">
        <v>71</v>
      </c>
      <c r="B99" s="4">
        <v>63350.389360811125</v>
      </c>
      <c r="C99" s="4">
        <v>14149.610639188875</v>
      </c>
      <c r="D99" s="4">
        <v>2.0260468258067821</v>
      </c>
      <c r="E99">
        <f>(Лист1!C73-Лист3!B99)^2</f>
        <v>6006308893.6579733</v>
      </c>
      <c r="F99" s="4">
        <v>63.513513513513516</v>
      </c>
      <c r="G99" s="4">
        <v>71000</v>
      </c>
    </row>
    <row r="100" spans="1:7" x14ac:dyDescent="0.3">
      <c r="A100" s="4">
        <v>72</v>
      </c>
      <c r="B100" s="4">
        <v>62847.555012789686</v>
      </c>
      <c r="C100" s="4">
        <v>8652.4449872103141</v>
      </c>
      <c r="D100" s="4">
        <v>1.2389216317552454</v>
      </c>
      <c r="E100">
        <f>(Лист1!C74-Лист3!B100)^2</f>
        <v>5112308816.9663935</v>
      </c>
      <c r="F100" s="4">
        <v>64.414414414414409</v>
      </c>
      <c r="G100" s="4">
        <v>71500</v>
      </c>
    </row>
    <row r="101" spans="1:7" x14ac:dyDescent="0.3">
      <c r="A101" s="4">
        <v>73</v>
      </c>
      <c r="B101" s="4">
        <v>81863.064021432248</v>
      </c>
      <c r="C101" s="4">
        <v>-6863.0640214322484</v>
      </c>
      <c r="D101" s="4">
        <v>-0.98270471396721293</v>
      </c>
      <c r="E101">
        <f>(Лист1!C75-Лист3!B101)^2</f>
        <v>5624883874.4113417</v>
      </c>
      <c r="F101" s="4">
        <v>65.315315315315317</v>
      </c>
      <c r="G101" s="4">
        <v>71500</v>
      </c>
    </row>
    <row r="102" spans="1:7" x14ac:dyDescent="0.3">
      <c r="A102" s="4">
        <v>74</v>
      </c>
      <c r="B102" s="4">
        <v>92893.429494795739</v>
      </c>
      <c r="C102" s="4">
        <v>17106.570505204261</v>
      </c>
      <c r="D102" s="4">
        <v>2.4494464021870654</v>
      </c>
      <c r="E102">
        <f>(Лист1!C76-Лист3!B102)^2</f>
        <v>12099678397.576502</v>
      </c>
      <c r="F102" s="4">
        <v>66.21621621621621</v>
      </c>
      <c r="G102" s="4">
        <v>72000</v>
      </c>
    </row>
    <row r="103" spans="1:7" x14ac:dyDescent="0.3">
      <c r="A103" s="4">
        <v>75</v>
      </c>
      <c r="B103" s="4">
        <v>93278.723852005947</v>
      </c>
      <c r="C103" s="4">
        <v>9221.2761479940527</v>
      </c>
      <c r="D103" s="4">
        <v>1.3203711215761149</v>
      </c>
      <c r="E103">
        <f>(Лист1!C77-Лист3!B103)^2</f>
        <v>10505945401.060255</v>
      </c>
      <c r="F103" s="4">
        <v>67.117117117117118</v>
      </c>
      <c r="G103" s="4">
        <v>72500</v>
      </c>
    </row>
    <row r="104" spans="1:7" x14ac:dyDescent="0.3">
      <c r="A104" s="4">
        <v>76</v>
      </c>
      <c r="B104" s="4">
        <v>92893.429494795739</v>
      </c>
      <c r="C104" s="4">
        <v>22106.570505204261</v>
      </c>
      <c r="D104" s="4">
        <v>3.1653837086863086</v>
      </c>
      <c r="E104">
        <f>(Лист1!C78-Лист3!B104)^2</f>
        <v>13224663779.187389</v>
      </c>
      <c r="F104" s="4">
        <v>68.018018018018012</v>
      </c>
      <c r="G104" s="4">
        <v>72500</v>
      </c>
    </row>
    <row r="105" spans="1:7" x14ac:dyDescent="0.3">
      <c r="A105" s="4">
        <v>77</v>
      </c>
      <c r="B105" s="4">
        <v>62653.82588455746</v>
      </c>
      <c r="C105" s="4">
        <v>1346.1741154425399</v>
      </c>
      <c r="D105" s="4">
        <v>0.19275525405778651</v>
      </c>
      <c r="E105">
        <f>(Лист1!C79-Лист3!B105)^2</f>
        <v>4096054193.3182707</v>
      </c>
      <c r="F105" s="4">
        <v>68.918918918918919</v>
      </c>
      <c r="G105" s="4">
        <v>72500</v>
      </c>
    </row>
    <row r="106" spans="1:7" x14ac:dyDescent="0.3">
      <c r="A106" s="4">
        <v>78</v>
      </c>
      <c r="B106" s="4">
        <v>58479.181323254677</v>
      </c>
      <c r="C106" s="4">
        <v>2520.8186767453226</v>
      </c>
      <c r="D106" s="4">
        <v>0.36094962672040631</v>
      </c>
      <c r="E106">
        <f>(Лист1!C80-Лист3!B106)^2</f>
        <v>3721083404.9258204</v>
      </c>
      <c r="F106" s="4">
        <v>69.819819819819813</v>
      </c>
      <c r="G106" s="4">
        <v>75000</v>
      </c>
    </row>
    <row r="107" spans="1:7" x14ac:dyDescent="0.3">
      <c r="A107" s="4">
        <v>79</v>
      </c>
      <c r="B107" s="4">
        <v>70566.122312771084</v>
      </c>
      <c r="C107" s="4">
        <v>1933.8776872289163</v>
      </c>
      <c r="D107" s="4">
        <v>0.27690703649873105</v>
      </c>
      <c r="E107">
        <f>(Лист1!C81-Лист3!B107)^2</f>
        <v>5256239865.7892628</v>
      </c>
      <c r="F107" s="4">
        <v>70.72072072072072</v>
      </c>
      <c r="G107" s="4">
        <v>75000</v>
      </c>
    </row>
    <row r="108" spans="1:7" x14ac:dyDescent="0.3">
      <c r="A108" s="4">
        <v>80</v>
      </c>
      <c r="B108" s="4">
        <v>54915.601138078731</v>
      </c>
      <c r="C108" s="4">
        <v>4084.3988619212687</v>
      </c>
      <c r="D108" s="4">
        <v>0.58483470397449711</v>
      </c>
      <c r="E108">
        <f>(Лист1!C82-Лист3!B108)^2</f>
        <v>3481106886.0247898</v>
      </c>
      <c r="F108" s="4">
        <v>71.621621621621614</v>
      </c>
      <c r="G108" s="4">
        <v>75000</v>
      </c>
    </row>
    <row r="109" spans="1:7" x14ac:dyDescent="0.3">
      <c r="A109" s="4">
        <v>81</v>
      </c>
      <c r="B109" s="4">
        <v>62838.49193014636</v>
      </c>
      <c r="C109" s="4">
        <v>31961.50806985364</v>
      </c>
      <c r="D109" s="4">
        <v>4.5764871998369649</v>
      </c>
      <c r="E109">
        <f>(Лист1!C83-Лист3!B109)^2</f>
        <v>8987118090.966713</v>
      </c>
      <c r="F109" s="4">
        <v>72.522522522522522</v>
      </c>
      <c r="G109" s="4">
        <v>75000</v>
      </c>
    </row>
    <row r="110" spans="1:7" x14ac:dyDescent="0.3">
      <c r="A110" s="4">
        <v>82</v>
      </c>
      <c r="B110" s="4">
        <v>60462.022306532621</v>
      </c>
      <c r="C110" s="4">
        <v>-462.02230653262086</v>
      </c>
      <c r="D110" s="4">
        <v>-6.6155801136306411E-2</v>
      </c>
      <c r="E110">
        <f>(Лист1!C84-Лист3!B110)^2</f>
        <v>3600067203.5729823</v>
      </c>
      <c r="F110" s="4">
        <v>73.423423423423415</v>
      </c>
      <c r="G110" s="4">
        <v>75000</v>
      </c>
    </row>
    <row r="111" spans="1:7" x14ac:dyDescent="0.3">
      <c r="A111" s="4">
        <v>83</v>
      </c>
      <c r="B111" s="4">
        <v>63005.161455842994</v>
      </c>
      <c r="C111" s="4">
        <v>-3005.1614558429937</v>
      </c>
      <c r="D111" s="4">
        <v>-0.43030143965831519</v>
      </c>
      <c r="E111">
        <f>(Лист1!C85-Лист3!B111)^2</f>
        <v>3600048177.8380818</v>
      </c>
      <c r="F111" s="4">
        <v>74.324324324324323</v>
      </c>
      <c r="G111" s="4">
        <v>76000</v>
      </c>
    </row>
    <row r="112" spans="1:7" x14ac:dyDescent="0.3">
      <c r="A112" s="4">
        <v>84</v>
      </c>
      <c r="B112" s="4">
        <v>86317.139262615136</v>
      </c>
      <c r="C112" s="4">
        <v>-1317.1392626151355</v>
      </c>
      <c r="D112" s="4">
        <v>-0.18859782719221577</v>
      </c>
      <c r="E112">
        <f>(Лист1!C86-Лист3!B112)^2</f>
        <v>7224821185.8766327</v>
      </c>
      <c r="F112" s="4">
        <v>75.225225225225216</v>
      </c>
      <c r="G112" s="4">
        <v>77000</v>
      </c>
    </row>
    <row r="113" spans="1:7" x14ac:dyDescent="0.3">
      <c r="A113" s="4">
        <v>85</v>
      </c>
      <c r="B113" s="4">
        <v>77696.506863192539</v>
      </c>
      <c r="C113" s="4">
        <v>-10696.506863192539</v>
      </c>
      <c r="D113" s="4">
        <v>-1.5316056625169459</v>
      </c>
      <c r="E113">
        <f>(Лист1!C87-Лист3!B113)^2</f>
        <v>4488931068.0415926</v>
      </c>
      <c r="F113" s="4">
        <v>76.126126126126124</v>
      </c>
      <c r="G113" s="4">
        <v>77500</v>
      </c>
    </row>
    <row r="114" spans="1:7" x14ac:dyDescent="0.3">
      <c r="A114" s="4">
        <v>86</v>
      </c>
      <c r="B114" s="4">
        <v>57471.005666420882</v>
      </c>
      <c r="C114" s="4">
        <v>1528.9943335791177</v>
      </c>
      <c r="D114" s="4">
        <v>0.21893281696704761</v>
      </c>
      <c r="E114">
        <f>(Лист1!C88-Лист3!B114)^2</f>
        <v>3481088087.0424314</v>
      </c>
      <c r="F114" s="4">
        <v>77.027027027027017</v>
      </c>
      <c r="G114" s="4">
        <v>78000</v>
      </c>
    </row>
    <row r="115" spans="1:7" x14ac:dyDescent="0.3">
      <c r="A115" s="4">
        <v>87</v>
      </c>
      <c r="B115" s="4">
        <v>70607.966050237796</v>
      </c>
      <c r="C115" s="4">
        <v>-6107.9660502377956</v>
      </c>
      <c r="D115" s="4">
        <v>-0.87458415243921306</v>
      </c>
      <c r="E115">
        <f>(Лист1!C89-Лист3!B115)^2</f>
        <v>4160240647.5310936</v>
      </c>
      <c r="F115" s="4">
        <v>77.927927927927925</v>
      </c>
      <c r="G115" s="4">
        <v>80000</v>
      </c>
    </row>
    <row r="116" spans="1:7" x14ac:dyDescent="0.3">
      <c r="A116" s="4">
        <v>88</v>
      </c>
      <c r="B116" s="4">
        <v>66742.426708724219</v>
      </c>
      <c r="C116" s="4">
        <v>-1742.4267087242188</v>
      </c>
      <c r="D116" s="4">
        <v>-0.24949365692327155</v>
      </c>
      <c r="E116">
        <f>(Лист1!C90-Лист3!B116)^2</f>
        <v>4225021903.5861845</v>
      </c>
      <c r="F116" s="4">
        <v>78.828828828828833</v>
      </c>
      <c r="G116" s="4">
        <v>81000</v>
      </c>
    </row>
    <row r="117" spans="1:7" x14ac:dyDescent="0.3">
      <c r="A117" s="4">
        <v>89</v>
      </c>
      <c r="B117" s="4">
        <v>64661.949185146354</v>
      </c>
      <c r="C117" s="4">
        <v>-2161.9491851463536</v>
      </c>
      <c r="D117" s="4">
        <v>-0.30956401528038258</v>
      </c>
      <c r="E117">
        <f>(Лист1!C91-Лист3!B117)^2</f>
        <v>3906287274.062202</v>
      </c>
      <c r="F117" s="4">
        <v>79.729729729729726</v>
      </c>
      <c r="G117" s="4">
        <v>83500</v>
      </c>
    </row>
    <row r="118" spans="1:7" x14ac:dyDescent="0.3">
      <c r="A118" s="4">
        <v>90</v>
      </c>
      <c r="B118" s="4">
        <v>57521.91248653092</v>
      </c>
      <c r="C118" s="4">
        <v>2878.0875134690796</v>
      </c>
      <c r="D118" s="4">
        <v>0.41210604445243115</v>
      </c>
      <c r="E118">
        <f>(Лист1!C92-Лист3!B118)^2</f>
        <v>3648249793.8454494</v>
      </c>
      <c r="F118" s="4">
        <v>80.630630630630634</v>
      </c>
      <c r="G118" s="4">
        <v>83500</v>
      </c>
    </row>
    <row r="119" spans="1:7" x14ac:dyDescent="0.3">
      <c r="A119" s="4">
        <v>91</v>
      </c>
      <c r="B119" s="4">
        <v>112228.88409109548</v>
      </c>
      <c r="C119" s="4">
        <v>7771.115908904525</v>
      </c>
      <c r="D119" s="4">
        <v>1.1127263584629039</v>
      </c>
      <c r="E119">
        <f>(Лист1!C93-Лист3!B119)^2</f>
        <v>14399359863.252899</v>
      </c>
      <c r="F119" s="4">
        <v>81.531531531531527</v>
      </c>
      <c r="G119" s="4">
        <v>84000</v>
      </c>
    </row>
    <row r="120" spans="1:7" x14ac:dyDescent="0.3">
      <c r="A120" s="4">
        <v>92</v>
      </c>
      <c r="B120" s="4">
        <v>100923.37218386745</v>
      </c>
      <c r="C120" s="4">
        <v>1076.6278161325463</v>
      </c>
      <c r="D120" s="4">
        <v>0.15415960375681942</v>
      </c>
      <c r="E120">
        <f>(Лист1!C94-Лист3!B120)^2</f>
        <v>10403599664.386948</v>
      </c>
      <c r="F120" s="4">
        <v>82.432432432432435</v>
      </c>
      <c r="G120" s="4">
        <v>85000</v>
      </c>
    </row>
    <row r="121" spans="1:7" x14ac:dyDescent="0.3">
      <c r="A121" s="4">
        <v>93</v>
      </c>
      <c r="B121" s="4">
        <v>69590.621040713784</v>
      </c>
      <c r="C121" s="4">
        <v>-4590.6210407137842</v>
      </c>
      <c r="D121" s="4">
        <v>-0.65731937260947537</v>
      </c>
      <c r="E121">
        <f>(Лист1!C95-Лист3!B121)^2</f>
        <v>4224998820.1693263</v>
      </c>
      <c r="F121" s="4">
        <v>83.333333333333329</v>
      </c>
      <c r="G121" s="4">
        <v>85000</v>
      </c>
    </row>
    <row r="122" spans="1:7" x14ac:dyDescent="0.3">
      <c r="A122" s="4">
        <v>94</v>
      </c>
      <c r="B122" s="4">
        <v>100075.30993087789</v>
      </c>
      <c r="C122" s="4">
        <v>-5575.309930877891</v>
      </c>
      <c r="D122" s="4">
        <v>-0.79831447496223928</v>
      </c>
      <c r="E122">
        <f>(Лист1!C96-Лист3!B122)^2</f>
        <v>8929889093.4529247</v>
      </c>
      <c r="F122" s="4">
        <v>84.234234234234236</v>
      </c>
      <c r="G122" s="4">
        <v>87500</v>
      </c>
    </row>
    <row r="123" spans="1:7" x14ac:dyDescent="0.3">
      <c r="A123" s="4">
        <v>95</v>
      </c>
      <c r="B123" s="4">
        <v>63418.693546690083</v>
      </c>
      <c r="C123" s="4">
        <v>-5418.6935466900832</v>
      </c>
      <c r="D123" s="4">
        <v>-0.77588897251242528</v>
      </c>
      <c r="E123">
        <f>(Лист1!C97-Лист3!B123)^2</f>
        <v>3364043581.3266821</v>
      </c>
      <c r="F123" s="4">
        <v>85.13513513513513</v>
      </c>
      <c r="G123" s="4">
        <v>87500</v>
      </c>
    </row>
    <row r="124" spans="1:7" x14ac:dyDescent="0.3">
      <c r="A124" s="4">
        <v>96</v>
      </c>
      <c r="B124" s="4">
        <v>64569.198627569596</v>
      </c>
      <c r="C124" s="4">
        <v>1430.8013724304037</v>
      </c>
      <c r="D124" s="4">
        <v>0.2048728161426486</v>
      </c>
      <c r="E124">
        <f>(Лист1!C98-Лист3!B124)^2</f>
        <v>4356040124.6761837</v>
      </c>
      <c r="F124" s="4">
        <v>86.036036036036037</v>
      </c>
      <c r="G124" s="4">
        <v>90000</v>
      </c>
    </row>
    <row r="125" spans="1:7" x14ac:dyDescent="0.3">
      <c r="A125" s="4">
        <v>97</v>
      </c>
      <c r="B125" s="4">
        <v>53817.427888473067</v>
      </c>
      <c r="C125" s="4">
        <v>8682.5721115269334</v>
      </c>
      <c r="D125" s="4">
        <v>1.243235458202407</v>
      </c>
      <c r="E125">
        <f>(Лист1!C99-Лист3!B125)^2</f>
        <v>3906371784.7062998</v>
      </c>
      <c r="F125" s="4">
        <v>86.936936936936931</v>
      </c>
      <c r="G125" s="4">
        <v>92000</v>
      </c>
    </row>
    <row r="126" spans="1:7" x14ac:dyDescent="0.3">
      <c r="A126" s="4">
        <v>98</v>
      </c>
      <c r="B126" s="4">
        <v>53699.887897661836</v>
      </c>
      <c r="C126" s="4">
        <v>8000.1121023381638</v>
      </c>
      <c r="D126" s="4">
        <v>1.1455157420479958</v>
      </c>
      <c r="E126">
        <f>(Лист1!C100-Лист3!B126)^2</f>
        <v>3807011130.1362228</v>
      </c>
      <c r="F126" s="4">
        <v>87.837837837837839</v>
      </c>
      <c r="G126" s="4">
        <v>92500</v>
      </c>
    </row>
    <row r="127" spans="1:7" x14ac:dyDescent="0.3">
      <c r="A127" s="4">
        <v>99</v>
      </c>
      <c r="B127" s="4">
        <v>72380.516485127751</v>
      </c>
      <c r="C127" s="4">
        <v>-2380.5164851277514</v>
      </c>
      <c r="D127" s="4">
        <v>-0.34086011208788136</v>
      </c>
      <c r="E127">
        <f>(Лист1!C101-Лист3!B127)^2</f>
        <v>4899974379.2452593</v>
      </c>
      <c r="F127" s="4">
        <v>88.738738738738732</v>
      </c>
      <c r="G127" s="4">
        <v>94500</v>
      </c>
    </row>
    <row r="128" spans="1:7" x14ac:dyDescent="0.3">
      <c r="A128" s="4">
        <v>100</v>
      </c>
      <c r="B128" s="4">
        <v>62374.888088753833</v>
      </c>
      <c r="C128" s="4">
        <v>-6374.8880887538326</v>
      </c>
      <c r="D128" s="4">
        <v>-0.91280404149930483</v>
      </c>
      <c r="E128">
        <f>(Лист1!C102-Лист3!B128)^2</f>
        <v>3136049366.8456931</v>
      </c>
      <c r="F128" s="4">
        <v>89.63963963963964</v>
      </c>
      <c r="G128" s="4">
        <v>94800</v>
      </c>
    </row>
    <row r="129" spans="1:7" x14ac:dyDescent="0.3">
      <c r="A129" s="4">
        <v>101</v>
      </c>
      <c r="B129" s="4">
        <v>81259.251102755341</v>
      </c>
      <c r="C129" s="4">
        <v>-14259.251102755341</v>
      </c>
      <c r="D129" s="4">
        <v>-2.0417459654406032</v>
      </c>
      <c r="E129">
        <f>(Лист1!C103-Лист3!B129)^2</f>
        <v>4488901305.365201</v>
      </c>
      <c r="F129" s="4">
        <v>90.540540540540533</v>
      </c>
      <c r="G129" s="4">
        <v>95000</v>
      </c>
    </row>
    <row r="130" spans="1:7" x14ac:dyDescent="0.3">
      <c r="A130" s="4">
        <v>102</v>
      </c>
      <c r="B130" s="4">
        <v>81327.555288634292</v>
      </c>
      <c r="C130" s="4">
        <v>2172.4447113657079</v>
      </c>
      <c r="D130" s="4">
        <v>0.31106684303473792</v>
      </c>
      <c r="E130">
        <f>(Лист1!C104-Лист3!B130)^2</f>
        <v>6972126288.7104959</v>
      </c>
      <c r="F130" s="4">
        <v>91.441441441441441</v>
      </c>
      <c r="G130" s="4">
        <v>95000</v>
      </c>
    </row>
    <row r="131" spans="1:7" x14ac:dyDescent="0.3">
      <c r="A131" s="4">
        <v>103</v>
      </c>
      <c r="B131" s="4">
        <v>83485.400080734456</v>
      </c>
      <c r="C131" s="4">
        <v>14.599919265543576</v>
      </c>
      <c r="D131" s="4">
        <v>2.0905253748159341E-3</v>
      </c>
      <c r="E131">
        <f>(Лист1!C105-Лист3!B131)^2</f>
        <v>6972103823.0565977</v>
      </c>
      <c r="F131" s="4">
        <v>92.342342342342334</v>
      </c>
      <c r="G131" s="4">
        <v>98000</v>
      </c>
    </row>
    <row r="132" spans="1:7" x14ac:dyDescent="0.3">
      <c r="A132" s="4">
        <v>104</v>
      </c>
      <c r="B132" s="4">
        <v>57068.313943441754</v>
      </c>
      <c r="C132" s="4">
        <v>-5568.3139434417535</v>
      </c>
      <c r="D132" s="4">
        <v>-0.79731273728197305</v>
      </c>
      <c r="E132">
        <f>(Лист1!C106-Лист3!B132)^2</f>
        <v>2652329475.4554443</v>
      </c>
      <c r="F132" s="4">
        <v>93.243243243243242</v>
      </c>
      <c r="G132" s="4">
        <v>100500</v>
      </c>
    </row>
    <row r="133" spans="1:7" x14ac:dyDescent="0.3">
      <c r="A133" s="4">
        <v>105</v>
      </c>
      <c r="B133" s="4">
        <v>79126.195743889664</v>
      </c>
      <c r="C133" s="4">
        <v>-4126.1957438896643</v>
      </c>
      <c r="D133" s="4">
        <v>-0.59081949339380102</v>
      </c>
      <c r="E133">
        <f>(Лист1!C107-Лист3!B133)^2</f>
        <v>5624909467.7979841</v>
      </c>
      <c r="F133" s="4">
        <v>94.144144144144136</v>
      </c>
      <c r="G133" s="4">
        <v>101500</v>
      </c>
    </row>
    <row r="134" spans="1:7" x14ac:dyDescent="0.3">
      <c r="A134" s="4">
        <v>106</v>
      </c>
      <c r="B134" s="4">
        <v>56085.420603918901</v>
      </c>
      <c r="C134" s="4">
        <v>1914.5793960810988</v>
      </c>
      <c r="D134" s="4">
        <v>0.27414376318184974</v>
      </c>
      <c r="E134">
        <f>(Лист1!C108-Лист3!B134)^2</f>
        <v>3364096614.4195108</v>
      </c>
      <c r="F134" s="4">
        <v>95.045045045045043</v>
      </c>
      <c r="G134" s="4">
        <v>102000</v>
      </c>
    </row>
    <row r="135" spans="1:7" x14ac:dyDescent="0.3">
      <c r="A135" s="4">
        <v>107</v>
      </c>
      <c r="B135" s="4">
        <v>91699.40966127174</v>
      </c>
      <c r="C135" s="4">
        <v>-6699.4096612717403</v>
      </c>
      <c r="D135" s="4">
        <v>-0.95927146160517873</v>
      </c>
      <c r="E135">
        <f>(Лист1!C109-Лист3!B135)^2</f>
        <v>7224764143.8701057</v>
      </c>
      <c r="F135" s="4">
        <v>95.945945945945937</v>
      </c>
      <c r="G135" s="4">
        <v>102500</v>
      </c>
    </row>
    <row r="136" spans="1:7" x14ac:dyDescent="0.3">
      <c r="A136" s="4">
        <v>108</v>
      </c>
      <c r="B136" s="4">
        <v>64661.949185146354</v>
      </c>
      <c r="C136" s="4">
        <v>-661.94918514635356</v>
      </c>
      <c r="D136" s="4">
        <v>-9.4782823330609778E-2</v>
      </c>
      <c r="E136">
        <f>(Лист1!C110-Лист3!B136)^2</f>
        <v>4096038168.6375608</v>
      </c>
      <c r="F136" s="4">
        <v>96.846846846846844</v>
      </c>
      <c r="G136" s="4">
        <v>105000</v>
      </c>
    </row>
    <row r="137" spans="1:7" x14ac:dyDescent="0.3">
      <c r="A137" s="4">
        <v>109</v>
      </c>
      <c r="B137" s="4">
        <v>80873.956745545132</v>
      </c>
      <c r="C137" s="4">
        <v>-5873.9567455451324</v>
      </c>
      <c r="D137" s="4">
        <v>-0.84107695417972794</v>
      </c>
      <c r="E137">
        <f>(Лист1!C111-Лист3!B137)^2</f>
        <v>5624893123.8833599</v>
      </c>
      <c r="F137" s="4">
        <v>97.747747747747752</v>
      </c>
      <c r="G137" s="4">
        <v>110000</v>
      </c>
    </row>
    <row r="138" spans="1:7" x14ac:dyDescent="0.3">
      <c r="A138" s="4">
        <v>110</v>
      </c>
      <c r="B138" s="4">
        <v>74455.27295641783</v>
      </c>
      <c r="C138" s="4">
        <v>-1955.2729564178298</v>
      </c>
      <c r="D138" s="4">
        <v>-0.27997057077771847</v>
      </c>
      <c r="E138">
        <f>(Лист1!C112-Лист3!B138)^2</f>
        <v>5256204709.080224</v>
      </c>
      <c r="F138" s="4">
        <v>98.648648648648646</v>
      </c>
      <c r="G138" s="4">
        <v>115000</v>
      </c>
    </row>
    <row r="139" spans="1:7" ht="15" thickBot="1" x14ac:dyDescent="0.35">
      <c r="A139" s="5">
        <v>111</v>
      </c>
      <c r="B139" s="5">
        <v>50584.528264823952</v>
      </c>
      <c r="C139" s="5">
        <v>415.47173517604824</v>
      </c>
      <c r="D139" s="5">
        <v>5.9490343001701328E-2</v>
      </c>
      <c r="E139">
        <f>(Лист1!C113-Лист3!B139)^2</f>
        <v>2601119934.8394647</v>
      </c>
      <c r="F139" s="5">
        <v>99.549549549549553</v>
      </c>
      <c r="G139" s="5">
        <v>120000</v>
      </c>
    </row>
  </sheetData>
  <sortState xmlns:xlrd2="http://schemas.microsoft.com/office/spreadsheetml/2017/richdata2" ref="G29:G139">
    <sortCondition ref="G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C07-4200-4FC2-91F0-29F7C50AC323}">
  <dimension ref="A1:G7"/>
  <sheetViews>
    <sheetView topLeftCell="A4" workbookViewId="0">
      <selection activeCell="C3" sqref="C3"/>
    </sheetView>
  </sheetViews>
  <sheetFormatPr defaultRowHeight="14.4" x14ac:dyDescent="0.3"/>
  <cols>
    <col min="1" max="7" width="20.88671875" customWidth="1"/>
  </cols>
  <sheetData>
    <row r="1" spans="1:7" ht="96.6" x14ac:dyDescent="0.3">
      <c r="A1" s="6"/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ht="27.6" x14ac:dyDescent="0.3">
      <c r="A2" s="1" t="s">
        <v>6</v>
      </c>
      <c r="B2" s="4">
        <v>1</v>
      </c>
      <c r="C2" s="4"/>
      <c r="D2" s="4"/>
      <c r="E2" s="4"/>
      <c r="F2" s="4"/>
      <c r="G2" s="4"/>
    </row>
    <row r="3" spans="1:7" ht="96.6" x14ac:dyDescent="0.3">
      <c r="A3" s="1" t="s">
        <v>7</v>
      </c>
      <c r="B3" s="4">
        <v>0.89418205904538584</v>
      </c>
      <c r="C3" s="4">
        <v>1</v>
      </c>
      <c r="D3" s="4"/>
      <c r="E3" s="4"/>
      <c r="F3" s="4"/>
      <c r="G3" s="4"/>
    </row>
    <row r="4" spans="1:7" ht="55.2" x14ac:dyDescent="0.3">
      <c r="A4" s="1" t="s">
        <v>1</v>
      </c>
      <c r="B4" s="4">
        <v>0.42762023000667782</v>
      </c>
      <c r="C4" s="4">
        <v>0.47024672471336332</v>
      </c>
      <c r="D4" s="4">
        <v>1</v>
      </c>
      <c r="E4" s="4"/>
      <c r="F4" s="4"/>
      <c r="G4" s="4"/>
    </row>
    <row r="5" spans="1:7" ht="27.6" x14ac:dyDescent="0.3">
      <c r="A5" s="1" t="s">
        <v>2</v>
      </c>
      <c r="B5" s="4">
        <v>0.29448186064776327</v>
      </c>
      <c r="C5" s="4">
        <v>0.28984551171913092</v>
      </c>
      <c r="D5" s="4">
        <v>0.36974371853123211</v>
      </c>
      <c r="E5" s="4">
        <v>1</v>
      </c>
      <c r="F5" s="4"/>
      <c r="G5" s="4"/>
    </row>
    <row r="6" spans="1:7" ht="69" x14ac:dyDescent="0.3">
      <c r="A6" s="1" t="s">
        <v>3</v>
      </c>
      <c r="B6" s="4">
        <v>0.33556343347556655</v>
      </c>
      <c r="C6" s="4">
        <v>0.28155962748239372</v>
      </c>
      <c r="D6" s="4">
        <v>0.21298344313336592</v>
      </c>
      <c r="E6" s="4">
        <v>0.24079499740896787</v>
      </c>
      <c r="F6" s="4">
        <v>1</v>
      </c>
      <c r="G6" s="4"/>
    </row>
    <row r="7" spans="1:7" ht="97.2" thickBot="1" x14ac:dyDescent="0.35">
      <c r="A7" s="1" t="s">
        <v>5</v>
      </c>
      <c r="B7" s="5">
        <v>0.3180332752284058</v>
      </c>
      <c r="C7" s="5">
        <v>0.27837647500618889</v>
      </c>
      <c r="D7" s="5">
        <v>0.20401627486298313</v>
      </c>
      <c r="E7" s="5">
        <v>0.21486807371153038</v>
      </c>
      <c r="F7" s="5">
        <v>0.28214078615454913</v>
      </c>
      <c r="G7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31F1-CB94-4D05-9D8D-C626C6B1BCC6}">
  <dimension ref="B2:P114"/>
  <sheetViews>
    <sheetView workbookViewId="0">
      <selection activeCell="K3" sqref="K3"/>
    </sheetView>
  </sheetViews>
  <sheetFormatPr defaultRowHeight="14.4" x14ac:dyDescent="0.3"/>
  <cols>
    <col min="10" max="10" width="12" bestFit="1" customWidth="1"/>
  </cols>
  <sheetData>
    <row r="2" spans="2:16" ht="96.6" x14ac:dyDescent="0.3">
      <c r="B2" s="1" t="s">
        <v>0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5</v>
      </c>
      <c r="I2" s="1" t="s">
        <v>4</v>
      </c>
      <c r="K2" s="1" t="s">
        <v>6</v>
      </c>
      <c r="L2" s="1" t="s">
        <v>7</v>
      </c>
      <c r="M2" s="1" t="s">
        <v>1</v>
      </c>
      <c r="N2" s="1" t="s">
        <v>2</v>
      </c>
      <c r="O2" s="1" t="s">
        <v>3</v>
      </c>
      <c r="P2" s="1" t="s">
        <v>5</v>
      </c>
    </row>
    <row r="3" spans="2:16" x14ac:dyDescent="0.3">
      <c r="B3" s="2">
        <v>11</v>
      </c>
      <c r="C3" s="2">
        <v>80000</v>
      </c>
      <c r="D3" s="3">
        <v>134</v>
      </c>
      <c r="E3" s="2">
        <v>4</v>
      </c>
      <c r="F3" s="2">
        <v>11</v>
      </c>
      <c r="G3" s="3">
        <v>5</v>
      </c>
      <c r="H3" s="2">
        <v>0</v>
      </c>
      <c r="I3" s="2" t="s">
        <v>8</v>
      </c>
      <c r="J3">
        <f>(C3-AVERAGE($C$3:$C$113))^2</f>
        <v>111407074.10112818</v>
      </c>
      <c r="K3">
        <f>(C3-AVERAGE(C$3:C$113))/_xlfn.STDEV.S(C$3:C$113)</f>
        <v>0.65802588201924328</v>
      </c>
      <c r="L3">
        <f>(D3-AVERAGE(D$3:D$113))/_xlfn.STDEV.S(D$3:D$113)</f>
        <v>0.66569265165952718</v>
      </c>
      <c r="M3">
        <f>(E3-AVERAGE(E$3:E$113))/_xlfn.STDEV.S(E$3:E$113)</f>
        <v>1.0517567376375871</v>
      </c>
      <c r="N3">
        <f t="shared" ref="L3:P18" si="0">(F3-AVERAGE(F$3:F$113))/_xlfn.STDEV.S(F$3:F$113)</f>
        <v>0.31424926213532922</v>
      </c>
      <c r="O3">
        <f>(G3-AVERAGE(G$3:G$113))/_xlfn.STDEV.S(G$3:G$113)</f>
        <v>1.6046259168959089</v>
      </c>
      <c r="P3">
        <f t="shared" si="0"/>
        <v>-1.1210205295108828</v>
      </c>
    </row>
    <row r="4" spans="2:16" x14ac:dyDescent="0.3">
      <c r="B4" s="2">
        <v>12</v>
      </c>
      <c r="C4" s="2">
        <v>75000</v>
      </c>
      <c r="D4" s="3">
        <v>140</v>
      </c>
      <c r="E4" s="2">
        <v>5</v>
      </c>
      <c r="F4" s="2">
        <v>12</v>
      </c>
      <c r="G4" s="3">
        <v>3</v>
      </c>
      <c r="H4" s="2">
        <v>1</v>
      </c>
      <c r="I4" s="2" t="s">
        <v>9</v>
      </c>
      <c r="J4">
        <f t="shared" ref="J4:J67" si="1">(C4-AVERAGE($C$3:$C$113))^2</f>
        <v>30857524.551578611</v>
      </c>
      <c r="K4">
        <f t="shared" ref="K4:K67" si="2">(C4-AVERAGE(C$3:C$113))/_xlfn.STDEV.S(C$3:C$113)</f>
        <v>0.34631167536110058</v>
      </c>
      <c r="L4">
        <f t="shared" si="0"/>
        <v>0.86388277504139799</v>
      </c>
      <c r="M4">
        <f t="shared" si="0"/>
        <v>1.7953554502348619</v>
      </c>
      <c r="N4">
        <f t="shared" si="0"/>
        <v>0.92620835155675918</v>
      </c>
      <c r="O4">
        <f t="shared" si="0"/>
        <v>-1.4929997661553238</v>
      </c>
      <c r="P4">
        <f t="shared" si="0"/>
        <v>0.82324945135955463</v>
      </c>
    </row>
    <row r="5" spans="2:16" ht="26.4" x14ac:dyDescent="0.3">
      <c r="B5" s="2">
        <v>13</v>
      </c>
      <c r="C5" s="2">
        <v>76000</v>
      </c>
      <c r="D5" s="3">
        <v>139</v>
      </c>
      <c r="E5" s="2">
        <v>1</v>
      </c>
      <c r="F5" s="2">
        <v>9</v>
      </c>
      <c r="G5" s="3">
        <v>3</v>
      </c>
      <c r="H5" s="2">
        <v>0</v>
      </c>
      <c r="I5" s="2" t="s">
        <v>10</v>
      </c>
      <c r="J5">
        <f t="shared" si="1"/>
        <v>42967434.461488523</v>
      </c>
      <c r="K5">
        <f t="shared" si="2"/>
        <v>0.40865451669272912</v>
      </c>
      <c r="L5">
        <f t="shared" si="0"/>
        <v>0.83085108781108619</v>
      </c>
      <c r="M5">
        <f t="shared" si="0"/>
        <v>-1.1790394001542375</v>
      </c>
      <c r="N5">
        <f t="shared" si="0"/>
        <v>-0.90966891670753069</v>
      </c>
      <c r="O5">
        <f t="shared" si="0"/>
        <v>-1.4929997661553238</v>
      </c>
      <c r="P5">
        <f t="shared" si="0"/>
        <v>-1.1210205295108828</v>
      </c>
    </row>
    <row r="6" spans="2:16" x14ac:dyDescent="0.3">
      <c r="B6" s="2">
        <v>14</v>
      </c>
      <c r="C6" s="2">
        <v>75000</v>
      </c>
      <c r="D6" s="3">
        <v>125</v>
      </c>
      <c r="E6" s="2">
        <v>2</v>
      </c>
      <c r="F6" s="2">
        <v>9</v>
      </c>
      <c r="G6" s="3">
        <v>4</v>
      </c>
      <c r="H6" s="2">
        <v>1</v>
      </c>
      <c r="I6" s="2" t="s">
        <v>9</v>
      </c>
      <c r="J6">
        <f t="shared" si="1"/>
        <v>30857524.551578611</v>
      </c>
      <c r="K6">
        <f t="shared" si="2"/>
        <v>0.34631167536110058</v>
      </c>
      <c r="L6">
        <f>(D6-AVERAGE(D$3:D$113))/_xlfn.STDEV.S(D$3:D$113)</f>
        <v>0.36840746658672091</v>
      </c>
      <c r="M6">
        <f t="shared" si="0"/>
        <v>-0.43544068755696258</v>
      </c>
      <c r="N6">
        <f t="shared" si="0"/>
        <v>-0.90966891670753069</v>
      </c>
      <c r="O6">
        <f t="shared" si="0"/>
        <v>5.5813075370292599E-2</v>
      </c>
      <c r="P6">
        <f t="shared" si="0"/>
        <v>0.82324945135955463</v>
      </c>
    </row>
    <row r="7" spans="2:16" x14ac:dyDescent="0.3">
      <c r="B7" s="2">
        <v>15</v>
      </c>
      <c r="C7" s="2">
        <v>67500</v>
      </c>
      <c r="D7" s="3">
        <v>128</v>
      </c>
      <c r="E7" s="2">
        <v>2</v>
      </c>
      <c r="F7" s="2">
        <v>5</v>
      </c>
      <c r="G7" s="3">
        <v>4</v>
      </c>
      <c r="H7" s="2">
        <v>0</v>
      </c>
      <c r="I7" s="2" t="s">
        <v>9</v>
      </c>
      <c r="J7">
        <f t="shared" si="1"/>
        <v>3783200.227254279</v>
      </c>
      <c r="K7">
        <f t="shared" si="2"/>
        <v>-0.1212596346261135</v>
      </c>
      <c r="L7">
        <f t="shared" si="0"/>
        <v>0.46750252827765632</v>
      </c>
      <c r="M7">
        <f t="shared" si="0"/>
        <v>-0.43544068755696258</v>
      </c>
      <c r="N7">
        <f t="shared" si="0"/>
        <v>-3.3575052743932505</v>
      </c>
      <c r="O7">
        <f t="shared" si="0"/>
        <v>5.5813075370292599E-2</v>
      </c>
      <c r="P7">
        <f t="shared" si="0"/>
        <v>-1.1210205295108828</v>
      </c>
    </row>
    <row r="8" spans="2:16" x14ac:dyDescent="0.3">
      <c r="B8" s="2">
        <v>16</v>
      </c>
      <c r="C8" s="2">
        <v>60000</v>
      </c>
      <c r="D8" s="3">
        <v>126</v>
      </c>
      <c r="E8" s="2">
        <v>2</v>
      </c>
      <c r="F8" s="2">
        <v>9</v>
      </c>
      <c r="G8" s="3">
        <v>3</v>
      </c>
      <c r="H8" s="2">
        <v>0</v>
      </c>
      <c r="I8" s="2" t="s">
        <v>9</v>
      </c>
      <c r="J8">
        <f t="shared" si="1"/>
        <v>89208875.902929947</v>
      </c>
      <c r="K8">
        <f t="shared" si="2"/>
        <v>-0.58883094461332763</v>
      </c>
      <c r="L8">
        <f t="shared" si="0"/>
        <v>0.40143915381703271</v>
      </c>
      <c r="M8">
        <f t="shared" si="0"/>
        <v>-0.43544068755696258</v>
      </c>
      <c r="N8">
        <f t="shared" si="0"/>
        <v>-0.90966891670753069</v>
      </c>
      <c r="O8">
        <f t="shared" si="0"/>
        <v>-1.4929997661553238</v>
      </c>
      <c r="P8">
        <f t="shared" si="0"/>
        <v>-1.1210205295108828</v>
      </c>
    </row>
    <row r="9" spans="2:16" x14ac:dyDescent="0.3">
      <c r="B9" s="2">
        <v>17</v>
      </c>
      <c r="C9" s="2">
        <v>72500</v>
      </c>
      <c r="D9" s="3">
        <v>138</v>
      </c>
      <c r="E9" s="2">
        <v>4</v>
      </c>
      <c r="F9" s="2">
        <v>11</v>
      </c>
      <c r="G9" s="3">
        <v>4</v>
      </c>
      <c r="H9" s="2">
        <v>0</v>
      </c>
      <c r="I9" s="2" t="s">
        <v>9</v>
      </c>
      <c r="J9">
        <f t="shared" si="1"/>
        <v>9332749.7768038344</v>
      </c>
      <c r="K9">
        <f t="shared" si="2"/>
        <v>0.19045457203202923</v>
      </c>
      <c r="L9">
        <f t="shared" si="0"/>
        <v>0.79781940058077438</v>
      </c>
      <c r="M9">
        <f t="shared" si="0"/>
        <v>1.0517567376375871</v>
      </c>
      <c r="N9">
        <f t="shared" si="0"/>
        <v>0.31424926213532922</v>
      </c>
      <c r="O9">
        <f t="shared" si="0"/>
        <v>5.5813075370292599E-2</v>
      </c>
      <c r="P9">
        <f>(H9-AVERAGE(H$3:H$113))/_xlfn.STDEV.S(H$3:H$113)</f>
        <v>-1.1210205295108828</v>
      </c>
    </row>
    <row r="10" spans="2:16" x14ac:dyDescent="0.3">
      <c r="B10" s="2">
        <v>18</v>
      </c>
      <c r="C10" s="2">
        <v>52000</v>
      </c>
      <c r="D10" s="3">
        <v>86</v>
      </c>
      <c r="E10" s="2">
        <v>4</v>
      </c>
      <c r="F10" s="2">
        <v>11</v>
      </c>
      <c r="G10" s="3">
        <v>4</v>
      </c>
      <c r="H10" s="2">
        <v>0</v>
      </c>
      <c r="I10" s="2" t="s">
        <v>9</v>
      </c>
      <c r="J10">
        <f t="shared" si="1"/>
        <v>304329596.62365067</v>
      </c>
      <c r="K10">
        <f t="shared" si="2"/>
        <v>-1.0875736752663561</v>
      </c>
      <c r="L10">
        <f t="shared" si="0"/>
        <v>-0.9198283353954394</v>
      </c>
      <c r="M10">
        <f t="shared" si="0"/>
        <v>1.0517567376375871</v>
      </c>
      <c r="N10">
        <f t="shared" si="0"/>
        <v>0.31424926213532922</v>
      </c>
      <c r="O10">
        <f t="shared" si="0"/>
        <v>5.5813075370292599E-2</v>
      </c>
      <c r="P10">
        <f t="shared" si="0"/>
        <v>-1.1210205295108828</v>
      </c>
    </row>
    <row r="11" spans="2:16" x14ac:dyDescent="0.3">
      <c r="B11" s="2">
        <v>19</v>
      </c>
      <c r="C11" s="2">
        <v>55000</v>
      </c>
      <c r="D11" s="3">
        <v>89</v>
      </c>
      <c r="E11" s="2">
        <v>2</v>
      </c>
      <c r="F11" s="2">
        <v>9</v>
      </c>
      <c r="G11" s="3">
        <v>4</v>
      </c>
      <c r="H11" s="2">
        <v>0</v>
      </c>
      <c r="I11" s="2" t="s">
        <v>9</v>
      </c>
      <c r="J11">
        <f t="shared" si="1"/>
        <v>208659326.35338038</v>
      </c>
      <c r="K11">
        <f t="shared" si="2"/>
        <v>-0.90054515127147028</v>
      </c>
      <c r="L11">
        <f t="shared" si="0"/>
        <v>-0.820733273704504</v>
      </c>
      <c r="M11">
        <f t="shared" si="0"/>
        <v>-0.43544068755696258</v>
      </c>
      <c r="N11">
        <f t="shared" si="0"/>
        <v>-0.90966891670753069</v>
      </c>
      <c r="O11">
        <f t="shared" si="0"/>
        <v>5.5813075370292599E-2</v>
      </c>
      <c r="P11">
        <f t="shared" si="0"/>
        <v>-1.1210205295108828</v>
      </c>
    </row>
    <row r="12" spans="2:16" x14ac:dyDescent="0.3">
      <c r="B12" s="2">
        <v>20</v>
      </c>
      <c r="C12" s="2">
        <v>56000</v>
      </c>
      <c r="D12" s="3">
        <v>89</v>
      </c>
      <c r="E12" s="2">
        <v>3</v>
      </c>
      <c r="F12" s="2">
        <v>11</v>
      </c>
      <c r="G12" s="3">
        <v>3</v>
      </c>
      <c r="H12" s="2">
        <v>0</v>
      </c>
      <c r="I12" s="2" t="s">
        <v>9</v>
      </c>
      <c r="J12">
        <f t="shared" si="1"/>
        <v>180769236.26329029</v>
      </c>
      <c r="K12">
        <f t="shared" si="2"/>
        <v>-0.83820230993984179</v>
      </c>
      <c r="L12">
        <f t="shared" si="0"/>
        <v>-0.820733273704504</v>
      </c>
      <c r="M12">
        <f t="shared" si="0"/>
        <v>0.30815802504031226</v>
      </c>
      <c r="N12">
        <f t="shared" si="0"/>
        <v>0.31424926213532922</v>
      </c>
      <c r="O12">
        <f t="shared" si="0"/>
        <v>-1.4929997661553238</v>
      </c>
      <c r="P12">
        <f t="shared" si="0"/>
        <v>-1.1210205295108828</v>
      </c>
    </row>
    <row r="13" spans="2:16" x14ac:dyDescent="0.3">
      <c r="B13" s="2">
        <v>21</v>
      </c>
      <c r="C13" s="2">
        <v>60000</v>
      </c>
      <c r="D13" s="3">
        <v>95</v>
      </c>
      <c r="E13" s="2">
        <v>3</v>
      </c>
      <c r="F13" s="2">
        <v>9</v>
      </c>
      <c r="G13" s="3">
        <v>3</v>
      </c>
      <c r="H13" s="2">
        <v>1</v>
      </c>
      <c r="I13" s="2" t="s">
        <v>9</v>
      </c>
      <c r="J13">
        <f t="shared" si="1"/>
        <v>89208875.902929947</v>
      </c>
      <c r="K13">
        <f t="shared" si="2"/>
        <v>-0.58883094461332763</v>
      </c>
      <c r="L13">
        <f t="shared" si="0"/>
        <v>-0.62254315032263319</v>
      </c>
      <c r="M13">
        <f t="shared" si="0"/>
        <v>0.30815802504031226</v>
      </c>
      <c r="N13">
        <f t="shared" si="0"/>
        <v>-0.90966891670753069</v>
      </c>
      <c r="O13">
        <f t="shared" si="0"/>
        <v>-1.4929997661553238</v>
      </c>
      <c r="P13">
        <f t="shared" si="0"/>
        <v>0.82324945135955463</v>
      </c>
    </row>
    <row r="14" spans="2:16" x14ac:dyDescent="0.3">
      <c r="B14" s="2">
        <v>22</v>
      </c>
      <c r="C14" s="2">
        <v>56000</v>
      </c>
      <c r="D14" s="3">
        <v>97</v>
      </c>
      <c r="E14" s="2">
        <v>2</v>
      </c>
      <c r="F14" s="2">
        <v>13</v>
      </c>
      <c r="G14" s="3">
        <v>4</v>
      </c>
      <c r="H14" s="2">
        <v>0</v>
      </c>
      <c r="I14" s="2" t="s">
        <v>9</v>
      </c>
      <c r="J14">
        <f t="shared" si="1"/>
        <v>180769236.26329029</v>
      </c>
      <c r="K14">
        <f t="shared" si="2"/>
        <v>-0.83820230993984179</v>
      </c>
      <c r="L14">
        <f t="shared" si="0"/>
        <v>-0.55647977586200958</v>
      </c>
      <c r="M14">
        <f t="shared" si="0"/>
        <v>-0.43544068755696258</v>
      </c>
      <c r="N14">
        <f t="shared" si="0"/>
        <v>1.5381674409781891</v>
      </c>
      <c r="O14">
        <f t="shared" si="0"/>
        <v>5.5813075370292599E-2</v>
      </c>
      <c r="P14">
        <f t="shared" si="0"/>
        <v>-1.1210205295108828</v>
      </c>
    </row>
    <row r="15" spans="2:16" x14ac:dyDescent="0.3">
      <c r="B15" s="2">
        <v>23</v>
      </c>
      <c r="C15" s="2">
        <v>57000</v>
      </c>
      <c r="D15" s="3">
        <v>98</v>
      </c>
      <c r="E15" s="2">
        <v>2</v>
      </c>
      <c r="F15" s="2">
        <v>11</v>
      </c>
      <c r="G15" s="3">
        <v>4</v>
      </c>
      <c r="H15" s="2">
        <v>1</v>
      </c>
      <c r="I15" s="2" t="s">
        <v>9</v>
      </c>
      <c r="J15">
        <f t="shared" si="1"/>
        <v>154879146.17320022</v>
      </c>
      <c r="K15">
        <f t="shared" si="2"/>
        <v>-0.7758594686082132</v>
      </c>
      <c r="L15">
        <f t="shared" si="0"/>
        <v>-0.52344808863169778</v>
      </c>
      <c r="M15">
        <f t="shared" si="0"/>
        <v>-0.43544068755696258</v>
      </c>
      <c r="N15">
        <f t="shared" si="0"/>
        <v>0.31424926213532922</v>
      </c>
      <c r="O15">
        <f t="shared" si="0"/>
        <v>5.5813075370292599E-2</v>
      </c>
      <c r="P15">
        <f t="shared" si="0"/>
        <v>0.82324945135955463</v>
      </c>
    </row>
    <row r="16" spans="2:16" x14ac:dyDescent="0.3">
      <c r="B16" s="2">
        <v>24</v>
      </c>
      <c r="C16" s="2">
        <v>56500</v>
      </c>
      <c r="D16" s="3">
        <v>98</v>
      </c>
      <c r="E16" s="2">
        <v>2</v>
      </c>
      <c r="F16" s="2">
        <v>9</v>
      </c>
      <c r="G16" s="3">
        <v>4</v>
      </c>
      <c r="H16" s="2">
        <v>0</v>
      </c>
      <c r="I16" s="2" t="s">
        <v>9</v>
      </c>
      <c r="J16">
        <f t="shared" si="1"/>
        <v>167574191.21824527</v>
      </c>
      <c r="K16">
        <f t="shared" si="2"/>
        <v>-0.80703088927402755</v>
      </c>
      <c r="L16">
        <f t="shared" si="0"/>
        <v>-0.52344808863169778</v>
      </c>
      <c r="M16">
        <f t="shared" si="0"/>
        <v>-0.43544068755696258</v>
      </c>
      <c r="N16">
        <f t="shared" si="0"/>
        <v>-0.90966891670753069</v>
      </c>
      <c r="O16">
        <f t="shared" si="0"/>
        <v>5.5813075370292599E-2</v>
      </c>
      <c r="P16">
        <f t="shared" si="0"/>
        <v>-1.1210205295108828</v>
      </c>
    </row>
    <row r="17" spans="2:16" ht="26.4" x14ac:dyDescent="0.3">
      <c r="B17" s="2">
        <v>25</v>
      </c>
      <c r="C17" s="2">
        <v>58500</v>
      </c>
      <c r="D17" s="3">
        <v>99</v>
      </c>
      <c r="E17" s="2">
        <v>1</v>
      </c>
      <c r="F17" s="2">
        <v>11</v>
      </c>
      <c r="G17" s="3">
        <v>4</v>
      </c>
      <c r="H17" s="2">
        <v>0</v>
      </c>
      <c r="I17" s="2" t="s">
        <v>11</v>
      </c>
      <c r="J17">
        <f t="shared" si="1"/>
        <v>119794011.03806508</v>
      </c>
      <c r="K17">
        <f t="shared" si="2"/>
        <v>-0.68234520661077036</v>
      </c>
      <c r="L17">
        <f t="shared" si="0"/>
        <v>-0.49041640140138598</v>
      </c>
      <c r="M17">
        <f t="shared" si="0"/>
        <v>-1.1790394001542375</v>
      </c>
      <c r="N17">
        <f t="shared" si="0"/>
        <v>0.31424926213532922</v>
      </c>
      <c r="O17">
        <f t="shared" si="0"/>
        <v>5.5813075370292599E-2</v>
      </c>
      <c r="P17">
        <f t="shared" si="0"/>
        <v>-1.1210205295108828</v>
      </c>
    </row>
    <row r="18" spans="2:16" ht="26.4" x14ac:dyDescent="0.3">
      <c r="B18" s="2">
        <v>26</v>
      </c>
      <c r="C18" s="2">
        <v>56500</v>
      </c>
      <c r="D18" s="3">
        <v>99</v>
      </c>
      <c r="E18" s="2">
        <v>1</v>
      </c>
      <c r="F18" s="2">
        <v>12</v>
      </c>
      <c r="G18" s="3">
        <v>4</v>
      </c>
      <c r="H18" s="2">
        <v>0</v>
      </c>
      <c r="I18" s="2" t="s">
        <v>11</v>
      </c>
      <c r="J18">
        <f t="shared" si="1"/>
        <v>167574191.21824527</v>
      </c>
      <c r="K18">
        <f t="shared" si="2"/>
        <v>-0.80703088927402755</v>
      </c>
      <c r="L18">
        <f t="shared" si="0"/>
        <v>-0.49041640140138598</v>
      </c>
      <c r="M18">
        <f t="shared" si="0"/>
        <v>-1.1790394001542375</v>
      </c>
      <c r="N18">
        <f t="shared" si="0"/>
        <v>0.92620835155675918</v>
      </c>
      <c r="O18">
        <f t="shared" si="0"/>
        <v>5.5813075370292599E-2</v>
      </c>
      <c r="P18">
        <f t="shared" si="0"/>
        <v>-1.1210205295108828</v>
      </c>
    </row>
    <row r="19" spans="2:16" ht="26.4" x14ac:dyDescent="0.3">
      <c r="B19" s="2">
        <v>27</v>
      </c>
      <c r="C19" s="2">
        <v>84000</v>
      </c>
      <c r="D19" s="3">
        <v>110</v>
      </c>
      <c r="E19" s="2">
        <v>4</v>
      </c>
      <c r="F19" s="2">
        <v>13</v>
      </c>
      <c r="G19" s="3">
        <v>5</v>
      </c>
      <c r="H19" s="2">
        <v>1</v>
      </c>
      <c r="I19" s="2" t="s">
        <v>11</v>
      </c>
      <c r="J19">
        <f t="shared" si="1"/>
        <v>211846713.74076781</v>
      </c>
      <c r="K19">
        <f t="shared" si="2"/>
        <v>0.90739724734575755</v>
      </c>
      <c r="L19">
        <f t="shared" ref="L19:L82" si="3">(D19-AVERAGE(D$3:D$113))/_xlfn.STDEV.S(D$3:D$113)</f>
        <v>-0.12706784186795614</v>
      </c>
      <c r="M19">
        <f t="shared" ref="M19:M82" si="4">(E19-AVERAGE(E$3:E$113))/_xlfn.STDEV.S(E$3:E$113)</f>
        <v>1.0517567376375871</v>
      </c>
      <c r="N19">
        <f t="shared" ref="N19:N82" si="5">(F19-AVERAGE(F$3:F$113))/_xlfn.STDEV.S(F$3:F$113)</f>
        <v>1.5381674409781891</v>
      </c>
      <c r="O19">
        <f t="shared" ref="O19:O82" si="6">(G19-AVERAGE(G$3:G$113))/_xlfn.STDEV.S(G$3:G$113)</f>
        <v>1.6046259168959089</v>
      </c>
      <c r="P19">
        <f t="shared" ref="P19:P82" si="7">(H19-AVERAGE(H$3:H$113))/_xlfn.STDEV.S(H$3:H$113)</f>
        <v>0.82324945135955463</v>
      </c>
    </row>
    <row r="20" spans="2:16" x14ac:dyDescent="0.3">
      <c r="B20" s="2">
        <v>28</v>
      </c>
      <c r="C20" s="2">
        <v>53000</v>
      </c>
      <c r="D20" s="3">
        <v>83</v>
      </c>
      <c r="E20" s="2">
        <v>1</v>
      </c>
      <c r="F20" s="2">
        <v>9</v>
      </c>
      <c r="G20" s="3">
        <v>4</v>
      </c>
      <c r="H20" s="2">
        <v>0</v>
      </c>
      <c r="I20" s="2" t="s">
        <v>8</v>
      </c>
      <c r="J20">
        <f t="shared" si="1"/>
        <v>270439506.53356057</v>
      </c>
      <c r="K20">
        <f t="shared" si="2"/>
        <v>-1.0252308339347274</v>
      </c>
      <c r="L20">
        <f t="shared" si="3"/>
        <v>-1.0189233970863749</v>
      </c>
      <c r="M20">
        <f t="shared" si="4"/>
        <v>-1.1790394001542375</v>
      </c>
      <c r="N20">
        <f t="shared" si="5"/>
        <v>-0.90966891670753069</v>
      </c>
      <c r="O20">
        <f t="shared" si="6"/>
        <v>5.5813075370292599E-2</v>
      </c>
      <c r="P20">
        <f t="shared" si="7"/>
        <v>-1.1210205295108828</v>
      </c>
    </row>
    <row r="21" spans="2:16" x14ac:dyDescent="0.3">
      <c r="B21" s="2">
        <v>29</v>
      </c>
      <c r="C21" s="2">
        <v>47500</v>
      </c>
      <c r="D21" s="3">
        <v>80</v>
      </c>
      <c r="E21" s="2">
        <v>2</v>
      </c>
      <c r="F21" s="2">
        <v>9</v>
      </c>
      <c r="G21" s="3">
        <v>4</v>
      </c>
      <c r="H21" s="2">
        <v>1</v>
      </c>
      <c r="I21" s="2" t="s">
        <v>8</v>
      </c>
      <c r="J21">
        <f t="shared" si="1"/>
        <v>481585002.02905607</v>
      </c>
      <c r="K21">
        <f t="shared" si="2"/>
        <v>-1.3681164612586845</v>
      </c>
      <c r="L21">
        <f t="shared" si="3"/>
        <v>-1.1180184587773103</v>
      </c>
      <c r="M21">
        <f t="shared" si="4"/>
        <v>-0.43544068755696258</v>
      </c>
      <c r="N21">
        <f t="shared" si="5"/>
        <v>-0.90966891670753069</v>
      </c>
      <c r="O21">
        <f t="shared" si="6"/>
        <v>5.5813075370292599E-2</v>
      </c>
      <c r="P21">
        <f t="shared" si="7"/>
        <v>0.82324945135955463</v>
      </c>
    </row>
    <row r="22" spans="2:16" x14ac:dyDescent="0.3">
      <c r="B22" s="2">
        <v>30</v>
      </c>
      <c r="C22" s="2">
        <v>49500</v>
      </c>
      <c r="D22" s="3">
        <v>80</v>
      </c>
      <c r="E22" s="2">
        <v>2</v>
      </c>
      <c r="F22" s="2">
        <v>9</v>
      </c>
      <c r="G22" s="3">
        <v>4</v>
      </c>
      <c r="H22" s="2">
        <v>0</v>
      </c>
      <c r="I22" s="2" t="s">
        <v>8</v>
      </c>
      <c r="J22">
        <f t="shared" si="1"/>
        <v>397804821.84887588</v>
      </c>
      <c r="K22">
        <f t="shared" si="2"/>
        <v>-1.2434307785954273</v>
      </c>
      <c r="L22">
        <f t="shared" si="3"/>
        <v>-1.1180184587773103</v>
      </c>
      <c r="M22">
        <f t="shared" si="4"/>
        <v>-0.43544068755696258</v>
      </c>
      <c r="N22">
        <f t="shared" si="5"/>
        <v>-0.90966891670753069</v>
      </c>
      <c r="O22">
        <f t="shared" si="6"/>
        <v>5.5813075370292599E-2</v>
      </c>
      <c r="P22">
        <f t="shared" si="7"/>
        <v>-1.1210205295108828</v>
      </c>
    </row>
    <row r="23" spans="2:16" ht="26.4" x14ac:dyDescent="0.3">
      <c r="B23" s="2">
        <v>31</v>
      </c>
      <c r="C23" s="2">
        <v>50000</v>
      </c>
      <c r="D23" s="3">
        <v>85</v>
      </c>
      <c r="E23" s="2">
        <v>1</v>
      </c>
      <c r="F23" s="2">
        <v>9</v>
      </c>
      <c r="G23" s="3">
        <v>3</v>
      </c>
      <c r="H23" s="2">
        <v>0</v>
      </c>
      <c r="I23" s="2" t="s">
        <v>11</v>
      </c>
      <c r="J23">
        <f t="shared" si="1"/>
        <v>378109776.80383086</v>
      </c>
      <c r="K23">
        <f t="shared" si="2"/>
        <v>-1.212259357929613</v>
      </c>
      <c r="L23">
        <f t="shared" si="3"/>
        <v>-0.9528600226257512</v>
      </c>
      <c r="M23">
        <f t="shared" si="4"/>
        <v>-1.1790394001542375</v>
      </c>
      <c r="N23">
        <f t="shared" si="5"/>
        <v>-0.90966891670753069</v>
      </c>
      <c r="O23">
        <f t="shared" si="6"/>
        <v>-1.4929997661553238</v>
      </c>
      <c r="P23">
        <f t="shared" si="7"/>
        <v>-1.1210205295108828</v>
      </c>
    </row>
    <row r="24" spans="2:16" ht="26.4" x14ac:dyDescent="0.3">
      <c r="B24" s="2">
        <v>32</v>
      </c>
      <c r="C24" s="2">
        <v>62500</v>
      </c>
      <c r="D24" s="3">
        <v>102</v>
      </c>
      <c r="E24" s="2">
        <v>3</v>
      </c>
      <c r="F24" s="2">
        <v>11</v>
      </c>
      <c r="G24" s="3">
        <v>4</v>
      </c>
      <c r="H24" s="2">
        <v>0</v>
      </c>
      <c r="I24" s="2" t="s">
        <v>11</v>
      </c>
      <c r="J24">
        <f t="shared" si="1"/>
        <v>48233650.677704722</v>
      </c>
      <c r="K24">
        <f t="shared" si="2"/>
        <v>-0.43297384128425626</v>
      </c>
      <c r="L24">
        <f t="shared" si="3"/>
        <v>-0.39132133971045058</v>
      </c>
      <c r="M24">
        <f t="shared" si="4"/>
        <v>0.30815802504031226</v>
      </c>
      <c r="N24">
        <f t="shared" si="5"/>
        <v>0.31424926213532922</v>
      </c>
      <c r="O24">
        <f t="shared" si="6"/>
        <v>5.5813075370292599E-2</v>
      </c>
      <c r="P24">
        <f t="shared" si="7"/>
        <v>-1.1210205295108828</v>
      </c>
    </row>
    <row r="25" spans="2:16" x14ac:dyDescent="0.3">
      <c r="B25" s="2">
        <v>33</v>
      </c>
      <c r="C25" s="2">
        <v>65000</v>
      </c>
      <c r="D25" s="3">
        <v>106</v>
      </c>
      <c r="E25" s="2">
        <v>5</v>
      </c>
      <c r="F25" s="2">
        <v>12</v>
      </c>
      <c r="G25" s="3">
        <v>4</v>
      </c>
      <c r="H25" s="2">
        <v>1</v>
      </c>
      <c r="I25" s="2" t="s">
        <v>9</v>
      </c>
      <c r="J25">
        <f t="shared" si="1"/>
        <v>19758425.4524795</v>
      </c>
      <c r="K25">
        <f t="shared" si="2"/>
        <v>-0.27711673795518488</v>
      </c>
      <c r="L25">
        <f t="shared" si="3"/>
        <v>-0.25919459078920337</v>
      </c>
      <c r="M25">
        <f t="shared" si="4"/>
        <v>1.7953554502348619</v>
      </c>
      <c r="N25">
        <f t="shared" si="5"/>
        <v>0.92620835155675918</v>
      </c>
      <c r="O25">
        <f t="shared" si="6"/>
        <v>5.5813075370292599E-2</v>
      </c>
      <c r="P25">
        <f t="shared" si="7"/>
        <v>0.82324945135955463</v>
      </c>
    </row>
    <row r="26" spans="2:16" ht="26.4" x14ac:dyDescent="0.3">
      <c r="B26" s="2">
        <v>34</v>
      </c>
      <c r="C26" s="2">
        <v>60000</v>
      </c>
      <c r="D26" s="3">
        <v>102</v>
      </c>
      <c r="E26" s="2">
        <v>3</v>
      </c>
      <c r="F26" s="2">
        <v>11</v>
      </c>
      <c r="G26" s="3">
        <v>3</v>
      </c>
      <c r="H26" s="2">
        <v>0</v>
      </c>
      <c r="I26" s="2" t="s">
        <v>11</v>
      </c>
      <c r="J26">
        <f t="shared" si="1"/>
        <v>89208875.902929947</v>
      </c>
      <c r="K26">
        <f t="shared" si="2"/>
        <v>-0.58883094461332763</v>
      </c>
      <c r="L26">
        <f t="shared" si="3"/>
        <v>-0.39132133971045058</v>
      </c>
      <c r="M26">
        <f t="shared" si="4"/>
        <v>0.30815802504031226</v>
      </c>
      <c r="N26">
        <f t="shared" si="5"/>
        <v>0.31424926213532922</v>
      </c>
      <c r="O26">
        <f t="shared" si="6"/>
        <v>-1.4929997661553238</v>
      </c>
      <c r="P26">
        <f t="shared" si="7"/>
        <v>-1.1210205295108828</v>
      </c>
    </row>
    <row r="27" spans="2:16" x14ac:dyDescent="0.3">
      <c r="B27" s="2">
        <v>35</v>
      </c>
      <c r="C27" s="2">
        <v>70000</v>
      </c>
      <c r="D27" s="3">
        <v>102</v>
      </c>
      <c r="E27" s="2">
        <v>5</v>
      </c>
      <c r="F27" s="2">
        <v>12</v>
      </c>
      <c r="G27" s="3">
        <v>4</v>
      </c>
      <c r="H27" s="2">
        <v>1</v>
      </c>
      <c r="I27" s="2" t="s">
        <v>9</v>
      </c>
      <c r="J27">
        <f t="shared" si="1"/>
        <v>307975.00202905684</v>
      </c>
      <c r="K27">
        <f t="shared" si="2"/>
        <v>3.4597468702957865E-2</v>
      </c>
      <c r="L27">
        <f t="shared" si="3"/>
        <v>-0.39132133971045058</v>
      </c>
      <c r="M27">
        <f t="shared" si="4"/>
        <v>1.7953554502348619</v>
      </c>
      <c r="N27">
        <f t="shared" si="5"/>
        <v>0.92620835155675918</v>
      </c>
      <c r="O27">
        <f t="shared" si="6"/>
        <v>5.5813075370292599E-2</v>
      </c>
      <c r="P27">
        <f t="shared" si="7"/>
        <v>0.82324945135955463</v>
      </c>
    </row>
    <row r="28" spans="2:16" ht="26.4" x14ac:dyDescent="0.3">
      <c r="B28" s="2">
        <v>36</v>
      </c>
      <c r="C28" s="2">
        <v>62500</v>
      </c>
      <c r="D28" s="3">
        <v>102</v>
      </c>
      <c r="E28" s="2">
        <v>3</v>
      </c>
      <c r="F28" s="2">
        <v>11</v>
      </c>
      <c r="G28" s="3">
        <v>3</v>
      </c>
      <c r="H28" s="2">
        <v>1</v>
      </c>
      <c r="I28" s="2" t="s">
        <v>11</v>
      </c>
      <c r="J28">
        <f t="shared" si="1"/>
        <v>48233650.677704722</v>
      </c>
      <c r="K28">
        <f t="shared" si="2"/>
        <v>-0.43297384128425626</v>
      </c>
      <c r="L28">
        <f t="shared" si="3"/>
        <v>-0.39132133971045058</v>
      </c>
      <c r="M28">
        <f t="shared" si="4"/>
        <v>0.30815802504031226</v>
      </c>
      <c r="N28">
        <f t="shared" si="5"/>
        <v>0.31424926213532922</v>
      </c>
      <c r="O28">
        <f t="shared" si="6"/>
        <v>-1.4929997661553238</v>
      </c>
      <c r="P28">
        <f t="shared" si="7"/>
        <v>0.82324945135955463</v>
      </c>
    </row>
    <row r="29" spans="2:16" x14ac:dyDescent="0.3">
      <c r="B29" s="2">
        <v>37</v>
      </c>
      <c r="C29" s="2">
        <v>67500</v>
      </c>
      <c r="D29" s="3">
        <v>102</v>
      </c>
      <c r="E29" s="2">
        <v>2</v>
      </c>
      <c r="F29" s="2">
        <v>9</v>
      </c>
      <c r="G29" s="3">
        <v>5</v>
      </c>
      <c r="H29" s="2">
        <v>1</v>
      </c>
      <c r="I29" s="2" t="s">
        <v>9</v>
      </c>
      <c r="J29">
        <f t="shared" si="1"/>
        <v>3783200.227254279</v>
      </c>
      <c r="K29">
        <f t="shared" si="2"/>
        <v>-0.1212596346261135</v>
      </c>
      <c r="L29">
        <f t="shared" si="3"/>
        <v>-0.39132133971045058</v>
      </c>
      <c r="M29">
        <f t="shared" si="4"/>
        <v>-0.43544068755696258</v>
      </c>
      <c r="N29">
        <f t="shared" si="5"/>
        <v>-0.90966891670753069</v>
      </c>
      <c r="O29">
        <f t="shared" si="6"/>
        <v>1.6046259168959089</v>
      </c>
      <c r="P29">
        <f t="shared" si="7"/>
        <v>0.82324945135955463</v>
      </c>
    </row>
    <row r="30" spans="2:16" x14ac:dyDescent="0.3">
      <c r="B30" s="2">
        <v>38</v>
      </c>
      <c r="C30" s="3">
        <v>49000</v>
      </c>
      <c r="D30" s="3">
        <v>83</v>
      </c>
      <c r="E30" s="2">
        <v>1</v>
      </c>
      <c r="F30" s="3">
        <v>9</v>
      </c>
      <c r="G30" s="3">
        <v>4</v>
      </c>
      <c r="H30" s="3">
        <v>0</v>
      </c>
      <c r="I30" s="3" t="s">
        <v>8</v>
      </c>
      <c r="J30">
        <f t="shared" si="1"/>
        <v>417999866.8939209</v>
      </c>
      <c r="K30">
        <f t="shared" si="2"/>
        <v>-1.2746021992612415</v>
      </c>
      <c r="L30">
        <f t="shared" si="3"/>
        <v>-1.0189233970863749</v>
      </c>
      <c r="M30">
        <f t="shared" si="4"/>
        <v>-1.1790394001542375</v>
      </c>
      <c r="N30">
        <f t="shared" si="5"/>
        <v>-0.90966891670753069</v>
      </c>
      <c r="O30">
        <f t="shared" si="6"/>
        <v>5.5813075370292599E-2</v>
      </c>
      <c r="P30">
        <f t="shared" si="7"/>
        <v>-1.1210205295108828</v>
      </c>
    </row>
    <row r="31" spans="2:16" x14ac:dyDescent="0.3">
      <c r="B31" s="2">
        <v>39</v>
      </c>
      <c r="C31" s="3">
        <v>72000</v>
      </c>
      <c r="D31" s="3">
        <v>90</v>
      </c>
      <c r="E31" s="2">
        <v>3</v>
      </c>
      <c r="F31" s="3">
        <v>11</v>
      </c>
      <c r="G31" s="3">
        <v>4</v>
      </c>
      <c r="H31" s="3">
        <v>1</v>
      </c>
      <c r="I31" s="3" t="s">
        <v>8</v>
      </c>
      <c r="J31">
        <f t="shared" si="1"/>
        <v>6527794.8218488796</v>
      </c>
      <c r="K31">
        <f t="shared" si="2"/>
        <v>0.15928315136621496</v>
      </c>
      <c r="L31">
        <f t="shared" si="3"/>
        <v>-0.78770158647419219</v>
      </c>
      <c r="M31">
        <f t="shared" si="4"/>
        <v>0.30815802504031226</v>
      </c>
      <c r="N31">
        <f t="shared" si="5"/>
        <v>0.31424926213532922</v>
      </c>
      <c r="O31">
        <f t="shared" si="6"/>
        <v>5.5813075370292599E-2</v>
      </c>
      <c r="P31">
        <f t="shared" si="7"/>
        <v>0.82324945135955463</v>
      </c>
    </row>
    <row r="32" spans="2:16" x14ac:dyDescent="0.3">
      <c r="B32" s="2">
        <v>40</v>
      </c>
      <c r="C32" s="3">
        <v>56000</v>
      </c>
      <c r="D32" s="3">
        <v>86</v>
      </c>
      <c r="E32" s="2">
        <v>1</v>
      </c>
      <c r="F32" s="3">
        <v>9</v>
      </c>
      <c r="G32" s="3">
        <v>4</v>
      </c>
      <c r="H32" s="3">
        <v>0</v>
      </c>
      <c r="I32" s="3" t="s">
        <v>8</v>
      </c>
      <c r="J32">
        <f t="shared" si="1"/>
        <v>180769236.26329029</v>
      </c>
      <c r="K32">
        <f t="shared" si="2"/>
        <v>-0.83820230993984179</v>
      </c>
      <c r="L32">
        <f t="shared" si="3"/>
        <v>-0.9198283353954394</v>
      </c>
      <c r="M32">
        <f t="shared" si="4"/>
        <v>-1.1790394001542375</v>
      </c>
      <c r="N32">
        <f t="shared" si="5"/>
        <v>-0.90966891670753069</v>
      </c>
      <c r="O32">
        <f t="shared" si="6"/>
        <v>5.5813075370292599E-2</v>
      </c>
      <c r="P32">
        <f t="shared" si="7"/>
        <v>-1.1210205295108828</v>
      </c>
    </row>
    <row r="33" spans="2:16" ht="26.4" x14ac:dyDescent="0.3">
      <c r="B33" s="2">
        <v>41</v>
      </c>
      <c r="C33" s="3">
        <v>58000</v>
      </c>
      <c r="D33" s="3">
        <v>89</v>
      </c>
      <c r="E33" s="2">
        <v>3</v>
      </c>
      <c r="F33" s="3">
        <v>9</v>
      </c>
      <c r="G33" s="3">
        <v>3</v>
      </c>
      <c r="H33" s="3">
        <v>0</v>
      </c>
      <c r="I33" s="3" t="s">
        <v>11</v>
      </c>
      <c r="J33">
        <f t="shared" si="1"/>
        <v>130989056.08311012</v>
      </c>
      <c r="K33">
        <f t="shared" si="2"/>
        <v>-0.71351662727658471</v>
      </c>
      <c r="L33">
        <f t="shared" si="3"/>
        <v>-0.820733273704504</v>
      </c>
      <c r="M33">
        <f t="shared" si="4"/>
        <v>0.30815802504031226</v>
      </c>
      <c r="N33">
        <f t="shared" si="5"/>
        <v>-0.90966891670753069</v>
      </c>
      <c r="O33">
        <f t="shared" si="6"/>
        <v>-1.4929997661553238</v>
      </c>
      <c r="P33">
        <f t="shared" si="7"/>
        <v>-1.1210205295108828</v>
      </c>
    </row>
    <row r="34" spans="2:16" ht="26.4" x14ac:dyDescent="0.3">
      <c r="B34" s="2">
        <v>42</v>
      </c>
      <c r="C34" s="3">
        <v>55000</v>
      </c>
      <c r="D34" s="3">
        <v>85</v>
      </c>
      <c r="E34" s="2">
        <v>3</v>
      </c>
      <c r="F34" s="3">
        <v>11</v>
      </c>
      <c r="G34" s="3">
        <v>3</v>
      </c>
      <c r="H34" s="3">
        <v>0</v>
      </c>
      <c r="I34" s="3" t="s">
        <v>11</v>
      </c>
      <c r="J34">
        <f t="shared" si="1"/>
        <v>208659326.35338038</v>
      </c>
      <c r="K34">
        <f t="shared" si="2"/>
        <v>-0.90054515127147028</v>
      </c>
      <c r="L34">
        <f t="shared" si="3"/>
        <v>-0.9528600226257512</v>
      </c>
      <c r="M34">
        <f t="shared" si="4"/>
        <v>0.30815802504031226</v>
      </c>
      <c r="N34">
        <f t="shared" si="5"/>
        <v>0.31424926213532922</v>
      </c>
      <c r="O34">
        <f t="shared" si="6"/>
        <v>-1.4929997661553238</v>
      </c>
      <c r="P34">
        <f t="shared" si="7"/>
        <v>-1.1210205295108828</v>
      </c>
    </row>
    <row r="35" spans="2:16" ht="26.4" x14ac:dyDescent="0.3">
      <c r="B35" s="2">
        <v>43</v>
      </c>
      <c r="C35" s="3">
        <v>92000</v>
      </c>
      <c r="D35" s="3">
        <v>120</v>
      </c>
      <c r="E35" s="2">
        <v>1</v>
      </c>
      <c r="F35" s="3">
        <v>13</v>
      </c>
      <c r="G35" s="3">
        <v>4</v>
      </c>
      <c r="H35" s="3">
        <v>0</v>
      </c>
      <c r="I35" s="3" t="s">
        <v>11</v>
      </c>
      <c r="J35">
        <f t="shared" si="1"/>
        <v>508725993.02004713</v>
      </c>
      <c r="K35">
        <f t="shared" si="2"/>
        <v>1.4061399779987858</v>
      </c>
      <c r="L35">
        <f t="shared" si="3"/>
        <v>0.2032490304351619</v>
      </c>
      <c r="M35">
        <f t="shared" si="4"/>
        <v>-1.1790394001542375</v>
      </c>
      <c r="N35">
        <f t="shared" si="5"/>
        <v>1.5381674409781891</v>
      </c>
      <c r="O35">
        <f t="shared" si="6"/>
        <v>5.5813075370292599E-2</v>
      </c>
      <c r="P35">
        <f t="shared" si="7"/>
        <v>-1.1210205295108828</v>
      </c>
    </row>
    <row r="36" spans="2:16" ht="26.4" x14ac:dyDescent="0.3">
      <c r="B36" s="2">
        <v>44</v>
      </c>
      <c r="C36" s="3">
        <v>98000</v>
      </c>
      <c r="D36" s="3">
        <v>185</v>
      </c>
      <c r="E36" s="2">
        <v>4</v>
      </c>
      <c r="F36" s="3">
        <v>9</v>
      </c>
      <c r="G36" s="3">
        <v>5</v>
      </c>
      <c r="H36" s="3">
        <v>1</v>
      </c>
      <c r="I36" s="3" t="s">
        <v>11</v>
      </c>
      <c r="J36">
        <f t="shared" si="1"/>
        <v>815385452.47950661</v>
      </c>
      <c r="K36">
        <f t="shared" si="2"/>
        <v>1.7801970259885571</v>
      </c>
      <c r="L36">
        <f t="shared" si="3"/>
        <v>2.3503087004054293</v>
      </c>
      <c r="M36">
        <f t="shared" si="4"/>
        <v>1.0517567376375871</v>
      </c>
      <c r="N36">
        <f t="shared" si="5"/>
        <v>-0.90966891670753069</v>
      </c>
      <c r="O36">
        <f t="shared" si="6"/>
        <v>1.6046259168959089</v>
      </c>
      <c r="P36">
        <f t="shared" si="7"/>
        <v>0.82324945135955463</v>
      </c>
    </row>
    <row r="37" spans="2:16" ht="26.4" x14ac:dyDescent="0.3">
      <c r="B37" s="2">
        <v>45</v>
      </c>
      <c r="C37" s="3">
        <v>78000</v>
      </c>
      <c r="D37" s="3">
        <v>92</v>
      </c>
      <c r="E37" s="2">
        <v>2</v>
      </c>
      <c r="F37" s="3">
        <v>11</v>
      </c>
      <c r="G37" s="3">
        <v>3</v>
      </c>
      <c r="H37" s="3">
        <v>0</v>
      </c>
      <c r="I37" s="3" t="s">
        <v>10</v>
      </c>
      <c r="J37">
        <f t="shared" si="1"/>
        <v>73187254.281308353</v>
      </c>
      <c r="K37">
        <f t="shared" si="2"/>
        <v>0.5333401993559862</v>
      </c>
      <c r="L37">
        <f t="shared" si="3"/>
        <v>-0.72163821201356859</v>
      </c>
      <c r="M37">
        <f t="shared" si="4"/>
        <v>-0.43544068755696258</v>
      </c>
      <c r="N37">
        <f t="shared" si="5"/>
        <v>0.31424926213532922</v>
      </c>
      <c r="O37">
        <f t="shared" si="6"/>
        <v>-1.4929997661553238</v>
      </c>
      <c r="P37">
        <f t="shared" si="7"/>
        <v>-1.1210205295108828</v>
      </c>
    </row>
    <row r="38" spans="2:16" x14ac:dyDescent="0.3">
      <c r="B38" s="2">
        <v>46</v>
      </c>
      <c r="C38" s="3">
        <v>90000</v>
      </c>
      <c r="D38" s="3">
        <v>160</v>
      </c>
      <c r="E38" s="2">
        <v>5</v>
      </c>
      <c r="F38" s="3">
        <v>13</v>
      </c>
      <c r="G38" s="3">
        <v>4</v>
      </c>
      <c r="H38" s="3">
        <v>1</v>
      </c>
      <c r="I38" s="3" t="s">
        <v>9</v>
      </c>
      <c r="J38">
        <f t="shared" si="1"/>
        <v>422506173.20022726</v>
      </c>
      <c r="K38">
        <f t="shared" si="2"/>
        <v>1.2814542953355288</v>
      </c>
      <c r="L38">
        <f t="shared" si="3"/>
        <v>1.524516519647634</v>
      </c>
      <c r="M38">
        <f t="shared" si="4"/>
        <v>1.7953554502348619</v>
      </c>
      <c r="N38">
        <f t="shared" si="5"/>
        <v>1.5381674409781891</v>
      </c>
      <c r="O38">
        <f t="shared" si="6"/>
        <v>5.5813075370292599E-2</v>
      </c>
      <c r="P38">
        <f t="shared" si="7"/>
        <v>0.82324945135955463</v>
      </c>
    </row>
    <row r="39" spans="2:16" x14ac:dyDescent="0.3">
      <c r="B39" s="2">
        <v>47</v>
      </c>
      <c r="C39" s="3">
        <v>105000</v>
      </c>
      <c r="D39" s="3">
        <v>202</v>
      </c>
      <c r="E39" s="2">
        <v>3</v>
      </c>
      <c r="F39" s="3">
        <v>13</v>
      </c>
      <c r="G39" s="3">
        <v>4</v>
      </c>
      <c r="H39" s="3">
        <v>1</v>
      </c>
      <c r="I39" s="3" t="s">
        <v>9</v>
      </c>
      <c r="J39">
        <f t="shared" si="1"/>
        <v>1264154821.848876</v>
      </c>
      <c r="K39">
        <f t="shared" si="2"/>
        <v>2.2165969153099572</v>
      </c>
      <c r="L39">
        <f t="shared" si="3"/>
        <v>2.9118473833207297</v>
      </c>
      <c r="M39">
        <f t="shared" si="4"/>
        <v>0.30815802504031226</v>
      </c>
      <c r="N39">
        <f t="shared" si="5"/>
        <v>1.5381674409781891</v>
      </c>
      <c r="O39">
        <f t="shared" si="6"/>
        <v>5.5813075370292599E-2</v>
      </c>
      <c r="P39">
        <f t="shared" si="7"/>
        <v>0.82324945135955463</v>
      </c>
    </row>
    <row r="40" spans="2:16" x14ac:dyDescent="0.3">
      <c r="B40" s="2">
        <v>48</v>
      </c>
      <c r="C40" s="3">
        <v>101500</v>
      </c>
      <c r="D40" s="3">
        <v>165</v>
      </c>
      <c r="E40" s="2">
        <v>2</v>
      </c>
      <c r="F40" s="3">
        <v>13</v>
      </c>
      <c r="G40" s="3">
        <v>5</v>
      </c>
      <c r="H40" s="3">
        <v>1</v>
      </c>
      <c r="I40" s="3" t="s">
        <v>9</v>
      </c>
      <c r="J40">
        <f t="shared" si="1"/>
        <v>1027520137.1641912</v>
      </c>
      <c r="K40">
        <f t="shared" si="2"/>
        <v>1.998396970649257</v>
      </c>
      <c r="L40">
        <f t="shared" si="3"/>
        <v>1.689674955799193</v>
      </c>
      <c r="M40">
        <f t="shared" si="4"/>
        <v>-0.43544068755696258</v>
      </c>
      <c r="N40">
        <f t="shared" si="5"/>
        <v>1.5381674409781891</v>
      </c>
      <c r="O40">
        <f t="shared" si="6"/>
        <v>1.6046259168959089</v>
      </c>
      <c r="P40">
        <f t="shared" si="7"/>
        <v>0.82324945135955463</v>
      </c>
    </row>
    <row r="41" spans="2:16" ht="26.4" x14ac:dyDescent="0.3">
      <c r="B41" s="2">
        <v>49</v>
      </c>
      <c r="C41" s="3">
        <v>95000</v>
      </c>
      <c r="D41" s="3">
        <v>156</v>
      </c>
      <c r="E41" s="2">
        <v>3</v>
      </c>
      <c r="F41" s="3">
        <v>11</v>
      </c>
      <c r="G41" s="3">
        <v>3</v>
      </c>
      <c r="H41" s="3">
        <v>1</v>
      </c>
      <c r="I41" s="3" t="s">
        <v>10</v>
      </c>
      <c r="J41">
        <f t="shared" si="1"/>
        <v>653055722.74977684</v>
      </c>
      <c r="K41">
        <f t="shared" si="2"/>
        <v>1.5931685019936714</v>
      </c>
      <c r="L41">
        <f t="shared" si="3"/>
        <v>1.3923897707263868</v>
      </c>
      <c r="M41">
        <f t="shared" si="4"/>
        <v>0.30815802504031226</v>
      </c>
      <c r="N41">
        <f t="shared" si="5"/>
        <v>0.31424926213532922</v>
      </c>
      <c r="O41">
        <f t="shared" si="6"/>
        <v>-1.4929997661553238</v>
      </c>
      <c r="P41">
        <f t="shared" si="7"/>
        <v>0.82324945135955463</v>
      </c>
    </row>
    <row r="42" spans="2:16" x14ac:dyDescent="0.3">
      <c r="B42" s="2">
        <v>50</v>
      </c>
      <c r="C42" s="3">
        <v>81000</v>
      </c>
      <c r="D42" s="3">
        <v>150</v>
      </c>
      <c r="E42" s="2">
        <v>4</v>
      </c>
      <c r="F42" s="3">
        <v>11</v>
      </c>
      <c r="G42" s="3">
        <v>4</v>
      </c>
      <c r="H42" s="3">
        <v>1</v>
      </c>
      <c r="I42" s="3" t="s">
        <v>9</v>
      </c>
      <c r="J42">
        <f t="shared" si="1"/>
        <v>133516984.01103808</v>
      </c>
      <c r="K42">
        <f t="shared" si="2"/>
        <v>0.72036872335087188</v>
      </c>
      <c r="L42">
        <f t="shared" si="3"/>
        <v>1.194199647344516</v>
      </c>
      <c r="M42">
        <f t="shared" si="4"/>
        <v>1.0517567376375871</v>
      </c>
      <c r="N42">
        <f t="shared" si="5"/>
        <v>0.31424926213532922</v>
      </c>
      <c r="O42">
        <f t="shared" si="6"/>
        <v>5.5813075370292599E-2</v>
      </c>
      <c r="P42">
        <f t="shared" si="7"/>
        <v>0.82324945135955463</v>
      </c>
    </row>
    <row r="43" spans="2:16" x14ac:dyDescent="0.3">
      <c r="B43" s="2">
        <v>51</v>
      </c>
      <c r="C43" s="3">
        <v>62000</v>
      </c>
      <c r="D43" s="3">
        <v>95</v>
      </c>
      <c r="E43" s="2">
        <v>2</v>
      </c>
      <c r="F43" s="3">
        <v>9</v>
      </c>
      <c r="G43" s="3">
        <v>4</v>
      </c>
      <c r="H43" s="3">
        <v>1</v>
      </c>
      <c r="I43" s="3" t="s">
        <v>9</v>
      </c>
      <c r="J43">
        <f t="shared" si="1"/>
        <v>55428695.72274977</v>
      </c>
      <c r="K43">
        <f t="shared" si="2"/>
        <v>-0.4641452619500705</v>
      </c>
      <c r="L43">
        <f t="shared" si="3"/>
        <v>-0.62254315032263319</v>
      </c>
      <c r="M43">
        <f t="shared" si="4"/>
        <v>-0.43544068755696258</v>
      </c>
      <c r="N43">
        <f t="shared" si="5"/>
        <v>-0.90966891670753069</v>
      </c>
      <c r="O43">
        <f t="shared" si="6"/>
        <v>5.5813075370292599E-2</v>
      </c>
      <c r="P43">
        <f t="shared" si="7"/>
        <v>0.82324945135955463</v>
      </c>
    </row>
    <row r="44" spans="2:16" ht="26.4" x14ac:dyDescent="0.3">
      <c r="B44" s="2">
        <v>52</v>
      </c>
      <c r="C44" s="3">
        <v>52000</v>
      </c>
      <c r="D44" s="3">
        <v>80</v>
      </c>
      <c r="E44" s="2">
        <v>1</v>
      </c>
      <c r="F44" s="3">
        <v>9</v>
      </c>
      <c r="G44" s="3">
        <v>3</v>
      </c>
      <c r="H44" s="3">
        <v>0</v>
      </c>
      <c r="I44" s="3" t="s">
        <v>10</v>
      </c>
      <c r="J44">
        <f t="shared" si="1"/>
        <v>304329596.62365067</v>
      </c>
      <c r="K44">
        <f t="shared" si="2"/>
        <v>-1.0875736752663561</v>
      </c>
      <c r="L44">
        <f t="shared" si="3"/>
        <v>-1.1180184587773103</v>
      </c>
      <c r="M44">
        <f t="shared" si="4"/>
        <v>-1.1790394001542375</v>
      </c>
      <c r="N44">
        <f t="shared" si="5"/>
        <v>-0.90966891670753069</v>
      </c>
      <c r="O44">
        <f t="shared" si="6"/>
        <v>-1.4929997661553238</v>
      </c>
      <c r="P44">
        <f t="shared" si="7"/>
        <v>-1.1210205295108828</v>
      </c>
    </row>
    <row r="45" spans="2:16" x14ac:dyDescent="0.3">
      <c r="B45" s="2">
        <v>53</v>
      </c>
      <c r="C45" s="3">
        <v>100500</v>
      </c>
      <c r="D45" s="3">
        <v>173</v>
      </c>
      <c r="E45" s="2">
        <v>5</v>
      </c>
      <c r="F45" s="3">
        <v>11</v>
      </c>
      <c r="G45" s="3">
        <v>4</v>
      </c>
      <c r="H45" s="3">
        <v>1</v>
      </c>
      <c r="I45" s="3" t="s">
        <v>9</v>
      </c>
      <c r="J45">
        <f t="shared" si="1"/>
        <v>964410227.2542814</v>
      </c>
      <c r="K45">
        <f t="shared" si="2"/>
        <v>1.9360541293176285</v>
      </c>
      <c r="L45">
        <f t="shared" si="3"/>
        <v>1.9539284536416874</v>
      </c>
      <c r="M45">
        <f t="shared" si="4"/>
        <v>1.7953554502348619</v>
      </c>
      <c r="N45">
        <f t="shared" si="5"/>
        <v>0.31424926213532922</v>
      </c>
      <c r="O45">
        <f t="shared" si="6"/>
        <v>5.5813075370292599E-2</v>
      </c>
      <c r="P45">
        <f t="shared" si="7"/>
        <v>0.82324945135955463</v>
      </c>
    </row>
    <row r="46" spans="2:16" ht="26.4" x14ac:dyDescent="0.3">
      <c r="B46" s="2">
        <v>54</v>
      </c>
      <c r="C46" s="3">
        <v>68500</v>
      </c>
      <c r="D46" s="3">
        <v>123</v>
      </c>
      <c r="E46" s="2">
        <v>5</v>
      </c>
      <c r="F46" s="3">
        <v>13</v>
      </c>
      <c r="G46" s="3">
        <v>3</v>
      </c>
      <c r="H46" s="3">
        <v>0</v>
      </c>
      <c r="I46" s="3" t="s">
        <v>10</v>
      </c>
      <c r="J46">
        <f t="shared" si="1"/>
        <v>893110.13716418995</v>
      </c>
      <c r="K46">
        <f t="shared" si="2"/>
        <v>-5.8916793294484952E-2</v>
      </c>
      <c r="L46">
        <f t="shared" si="3"/>
        <v>0.30234409212609731</v>
      </c>
      <c r="M46">
        <f t="shared" si="4"/>
        <v>1.7953554502348619</v>
      </c>
      <c r="N46">
        <f t="shared" si="5"/>
        <v>1.5381674409781891</v>
      </c>
      <c r="O46">
        <f t="shared" si="6"/>
        <v>-1.4929997661553238</v>
      </c>
      <c r="P46">
        <f t="shared" si="7"/>
        <v>-1.1210205295108828</v>
      </c>
    </row>
    <row r="47" spans="2:16" x14ac:dyDescent="0.3">
      <c r="B47" s="2">
        <v>55</v>
      </c>
      <c r="C47" s="3">
        <v>71000</v>
      </c>
      <c r="D47" s="3">
        <v>128</v>
      </c>
      <c r="E47" s="2">
        <v>5</v>
      </c>
      <c r="F47" s="3">
        <v>11</v>
      </c>
      <c r="G47" s="3">
        <v>4</v>
      </c>
      <c r="H47" s="3">
        <v>1</v>
      </c>
      <c r="I47" s="3" t="s">
        <v>9</v>
      </c>
      <c r="J47">
        <f t="shared" si="1"/>
        <v>2417884.9119389681</v>
      </c>
      <c r="K47">
        <f t="shared" si="2"/>
        <v>9.6940310034586405E-2</v>
      </c>
      <c r="L47">
        <f t="shared" si="3"/>
        <v>0.46750252827765632</v>
      </c>
      <c r="M47">
        <f t="shared" si="4"/>
        <v>1.7953554502348619</v>
      </c>
      <c r="N47">
        <f t="shared" si="5"/>
        <v>0.31424926213532922</v>
      </c>
      <c r="O47">
        <f t="shared" si="6"/>
        <v>5.5813075370292599E-2</v>
      </c>
      <c r="P47">
        <f t="shared" si="7"/>
        <v>0.82324945135955463</v>
      </c>
    </row>
    <row r="48" spans="2:16" x14ac:dyDescent="0.3">
      <c r="B48" s="2">
        <v>56</v>
      </c>
      <c r="C48" s="3">
        <v>66000</v>
      </c>
      <c r="D48" s="3">
        <v>116</v>
      </c>
      <c r="E48" s="2">
        <v>2</v>
      </c>
      <c r="F48" s="3">
        <v>9</v>
      </c>
      <c r="G48" s="3">
        <v>4</v>
      </c>
      <c r="H48" s="3">
        <v>0</v>
      </c>
      <c r="I48" s="3" t="s">
        <v>9</v>
      </c>
      <c r="J48">
        <f t="shared" si="1"/>
        <v>11868335.362389412</v>
      </c>
      <c r="K48">
        <f t="shared" si="2"/>
        <v>-0.21477389662355631</v>
      </c>
      <c r="L48">
        <f t="shared" si="3"/>
        <v>7.1122281513914684E-2</v>
      </c>
      <c r="M48">
        <f t="shared" si="4"/>
        <v>-0.43544068755696258</v>
      </c>
      <c r="N48">
        <f t="shared" si="5"/>
        <v>-0.90966891670753069</v>
      </c>
      <c r="O48">
        <f t="shared" si="6"/>
        <v>5.5813075370292599E-2</v>
      </c>
      <c r="P48">
        <f t="shared" si="7"/>
        <v>-1.1210205295108828</v>
      </c>
    </row>
    <row r="49" spans="2:16" x14ac:dyDescent="0.3">
      <c r="B49" s="2">
        <v>57</v>
      </c>
      <c r="C49" s="3">
        <v>60000</v>
      </c>
      <c r="D49" s="3">
        <v>90</v>
      </c>
      <c r="E49" s="2">
        <v>3</v>
      </c>
      <c r="F49" s="3">
        <v>11</v>
      </c>
      <c r="G49" s="3">
        <v>4</v>
      </c>
      <c r="H49" s="3">
        <v>0</v>
      </c>
      <c r="I49" s="3" t="s">
        <v>8</v>
      </c>
      <c r="J49">
        <f t="shared" si="1"/>
        <v>89208875.902929947</v>
      </c>
      <c r="K49">
        <f t="shared" si="2"/>
        <v>-0.58883094461332763</v>
      </c>
      <c r="L49">
        <f t="shared" si="3"/>
        <v>-0.78770158647419219</v>
      </c>
      <c r="M49">
        <f t="shared" si="4"/>
        <v>0.30815802504031226</v>
      </c>
      <c r="N49">
        <f t="shared" si="5"/>
        <v>0.31424926213532922</v>
      </c>
      <c r="O49">
        <f t="shared" si="6"/>
        <v>5.5813075370292599E-2</v>
      </c>
      <c r="P49">
        <f t="shared" si="7"/>
        <v>-1.1210205295108828</v>
      </c>
    </row>
    <row r="50" spans="2:16" x14ac:dyDescent="0.3">
      <c r="B50" s="2">
        <v>58</v>
      </c>
      <c r="C50" s="3">
        <v>56000</v>
      </c>
      <c r="D50" s="3">
        <v>95</v>
      </c>
      <c r="E50" s="2">
        <v>3</v>
      </c>
      <c r="F50" s="3">
        <v>13</v>
      </c>
      <c r="G50" s="3">
        <v>4</v>
      </c>
      <c r="H50" s="3">
        <v>0</v>
      </c>
      <c r="I50" s="3" t="s">
        <v>8</v>
      </c>
      <c r="J50">
        <f t="shared" si="1"/>
        <v>180769236.26329029</v>
      </c>
      <c r="K50">
        <f t="shared" si="2"/>
        <v>-0.83820230993984179</v>
      </c>
      <c r="L50">
        <f t="shared" si="3"/>
        <v>-0.62254315032263319</v>
      </c>
      <c r="M50">
        <f t="shared" si="4"/>
        <v>0.30815802504031226</v>
      </c>
      <c r="N50">
        <f t="shared" si="5"/>
        <v>1.5381674409781891</v>
      </c>
      <c r="O50">
        <f t="shared" si="6"/>
        <v>5.5813075370292599E-2</v>
      </c>
      <c r="P50">
        <f t="shared" si="7"/>
        <v>-1.1210205295108828</v>
      </c>
    </row>
    <row r="51" spans="2:16" x14ac:dyDescent="0.3">
      <c r="B51" s="2">
        <v>59</v>
      </c>
      <c r="C51" s="3">
        <v>77000</v>
      </c>
      <c r="D51" s="3">
        <v>129</v>
      </c>
      <c r="E51" s="2">
        <v>4</v>
      </c>
      <c r="F51" s="3">
        <v>9</v>
      </c>
      <c r="G51" s="3">
        <v>4</v>
      </c>
      <c r="H51" s="3">
        <v>0</v>
      </c>
      <c r="I51" s="3" t="s">
        <v>9</v>
      </c>
      <c r="J51">
        <f t="shared" si="1"/>
        <v>57077344.371398434</v>
      </c>
      <c r="K51">
        <f t="shared" si="2"/>
        <v>0.47099735802435766</v>
      </c>
      <c r="L51">
        <f t="shared" si="3"/>
        <v>0.50053421550796817</v>
      </c>
      <c r="M51">
        <f t="shared" si="4"/>
        <v>1.0517567376375871</v>
      </c>
      <c r="N51">
        <f t="shared" si="5"/>
        <v>-0.90966891670753069</v>
      </c>
      <c r="O51">
        <f t="shared" si="6"/>
        <v>5.5813075370292599E-2</v>
      </c>
      <c r="P51">
        <f t="shared" si="7"/>
        <v>-1.1210205295108828</v>
      </c>
    </row>
    <row r="52" spans="2:16" x14ac:dyDescent="0.3">
      <c r="B52" s="2">
        <v>60</v>
      </c>
      <c r="C52" s="3">
        <v>59000</v>
      </c>
      <c r="D52" s="3">
        <v>99</v>
      </c>
      <c r="E52" s="2">
        <v>4</v>
      </c>
      <c r="F52" s="3">
        <v>11</v>
      </c>
      <c r="G52" s="3">
        <v>4</v>
      </c>
      <c r="H52" s="3">
        <v>1</v>
      </c>
      <c r="I52" s="3" t="s">
        <v>9</v>
      </c>
      <c r="J52">
        <f t="shared" si="1"/>
        <v>109098965.99302003</v>
      </c>
      <c r="K52">
        <f t="shared" si="2"/>
        <v>-0.65117378594495612</v>
      </c>
      <c r="L52">
        <f t="shared" si="3"/>
        <v>-0.49041640140138598</v>
      </c>
      <c r="M52">
        <f t="shared" si="4"/>
        <v>1.0517567376375871</v>
      </c>
      <c r="N52">
        <f t="shared" si="5"/>
        <v>0.31424926213532922</v>
      </c>
      <c r="O52">
        <f t="shared" si="6"/>
        <v>5.5813075370292599E-2</v>
      </c>
      <c r="P52">
        <f t="shared" si="7"/>
        <v>0.82324945135955463</v>
      </c>
    </row>
    <row r="53" spans="2:16" x14ac:dyDescent="0.3">
      <c r="B53" s="2">
        <v>61</v>
      </c>
      <c r="C53" s="3">
        <v>71500</v>
      </c>
      <c r="D53" s="3">
        <v>129</v>
      </c>
      <c r="E53" s="2">
        <v>4</v>
      </c>
      <c r="F53" s="3">
        <v>11</v>
      </c>
      <c r="G53" s="3">
        <v>4</v>
      </c>
      <c r="H53" s="3">
        <v>1</v>
      </c>
      <c r="I53" s="3" t="s">
        <v>9</v>
      </c>
      <c r="J53">
        <f t="shared" si="1"/>
        <v>4222839.8668939238</v>
      </c>
      <c r="K53">
        <f t="shared" si="2"/>
        <v>0.12811173070040069</v>
      </c>
      <c r="L53">
        <f t="shared" si="3"/>
        <v>0.50053421550796817</v>
      </c>
      <c r="M53">
        <f t="shared" si="4"/>
        <v>1.0517567376375871</v>
      </c>
      <c r="N53">
        <f t="shared" si="5"/>
        <v>0.31424926213532922</v>
      </c>
      <c r="O53">
        <f t="shared" si="6"/>
        <v>5.5813075370292599E-2</v>
      </c>
      <c r="P53">
        <f t="shared" si="7"/>
        <v>0.82324945135955463</v>
      </c>
    </row>
    <row r="54" spans="2:16" x14ac:dyDescent="0.3">
      <c r="B54" s="2">
        <v>62</v>
      </c>
      <c r="C54" s="3">
        <v>56000</v>
      </c>
      <c r="D54" s="3">
        <v>85</v>
      </c>
      <c r="E54" s="2">
        <v>3</v>
      </c>
      <c r="F54" s="3">
        <v>13</v>
      </c>
      <c r="G54" s="3">
        <v>4</v>
      </c>
      <c r="H54" s="3">
        <v>1</v>
      </c>
      <c r="I54" s="3" t="s">
        <v>8</v>
      </c>
      <c r="J54">
        <f t="shared" si="1"/>
        <v>180769236.26329029</v>
      </c>
      <c r="K54">
        <f t="shared" si="2"/>
        <v>-0.83820230993984179</v>
      </c>
      <c r="L54">
        <f t="shared" si="3"/>
        <v>-0.9528600226257512</v>
      </c>
      <c r="M54">
        <f t="shared" si="4"/>
        <v>0.30815802504031226</v>
      </c>
      <c r="N54">
        <f t="shared" si="5"/>
        <v>1.5381674409781891</v>
      </c>
      <c r="O54">
        <f t="shared" si="6"/>
        <v>5.5813075370292599E-2</v>
      </c>
      <c r="P54">
        <f t="shared" si="7"/>
        <v>0.82324945135955463</v>
      </c>
    </row>
    <row r="55" spans="2:16" ht="26.4" x14ac:dyDescent="0.3">
      <c r="B55" s="2">
        <v>63</v>
      </c>
      <c r="C55" s="3">
        <v>92500</v>
      </c>
      <c r="D55" s="3">
        <v>160</v>
      </c>
      <c r="E55" s="2">
        <v>3</v>
      </c>
      <c r="F55" s="3">
        <v>11</v>
      </c>
      <c r="G55" s="3">
        <v>5</v>
      </c>
      <c r="H55" s="3">
        <v>0</v>
      </c>
      <c r="I55" s="3" t="s">
        <v>10</v>
      </c>
      <c r="J55">
        <f t="shared" si="1"/>
        <v>531530947.97500205</v>
      </c>
      <c r="K55">
        <f t="shared" si="2"/>
        <v>1.4373113986646002</v>
      </c>
      <c r="L55">
        <f t="shared" si="3"/>
        <v>1.524516519647634</v>
      </c>
      <c r="M55">
        <f t="shared" si="4"/>
        <v>0.30815802504031226</v>
      </c>
      <c r="N55">
        <f t="shared" si="5"/>
        <v>0.31424926213532922</v>
      </c>
      <c r="O55">
        <f t="shared" si="6"/>
        <v>1.6046259168959089</v>
      </c>
      <c r="P55">
        <f t="shared" si="7"/>
        <v>-1.1210205295108828</v>
      </c>
    </row>
    <row r="56" spans="2:16" ht="26.4" x14ac:dyDescent="0.3">
      <c r="B56" s="2">
        <v>64</v>
      </c>
      <c r="C56" s="3">
        <v>95000</v>
      </c>
      <c r="D56" s="3">
        <v>169</v>
      </c>
      <c r="E56" s="2">
        <v>1</v>
      </c>
      <c r="F56" s="3">
        <v>9</v>
      </c>
      <c r="G56" s="3">
        <v>4</v>
      </c>
      <c r="H56" s="3">
        <v>0</v>
      </c>
      <c r="I56" s="3" t="s">
        <v>10</v>
      </c>
      <c r="J56">
        <f t="shared" si="1"/>
        <v>653055722.74977684</v>
      </c>
      <c r="K56">
        <f t="shared" si="2"/>
        <v>1.5931685019936714</v>
      </c>
      <c r="L56">
        <f t="shared" si="3"/>
        <v>1.8218017047204402</v>
      </c>
      <c r="M56">
        <f t="shared" si="4"/>
        <v>-1.1790394001542375</v>
      </c>
      <c r="N56">
        <f t="shared" si="5"/>
        <v>-0.90966891670753069</v>
      </c>
      <c r="O56">
        <f t="shared" si="6"/>
        <v>5.5813075370292599E-2</v>
      </c>
      <c r="P56">
        <f t="shared" si="7"/>
        <v>-1.1210205295108828</v>
      </c>
    </row>
    <row r="57" spans="2:16" x14ac:dyDescent="0.3">
      <c r="B57" s="2">
        <v>65</v>
      </c>
      <c r="C57" s="3">
        <v>68000</v>
      </c>
      <c r="D57" s="3">
        <v>109</v>
      </c>
      <c r="E57" s="2">
        <v>3</v>
      </c>
      <c r="F57" s="3">
        <v>11</v>
      </c>
      <c r="G57" s="3">
        <v>4</v>
      </c>
      <c r="H57" s="3">
        <v>1</v>
      </c>
      <c r="I57" s="3" t="s">
        <v>9</v>
      </c>
      <c r="J57">
        <f t="shared" si="1"/>
        <v>2088155.1822092345</v>
      </c>
      <c r="K57">
        <f t="shared" si="2"/>
        <v>-9.0088213960299229E-2</v>
      </c>
      <c r="L57">
        <f t="shared" si="3"/>
        <v>-0.16009952909826794</v>
      </c>
      <c r="M57">
        <f t="shared" si="4"/>
        <v>0.30815802504031226</v>
      </c>
      <c r="N57">
        <f t="shared" si="5"/>
        <v>0.31424926213532922</v>
      </c>
      <c r="O57">
        <f t="shared" si="6"/>
        <v>5.5813075370292599E-2</v>
      </c>
      <c r="P57">
        <f t="shared" si="7"/>
        <v>0.82324945135955463</v>
      </c>
    </row>
    <row r="58" spans="2:16" x14ac:dyDescent="0.3">
      <c r="B58" s="2">
        <v>66</v>
      </c>
      <c r="C58" s="3">
        <v>65000</v>
      </c>
      <c r="D58" s="3">
        <v>94</v>
      </c>
      <c r="E58" s="2">
        <v>2</v>
      </c>
      <c r="F58" s="3">
        <v>9</v>
      </c>
      <c r="G58" s="3">
        <v>5</v>
      </c>
      <c r="H58" s="3">
        <v>1</v>
      </c>
      <c r="I58" s="3" t="s">
        <v>9</v>
      </c>
      <c r="J58">
        <f t="shared" si="1"/>
        <v>19758425.4524795</v>
      </c>
      <c r="K58">
        <f t="shared" si="2"/>
        <v>-0.27711673795518488</v>
      </c>
      <c r="L58">
        <f t="shared" si="3"/>
        <v>-0.65557483755294499</v>
      </c>
      <c r="M58">
        <f t="shared" si="4"/>
        <v>-0.43544068755696258</v>
      </c>
      <c r="N58">
        <f t="shared" si="5"/>
        <v>-0.90966891670753069</v>
      </c>
      <c r="O58">
        <f t="shared" si="6"/>
        <v>1.6046259168959089</v>
      </c>
      <c r="P58">
        <f t="shared" si="7"/>
        <v>0.82324945135955463</v>
      </c>
    </row>
    <row r="59" spans="2:16" x14ac:dyDescent="0.3">
      <c r="B59" s="2">
        <v>67</v>
      </c>
      <c r="C59" s="3">
        <v>58000</v>
      </c>
      <c r="D59" s="3">
        <v>88</v>
      </c>
      <c r="E59" s="2">
        <v>1</v>
      </c>
      <c r="F59" s="3">
        <v>11</v>
      </c>
      <c r="G59" s="3">
        <v>5</v>
      </c>
      <c r="H59" s="3">
        <v>1</v>
      </c>
      <c r="I59" s="3" t="s">
        <v>9</v>
      </c>
      <c r="J59">
        <f t="shared" si="1"/>
        <v>130989056.08311012</v>
      </c>
      <c r="K59">
        <f t="shared" si="2"/>
        <v>-0.71351662727658471</v>
      </c>
      <c r="L59">
        <f t="shared" si="3"/>
        <v>-0.8537649609348158</v>
      </c>
      <c r="M59">
        <f t="shared" si="4"/>
        <v>-1.1790394001542375</v>
      </c>
      <c r="N59">
        <f t="shared" si="5"/>
        <v>0.31424926213532922</v>
      </c>
      <c r="O59">
        <f t="shared" si="6"/>
        <v>1.6046259168959089</v>
      </c>
      <c r="P59">
        <f t="shared" si="7"/>
        <v>0.82324945135955463</v>
      </c>
    </row>
    <row r="60" spans="2:16" x14ac:dyDescent="0.3">
      <c r="B60" s="2">
        <v>68</v>
      </c>
      <c r="C60" s="3">
        <v>62500</v>
      </c>
      <c r="D60" s="3">
        <v>109</v>
      </c>
      <c r="E60" s="2">
        <v>1</v>
      </c>
      <c r="F60" s="3">
        <v>9</v>
      </c>
      <c r="G60" s="3">
        <v>3</v>
      </c>
      <c r="H60" s="3">
        <v>0</v>
      </c>
      <c r="I60" s="3" t="s">
        <v>8</v>
      </c>
      <c r="J60">
        <f t="shared" si="1"/>
        <v>48233650.677704722</v>
      </c>
      <c r="K60">
        <f t="shared" si="2"/>
        <v>-0.43297384128425626</v>
      </c>
      <c r="L60">
        <f t="shared" si="3"/>
        <v>-0.16009952909826794</v>
      </c>
      <c r="M60">
        <f t="shared" si="4"/>
        <v>-1.1790394001542375</v>
      </c>
      <c r="N60">
        <f t="shared" si="5"/>
        <v>-0.90966891670753069</v>
      </c>
      <c r="O60">
        <f t="shared" si="6"/>
        <v>-1.4929997661553238</v>
      </c>
      <c r="P60">
        <f t="shared" si="7"/>
        <v>-1.1210205295108828</v>
      </c>
    </row>
    <row r="61" spans="2:16" ht="26.4" x14ac:dyDescent="0.3">
      <c r="B61" s="2">
        <v>69</v>
      </c>
      <c r="C61" s="3">
        <v>62500</v>
      </c>
      <c r="D61" s="3">
        <v>109</v>
      </c>
      <c r="E61" s="2">
        <v>2</v>
      </c>
      <c r="F61" s="3">
        <v>13</v>
      </c>
      <c r="G61" s="3">
        <v>4</v>
      </c>
      <c r="H61" s="3">
        <v>2</v>
      </c>
      <c r="I61" s="3" t="s">
        <v>11</v>
      </c>
      <c r="J61">
        <f t="shared" si="1"/>
        <v>48233650.677704722</v>
      </c>
      <c r="K61">
        <f t="shared" si="2"/>
        <v>-0.43297384128425626</v>
      </c>
      <c r="L61">
        <f t="shared" si="3"/>
        <v>-0.16009952909826794</v>
      </c>
      <c r="M61">
        <f t="shared" si="4"/>
        <v>-0.43544068755696258</v>
      </c>
      <c r="N61">
        <f t="shared" si="5"/>
        <v>1.5381674409781891</v>
      </c>
      <c r="O61">
        <f t="shared" si="6"/>
        <v>5.5813075370292599E-2</v>
      </c>
      <c r="P61">
        <f t="shared" si="7"/>
        <v>2.7675194322299923</v>
      </c>
    </row>
    <row r="62" spans="2:16" x14ac:dyDescent="0.3">
      <c r="B62" s="2">
        <v>70</v>
      </c>
      <c r="C62" s="3">
        <v>65000</v>
      </c>
      <c r="D62" s="3">
        <v>95</v>
      </c>
      <c r="E62" s="2">
        <v>1</v>
      </c>
      <c r="F62" s="3">
        <v>11</v>
      </c>
      <c r="G62" s="3">
        <v>4</v>
      </c>
      <c r="H62" s="3">
        <v>0</v>
      </c>
      <c r="I62" s="3" t="s">
        <v>9</v>
      </c>
      <c r="J62">
        <f t="shared" si="1"/>
        <v>19758425.4524795</v>
      </c>
      <c r="K62">
        <f t="shared" si="2"/>
        <v>-0.27711673795518488</v>
      </c>
      <c r="L62">
        <f t="shared" si="3"/>
        <v>-0.62254315032263319</v>
      </c>
      <c r="M62">
        <f t="shared" si="4"/>
        <v>-1.1790394001542375</v>
      </c>
      <c r="N62">
        <f t="shared" si="5"/>
        <v>0.31424926213532922</v>
      </c>
      <c r="O62">
        <f t="shared" si="6"/>
        <v>5.5813075370292599E-2</v>
      </c>
      <c r="P62">
        <f t="shared" si="7"/>
        <v>-1.1210205295108828</v>
      </c>
    </row>
    <row r="63" spans="2:16" x14ac:dyDescent="0.3">
      <c r="B63" s="2">
        <v>71</v>
      </c>
      <c r="C63" s="3">
        <v>87500</v>
      </c>
      <c r="D63" s="3">
        <v>153</v>
      </c>
      <c r="E63" s="2">
        <v>4</v>
      </c>
      <c r="F63" s="3">
        <v>11</v>
      </c>
      <c r="G63" s="3">
        <v>5</v>
      </c>
      <c r="H63" s="3">
        <v>1</v>
      </c>
      <c r="I63" s="3" t="s">
        <v>9</v>
      </c>
      <c r="J63">
        <f t="shared" si="1"/>
        <v>325981398.42545253</v>
      </c>
      <c r="K63">
        <f t="shared" si="2"/>
        <v>1.1255971920064574</v>
      </c>
      <c r="L63">
        <f t="shared" si="3"/>
        <v>1.2932947090354514</v>
      </c>
      <c r="M63">
        <f t="shared" si="4"/>
        <v>1.0517567376375871</v>
      </c>
      <c r="N63">
        <f t="shared" si="5"/>
        <v>0.31424926213532922</v>
      </c>
      <c r="O63">
        <f t="shared" si="6"/>
        <v>1.6046259168959089</v>
      </c>
      <c r="P63">
        <f t="shared" si="7"/>
        <v>0.82324945135955463</v>
      </c>
    </row>
    <row r="64" spans="2:16" x14ac:dyDescent="0.3">
      <c r="B64" s="2">
        <v>72</v>
      </c>
      <c r="C64" s="3">
        <v>87500</v>
      </c>
      <c r="D64" s="3">
        <v>153</v>
      </c>
      <c r="E64" s="2">
        <v>5</v>
      </c>
      <c r="F64" s="3">
        <v>11</v>
      </c>
      <c r="G64" s="3">
        <v>4</v>
      </c>
      <c r="H64" s="3">
        <v>1</v>
      </c>
      <c r="I64" s="3" t="s">
        <v>9</v>
      </c>
      <c r="J64">
        <f t="shared" si="1"/>
        <v>325981398.42545253</v>
      </c>
      <c r="K64">
        <f t="shared" si="2"/>
        <v>1.1255971920064574</v>
      </c>
      <c r="L64">
        <f t="shared" si="3"/>
        <v>1.2932947090354514</v>
      </c>
      <c r="M64">
        <f t="shared" si="4"/>
        <v>1.7953554502348619</v>
      </c>
      <c r="N64">
        <f t="shared" si="5"/>
        <v>0.31424926213532922</v>
      </c>
      <c r="O64">
        <f t="shared" si="6"/>
        <v>5.5813075370292599E-2</v>
      </c>
      <c r="P64">
        <f t="shared" si="7"/>
        <v>0.82324945135955463</v>
      </c>
    </row>
    <row r="65" spans="2:16" x14ac:dyDescent="0.3">
      <c r="B65" s="2">
        <v>73</v>
      </c>
      <c r="C65" s="3">
        <v>61000</v>
      </c>
      <c r="D65" s="3">
        <v>90</v>
      </c>
      <c r="E65" s="2">
        <v>1</v>
      </c>
      <c r="F65" s="3">
        <v>9</v>
      </c>
      <c r="G65" s="3">
        <v>3</v>
      </c>
      <c r="H65" s="3">
        <v>1</v>
      </c>
      <c r="I65" s="3" t="s">
        <v>8</v>
      </c>
      <c r="J65">
        <f t="shared" si="1"/>
        <v>71318785.812839851</v>
      </c>
      <c r="K65">
        <f t="shared" si="2"/>
        <v>-0.52648810328169904</v>
      </c>
      <c r="L65">
        <f t="shared" si="3"/>
        <v>-0.78770158647419219</v>
      </c>
      <c r="M65">
        <f t="shared" si="4"/>
        <v>-1.1790394001542375</v>
      </c>
      <c r="N65">
        <f t="shared" si="5"/>
        <v>-0.90966891670753069</v>
      </c>
      <c r="O65">
        <f t="shared" si="6"/>
        <v>-1.4929997661553238</v>
      </c>
      <c r="P65">
        <f t="shared" si="7"/>
        <v>0.82324945135955463</v>
      </c>
    </row>
    <row r="66" spans="2:16" x14ac:dyDescent="0.3">
      <c r="B66" s="2">
        <v>74</v>
      </c>
      <c r="C66" s="3">
        <v>65000</v>
      </c>
      <c r="D66" s="3">
        <v>116</v>
      </c>
      <c r="E66" s="2">
        <v>3</v>
      </c>
      <c r="F66" s="3">
        <v>13</v>
      </c>
      <c r="G66" s="3">
        <v>4</v>
      </c>
      <c r="H66" s="3">
        <v>0</v>
      </c>
      <c r="I66" s="3" t="s">
        <v>9</v>
      </c>
      <c r="J66">
        <f t="shared" si="1"/>
        <v>19758425.4524795</v>
      </c>
      <c r="K66">
        <f t="shared" si="2"/>
        <v>-0.27711673795518488</v>
      </c>
      <c r="L66">
        <f t="shared" si="3"/>
        <v>7.1122281513914684E-2</v>
      </c>
      <c r="M66">
        <f t="shared" si="4"/>
        <v>0.30815802504031226</v>
      </c>
      <c r="N66">
        <f t="shared" si="5"/>
        <v>1.5381674409781891</v>
      </c>
      <c r="O66">
        <f t="shared" si="6"/>
        <v>5.5813075370292599E-2</v>
      </c>
      <c r="P66">
        <f t="shared" si="7"/>
        <v>-1.1210205295108828</v>
      </c>
    </row>
    <row r="67" spans="2:16" x14ac:dyDescent="0.3">
      <c r="B67" s="2">
        <v>75</v>
      </c>
      <c r="C67" s="3">
        <v>57500</v>
      </c>
      <c r="D67" s="3">
        <v>91</v>
      </c>
      <c r="E67" s="2">
        <v>2</v>
      </c>
      <c r="F67" s="3">
        <v>9</v>
      </c>
      <c r="G67" s="3">
        <v>3</v>
      </c>
      <c r="H67" s="3">
        <v>0</v>
      </c>
      <c r="I67" s="3" t="s">
        <v>8</v>
      </c>
      <c r="J67">
        <f t="shared" si="1"/>
        <v>142684101.12815517</v>
      </c>
      <c r="K67">
        <f t="shared" si="2"/>
        <v>-0.74468804794239896</v>
      </c>
      <c r="L67">
        <f t="shared" si="3"/>
        <v>-0.75466989924388039</v>
      </c>
      <c r="M67">
        <f t="shared" si="4"/>
        <v>-0.43544068755696258</v>
      </c>
      <c r="N67">
        <f t="shared" si="5"/>
        <v>-0.90966891670753069</v>
      </c>
      <c r="O67">
        <f t="shared" si="6"/>
        <v>-1.4929997661553238</v>
      </c>
      <c r="P67">
        <f t="shared" si="7"/>
        <v>-1.1210205295108828</v>
      </c>
    </row>
    <row r="68" spans="2:16" ht="26.4" x14ac:dyDescent="0.3">
      <c r="B68" s="2">
        <v>76</v>
      </c>
      <c r="C68" s="3">
        <v>50000</v>
      </c>
      <c r="D68" s="3">
        <v>80</v>
      </c>
      <c r="E68" s="2">
        <v>1</v>
      </c>
      <c r="F68" s="3">
        <v>11</v>
      </c>
      <c r="G68" s="3">
        <v>4</v>
      </c>
      <c r="H68" s="3">
        <v>0</v>
      </c>
      <c r="I68" s="3" t="s">
        <v>11</v>
      </c>
      <c r="J68">
        <f t="shared" ref="J68:J113" si="8">(C68-AVERAGE($C$3:$C$113))^2</f>
        <v>378109776.80383086</v>
      </c>
      <c r="K68">
        <f t="shared" ref="K68:K113" si="9">(C68-AVERAGE(C$3:C$113))/_xlfn.STDEV.S(C$3:C$113)</f>
        <v>-1.212259357929613</v>
      </c>
      <c r="L68">
        <f t="shared" si="3"/>
        <v>-1.1180184587773103</v>
      </c>
      <c r="M68">
        <f t="shared" si="4"/>
        <v>-1.1790394001542375</v>
      </c>
      <c r="N68">
        <f t="shared" si="5"/>
        <v>0.31424926213532922</v>
      </c>
      <c r="O68">
        <f t="shared" si="6"/>
        <v>5.5813075370292599E-2</v>
      </c>
      <c r="P68">
        <f t="shared" si="7"/>
        <v>-1.1210205295108828</v>
      </c>
    </row>
    <row r="69" spans="2:16" ht="26.4" x14ac:dyDescent="0.3">
      <c r="B69" s="2">
        <v>77</v>
      </c>
      <c r="C69" s="3">
        <v>55000</v>
      </c>
      <c r="D69" s="3">
        <v>83</v>
      </c>
      <c r="E69" s="2">
        <v>1</v>
      </c>
      <c r="F69" s="3">
        <v>11</v>
      </c>
      <c r="G69" s="3">
        <v>4</v>
      </c>
      <c r="H69" s="3">
        <v>1</v>
      </c>
      <c r="I69" s="3" t="s">
        <v>11</v>
      </c>
      <c r="J69">
        <f t="shared" si="8"/>
        <v>208659326.35338038</v>
      </c>
      <c r="K69">
        <f t="shared" si="9"/>
        <v>-0.90054515127147028</v>
      </c>
      <c r="L69">
        <f t="shared" si="3"/>
        <v>-1.0189233970863749</v>
      </c>
      <c r="M69">
        <f t="shared" si="4"/>
        <v>-1.1790394001542375</v>
      </c>
      <c r="N69">
        <f t="shared" si="5"/>
        <v>0.31424926213532922</v>
      </c>
      <c r="O69">
        <f t="shared" si="6"/>
        <v>5.5813075370292599E-2</v>
      </c>
      <c r="P69">
        <f t="shared" si="7"/>
        <v>0.82324945135955463</v>
      </c>
    </row>
    <row r="70" spans="2:16" x14ac:dyDescent="0.3">
      <c r="B70" s="2">
        <v>78</v>
      </c>
      <c r="C70" s="3">
        <v>54000</v>
      </c>
      <c r="D70" s="3">
        <v>83</v>
      </c>
      <c r="E70" s="2">
        <v>1</v>
      </c>
      <c r="F70" s="3">
        <v>9</v>
      </c>
      <c r="G70" s="3">
        <v>4</v>
      </c>
      <c r="H70" s="3">
        <v>1</v>
      </c>
      <c r="I70" s="3" t="s">
        <v>9</v>
      </c>
      <c r="J70">
        <f t="shared" si="8"/>
        <v>238549416.44347048</v>
      </c>
      <c r="K70">
        <f t="shared" si="9"/>
        <v>-0.96288799260309887</v>
      </c>
      <c r="L70">
        <f t="shared" si="3"/>
        <v>-1.0189233970863749</v>
      </c>
      <c r="M70">
        <f t="shared" si="4"/>
        <v>-1.1790394001542375</v>
      </c>
      <c r="N70">
        <f t="shared" si="5"/>
        <v>-0.90966891670753069</v>
      </c>
      <c r="O70">
        <f t="shared" si="6"/>
        <v>5.5813075370292599E-2</v>
      </c>
      <c r="P70">
        <f t="shared" si="7"/>
        <v>0.82324945135955463</v>
      </c>
    </row>
    <row r="71" spans="2:16" x14ac:dyDescent="0.3">
      <c r="B71" s="2">
        <v>79</v>
      </c>
      <c r="C71" s="3">
        <v>50000</v>
      </c>
      <c r="D71" s="3">
        <v>81</v>
      </c>
      <c r="E71" s="2">
        <v>2</v>
      </c>
      <c r="F71" s="3">
        <v>11</v>
      </c>
      <c r="G71" s="3">
        <v>4</v>
      </c>
      <c r="H71" s="3">
        <v>0</v>
      </c>
      <c r="I71" s="3" t="s">
        <v>9</v>
      </c>
      <c r="J71">
        <f t="shared" si="8"/>
        <v>378109776.80383086</v>
      </c>
      <c r="K71">
        <f t="shared" si="9"/>
        <v>-1.212259357929613</v>
      </c>
      <c r="L71">
        <f t="shared" si="3"/>
        <v>-1.0849867715469985</v>
      </c>
      <c r="M71">
        <f t="shared" si="4"/>
        <v>-0.43544068755696258</v>
      </c>
      <c r="N71">
        <f t="shared" si="5"/>
        <v>0.31424926213532922</v>
      </c>
      <c r="O71">
        <f t="shared" si="6"/>
        <v>5.5813075370292599E-2</v>
      </c>
      <c r="P71">
        <f t="shared" si="7"/>
        <v>-1.1210205295108828</v>
      </c>
    </row>
    <row r="72" spans="2:16" ht="26.4" x14ac:dyDescent="0.3">
      <c r="B72" s="2">
        <v>80</v>
      </c>
      <c r="C72" s="3">
        <v>49500</v>
      </c>
      <c r="D72" s="3">
        <v>80</v>
      </c>
      <c r="E72" s="2">
        <v>1</v>
      </c>
      <c r="F72" s="3">
        <v>9</v>
      </c>
      <c r="G72" s="3">
        <v>4</v>
      </c>
      <c r="H72" s="3">
        <v>0</v>
      </c>
      <c r="I72" s="3" t="s">
        <v>10</v>
      </c>
      <c r="J72">
        <f t="shared" si="8"/>
        <v>397804821.84887588</v>
      </c>
      <c r="K72">
        <f t="shared" si="9"/>
        <v>-1.2434307785954273</v>
      </c>
      <c r="L72">
        <f t="shared" si="3"/>
        <v>-1.1180184587773103</v>
      </c>
      <c r="M72">
        <f t="shared" si="4"/>
        <v>-1.1790394001542375</v>
      </c>
      <c r="N72">
        <f t="shared" si="5"/>
        <v>-0.90966891670753069</v>
      </c>
      <c r="O72">
        <f t="shared" si="6"/>
        <v>5.5813075370292599E-2</v>
      </c>
      <c r="P72">
        <f t="shared" si="7"/>
        <v>-1.1210205295108828</v>
      </c>
    </row>
    <row r="73" spans="2:16" x14ac:dyDescent="0.3">
      <c r="B73" s="2">
        <v>81</v>
      </c>
      <c r="C73" s="3">
        <v>77500</v>
      </c>
      <c r="D73" s="3">
        <v>98</v>
      </c>
      <c r="E73" s="2">
        <v>1</v>
      </c>
      <c r="F73" s="3">
        <v>11</v>
      </c>
      <c r="G73" s="3">
        <v>4</v>
      </c>
      <c r="H73" s="3">
        <v>1</v>
      </c>
      <c r="I73" s="3" t="s">
        <v>9</v>
      </c>
      <c r="J73">
        <f t="shared" si="8"/>
        <v>64882299.326353393</v>
      </c>
      <c r="K73">
        <f t="shared" si="9"/>
        <v>0.50216877869017196</v>
      </c>
      <c r="L73">
        <f t="shared" si="3"/>
        <v>-0.52344808863169778</v>
      </c>
      <c r="M73">
        <f t="shared" si="4"/>
        <v>-1.1790394001542375</v>
      </c>
      <c r="N73">
        <f t="shared" si="5"/>
        <v>0.31424926213532922</v>
      </c>
      <c r="O73">
        <f t="shared" si="6"/>
        <v>5.5813075370292599E-2</v>
      </c>
      <c r="P73">
        <f t="shared" si="7"/>
        <v>0.82324945135955463</v>
      </c>
    </row>
    <row r="74" spans="2:16" ht="26.4" x14ac:dyDescent="0.3">
      <c r="B74" s="2">
        <v>82</v>
      </c>
      <c r="C74" s="3">
        <v>71500</v>
      </c>
      <c r="D74" s="3">
        <v>98</v>
      </c>
      <c r="E74" s="2">
        <v>2</v>
      </c>
      <c r="F74" s="3">
        <v>9</v>
      </c>
      <c r="G74" s="3">
        <v>4</v>
      </c>
      <c r="H74" s="3">
        <v>1</v>
      </c>
      <c r="I74" s="3" t="s">
        <v>10</v>
      </c>
      <c r="J74">
        <f t="shared" si="8"/>
        <v>4222839.8668939238</v>
      </c>
      <c r="K74">
        <f t="shared" si="9"/>
        <v>0.12811173070040069</v>
      </c>
      <c r="L74">
        <f t="shared" si="3"/>
        <v>-0.52344808863169778</v>
      </c>
      <c r="M74">
        <f t="shared" si="4"/>
        <v>-0.43544068755696258</v>
      </c>
      <c r="N74">
        <f t="shared" si="5"/>
        <v>-0.90966891670753069</v>
      </c>
      <c r="O74">
        <f t="shared" si="6"/>
        <v>5.5813075370292599E-2</v>
      </c>
      <c r="P74">
        <f t="shared" si="7"/>
        <v>0.82324945135955463</v>
      </c>
    </row>
    <row r="75" spans="2:16" x14ac:dyDescent="0.3">
      <c r="B75" s="2">
        <v>83</v>
      </c>
      <c r="C75" s="3">
        <v>75000</v>
      </c>
      <c r="D75" s="3">
        <v>139</v>
      </c>
      <c r="E75" s="2">
        <v>5</v>
      </c>
      <c r="F75" s="3">
        <v>13</v>
      </c>
      <c r="G75" s="3">
        <v>4</v>
      </c>
      <c r="H75" s="3">
        <v>1</v>
      </c>
      <c r="I75" s="3" t="s">
        <v>9</v>
      </c>
      <c r="J75">
        <f t="shared" si="8"/>
        <v>30857524.551578611</v>
      </c>
      <c r="K75">
        <f t="shared" si="9"/>
        <v>0.34631167536110058</v>
      </c>
      <c r="L75">
        <f t="shared" si="3"/>
        <v>0.83085108781108619</v>
      </c>
      <c r="M75">
        <f t="shared" si="4"/>
        <v>1.7953554502348619</v>
      </c>
      <c r="N75">
        <f t="shared" si="5"/>
        <v>1.5381674409781891</v>
      </c>
      <c r="O75">
        <f t="shared" si="6"/>
        <v>5.5813075370292599E-2</v>
      </c>
      <c r="P75">
        <f t="shared" si="7"/>
        <v>0.82324945135955463</v>
      </c>
    </row>
    <row r="76" spans="2:16" x14ac:dyDescent="0.3">
      <c r="B76" s="2">
        <v>84</v>
      </c>
      <c r="C76" s="3">
        <v>110000</v>
      </c>
      <c r="D76" s="3">
        <v>160</v>
      </c>
      <c r="E76" s="2">
        <v>5</v>
      </c>
      <c r="F76" s="3">
        <v>11</v>
      </c>
      <c r="G76" s="3">
        <v>5</v>
      </c>
      <c r="H76" s="3">
        <v>1</v>
      </c>
      <c r="I76" s="3" t="s">
        <v>9</v>
      </c>
      <c r="J76">
        <f t="shared" si="8"/>
        <v>1644704371.3984256</v>
      </c>
      <c r="K76">
        <f t="shared" si="9"/>
        <v>2.5283111219680996</v>
      </c>
      <c r="L76">
        <f t="shared" si="3"/>
        <v>1.524516519647634</v>
      </c>
      <c r="M76">
        <f t="shared" si="4"/>
        <v>1.7953554502348619</v>
      </c>
      <c r="N76">
        <f t="shared" si="5"/>
        <v>0.31424926213532922</v>
      </c>
      <c r="O76">
        <f t="shared" si="6"/>
        <v>1.6046259168959089</v>
      </c>
      <c r="P76">
        <f t="shared" si="7"/>
        <v>0.82324945135955463</v>
      </c>
    </row>
    <row r="77" spans="2:16" x14ac:dyDescent="0.3">
      <c r="B77" s="2">
        <v>85</v>
      </c>
      <c r="C77" s="3">
        <v>102500</v>
      </c>
      <c r="D77" s="3">
        <v>160</v>
      </c>
      <c r="E77" s="2">
        <v>5</v>
      </c>
      <c r="F77" s="3">
        <v>13</v>
      </c>
      <c r="G77" s="3">
        <v>5</v>
      </c>
      <c r="H77" s="3">
        <v>1</v>
      </c>
      <c r="I77" s="3" t="s">
        <v>9</v>
      </c>
      <c r="J77">
        <f t="shared" si="8"/>
        <v>1092630047.0741012</v>
      </c>
      <c r="K77">
        <f t="shared" si="9"/>
        <v>2.0607398119808855</v>
      </c>
      <c r="L77">
        <f t="shared" si="3"/>
        <v>1.524516519647634</v>
      </c>
      <c r="M77">
        <f t="shared" si="4"/>
        <v>1.7953554502348619</v>
      </c>
      <c r="N77">
        <f t="shared" si="5"/>
        <v>1.5381674409781891</v>
      </c>
      <c r="O77">
        <f t="shared" si="6"/>
        <v>1.6046259168959089</v>
      </c>
      <c r="P77">
        <f t="shared" si="7"/>
        <v>0.82324945135955463</v>
      </c>
    </row>
    <row r="78" spans="2:16" ht="26.4" x14ac:dyDescent="0.3">
      <c r="B78" s="2">
        <v>86</v>
      </c>
      <c r="C78" s="3">
        <v>115000</v>
      </c>
      <c r="D78" s="3">
        <v>160</v>
      </c>
      <c r="E78" s="2">
        <v>5</v>
      </c>
      <c r="F78" s="3">
        <v>11</v>
      </c>
      <c r="G78" s="3">
        <v>5</v>
      </c>
      <c r="H78" s="3">
        <v>1</v>
      </c>
      <c r="I78" s="3" t="s">
        <v>10</v>
      </c>
      <c r="J78">
        <f t="shared" si="8"/>
        <v>2075253920.9479752</v>
      </c>
      <c r="K78">
        <f t="shared" si="9"/>
        <v>2.8400253286262425</v>
      </c>
      <c r="L78">
        <f t="shared" si="3"/>
        <v>1.524516519647634</v>
      </c>
      <c r="M78">
        <f t="shared" si="4"/>
        <v>1.7953554502348619</v>
      </c>
      <c r="N78">
        <f t="shared" si="5"/>
        <v>0.31424926213532922</v>
      </c>
      <c r="O78">
        <f t="shared" si="6"/>
        <v>1.6046259168959089</v>
      </c>
      <c r="P78">
        <f t="shared" si="7"/>
        <v>0.82324945135955463</v>
      </c>
    </row>
    <row r="79" spans="2:16" ht="26.4" x14ac:dyDescent="0.3">
      <c r="B79" s="2">
        <v>87</v>
      </c>
      <c r="C79" s="3">
        <v>64000</v>
      </c>
      <c r="D79" s="3">
        <v>97</v>
      </c>
      <c r="E79" s="2">
        <v>1</v>
      </c>
      <c r="F79" s="3">
        <v>9</v>
      </c>
      <c r="G79" s="3">
        <v>5</v>
      </c>
      <c r="H79" s="3">
        <v>0</v>
      </c>
      <c r="I79" s="3" t="s">
        <v>11</v>
      </c>
      <c r="J79">
        <f t="shared" si="8"/>
        <v>29648515.542569589</v>
      </c>
      <c r="K79">
        <f t="shared" si="9"/>
        <v>-0.33945957928681342</v>
      </c>
      <c r="L79">
        <f t="shared" si="3"/>
        <v>-0.55647977586200958</v>
      </c>
      <c r="M79">
        <f t="shared" si="4"/>
        <v>-1.1790394001542375</v>
      </c>
      <c r="N79">
        <f t="shared" si="5"/>
        <v>-0.90966891670753069</v>
      </c>
      <c r="O79">
        <f t="shared" si="6"/>
        <v>1.6046259168959089</v>
      </c>
      <c r="P79">
        <f t="shared" si="7"/>
        <v>-1.1210205295108828</v>
      </c>
    </row>
    <row r="80" spans="2:16" x14ac:dyDescent="0.3">
      <c r="B80" s="2">
        <v>88</v>
      </c>
      <c r="C80" s="3">
        <v>61000</v>
      </c>
      <c r="D80" s="3">
        <v>93</v>
      </c>
      <c r="E80" s="2">
        <v>5</v>
      </c>
      <c r="F80" s="3">
        <v>9</v>
      </c>
      <c r="G80" s="3">
        <v>4</v>
      </c>
      <c r="H80" s="3">
        <v>0</v>
      </c>
      <c r="I80" s="3" t="s">
        <v>9</v>
      </c>
      <c r="J80">
        <f t="shared" si="8"/>
        <v>71318785.812839851</v>
      </c>
      <c r="K80">
        <f t="shared" si="9"/>
        <v>-0.52648810328169904</v>
      </c>
      <c r="L80">
        <f t="shared" si="3"/>
        <v>-0.68860652478325679</v>
      </c>
      <c r="M80">
        <f t="shared" si="4"/>
        <v>1.7953554502348619</v>
      </c>
      <c r="N80">
        <f t="shared" si="5"/>
        <v>-0.90966891670753069</v>
      </c>
      <c r="O80">
        <f t="shared" si="6"/>
        <v>5.5813075370292599E-2</v>
      </c>
      <c r="P80">
        <f t="shared" si="7"/>
        <v>-1.1210205295108828</v>
      </c>
    </row>
    <row r="81" spans="2:16" ht="26.4" x14ac:dyDescent="0.3">
      <c r="B81" s="2">
        <v>89</v>
      </c>
      <c r="C81" s="3">
        <v>72500</v>
      </c>
      <c r="D81" s="3">
        <v>110</v>
      </c>
      <c r="E81" s="2">
        <v>2</v>
      </c>
      <c r="F81" s="3">
        <v>11</v>
      </c>
      <c r="G81" s="3">
        <v>5</v>
      </c>
      <c r="H81" s="3">
        <v>1</v>
      </c>
      <c r="I81" s="3" t="s">
        <v>10</v>
      </c>
      <c r="J81">
        <f t="shared" si="8"/>
        <v>9332749.7768038344</v>
      </c>
      <c r="K81">
        <f t="shared" si="9"/>
        <v>0.19045457203202923</v>
      </c>
      <c r="L81">
        <f t="shared" si="3"/>
        <v>-0.12706784186795614</v>
      </c>
      <c r="M81">
        <f t="shared" si="4"/>
        <v>-0.43544068755696258</v>
      </c>
      <c r="N81">
        <f t="shared" si="5"/>
        <v>0.31424926213532922</v>
      </c>
      <c r="O81">
        <f t="shared" si="6"/>
        <v>1.6046259168959089</v>
      </c>
      <c r="P81">
        <f t="shared" si="7"/>
        <v>0.82324945135955463</v>
      </c>
    </row>
    <row r="82" spans="2:16" x14ac:dyDescent="0.3">
      <c r="B82" s="2">
        <v>90</v>
      </c>
      <c r="C82" s="3">
        <v>59000</v>
      </c>
      <c r="D82" s="3">
        <v>87</v>
      </c>
      <c r="E82" s="2">
        <v>1</v>
      </c>
      <c r="F82" s="3">
        <v>12</v>
      </c>
      <c r="G82" s="3">
        <v>3</v>
      </c>
      <c r="H82" s="3">
        <v>0</v>
      </c>
      <c r="I82" s="3" t="s">
        <v>9</v>
      </c>
      <c r="J82">
        <f t="shared" si="8"/>
        <v>109098965.99302003</v>
      </c>
      <c r="K82">
        <f t="shared" si="9"/>
        <v>-0.65117378594495612</v>
      </c>
      <c r="L82">
        <f t="shared" si="3"/>
        <v>-0.8867966481651276</v>
      </c>
      <c r="M82">
        <f t="shared" si="4"/>
        <v>-1.1790394001542375</v>
      </c>
      <c r="N82">
        <f t="shared" si="5"/>
        <v>0.92620835155675918</v>
      </c>
      <c r="O82">
        <f t="shared" si="6"/>
        <v>-1.4929997661553238</v>
      </c>
      <c r="P82">
        <f t="shared" si="7"/>
        <v>-1.1210205295108828</v>
      </c>
    </row>
    <row r="83" spans="2:16" x14ac:dyDescent="0.3">
      <c r="B83" s="2">
        <v>91</v>
      </c>
      <c r="C83" s="3">
        <v>94800</v>
      </c>
      <c r="D83" s="3">
        <v>106</v>
      </c>
      <c r="E83" s="2">
        <v>2</v>
      </c>
      <c r="F83" s="3">
        <v>9</v>
      </c>
      <c r="G83" s="3">
        <v>3</v>
      </c>
      <c r="H83" s="3">
        <v>0</v>
      </c>
      <c r="I83" s="3" t="s">
        <v>9</v>
      </c>
      <c r="J83">
        <f t="shared" si="8"/>
        <v>642873740.76779485</v>
      </c>
      <c r="K83">
        <f t="shared" si="9"/>
        <v>1.5806999337273457</v>
      </c>
      <c r="L83">
        <f t="shared" ref="L83:L113" si="10">(D83-AVERAGE(D$3:D$113))/_xlfn.STDEV.S(D$3:D$113)</f>
        <v>-0.25919459078920337</v>
      </c>
      <c r="M83">
        <f t="shared" ref="M83:M113" si="11">(E83-AVERAGE(E$3:E$113))/_xlfn.STDEV.S(E$3:E$113)</f>
        <v>-0.43544068755696258</v>
      </c>
      <c r="N83">
        <f t="shared" ref="N83:N113" si="12">(F83-AVERAGE(F$3:F$113))/_xlfn.STDEV.S(F$3:F$113)</f>
        <v>-0.90966891670753069</v>
      </c>
      <c r="O83">
        <f t="shared" ref="O83:O113" si="13">(G83-AVERAGE(G$3:G$113))/_xlfn.STDEV.S(G$3:G$113)</f>
        <v>-1.4929997661553238</v>
      </c>
      <c r="P83">
        <f t="shared" ref="P83:P113" si="14">(H83-AVERAGE(H$3:H$113))/_xlfn.STDEV.S(H$3:H$113)</f>
        <v>-1.1210205295108828</v>
      </c>
    </row>
    <row r="84" spans="2:16" ht="26.4" x14ac:dyDescent="0.3">
      <c r="B84" s="2">
        <v>92</v>
      </c>
      <c r="C84" s="3">
        <v>60000</v>
      </c>
      <c r="D84" s="3">
        <v>93</v>
      </c>
      <c r="E84" s="2">
        <v>3</v>
      </c>
      <c r="F84" s="3">
        <v>9</v>
      </c>
      <c r="G84" s="3">
        <v>4</v>
      </c>
      <c r="H84" s="3">
        <v>1</v>
      </c>
      <c r="I84" s="3" t="s">
        <v>10</v>
      </c>
      <c r="J84">
        <f t="shared" si="8"/>
        <v>89208875.902929947</v>
      </c>
      <c r="K84">
        <f t="shared" si="9"/>
        <v>-0.58883094461332763</v>
      </c>
      <c r="L84">
        <f t="shared" si="10"/>
        <v>-0.68860652478325679</v>
      </c>
      <c r="M84">
        <f t="shared" si="11"/>
        <v>0.30815802504031226</v>
      </c>
      <c r="N84">
        <f t="shared" si="12"/>
        <v>-0.90966891670753069</v>
      </c>
      <c r="O84">
        <f t="shared" si="13"/>
        <v>5.5813075370292599E-2</v>
      </c>
      <c r="P84">
        <f t="shared" si="14"/>
        <v>0.82324945135955463</v>
      </c>
    </row>
    <row r="85" spans="2:16" ht="26.4" x14ac:dyDescent="0.3">
      <c r="B85" s="2">
        <v>93</v>
      </c>
      <c r="C85" s="3">
        <v>60000</v>
      </c>
      <c r="D85" s="3">
        <v>93</v>
      </c>
      <c r="E85" s="2">
        <v>4</v>
      </c>
      <c r="F85" s="3">
        <v>13</v>
      </c>
      <c r="G85" s="3">
        <v>5</v>
      </c>
      <c r="H85" s="3">
        <v>1</v>
      </c>
      <c r="I85" s="3" t="s">
        <v>10</v>
      </c>
      <c r="J85">
        <f t="shared" si="8"/>
        <v>89208875.902929947</v>
      </c>
      <c r="K85">
        <f t="shared" si="9"/>
        <v>-0.58883094461332763</v>
      </c>
      <c r="L85">
        <f t="shared" si="10"/>
        <v>-0.68860652478325679</v>
      </c>
      <c r="M85">
        <f t="shared" si="11"/>
        <v>1.0517567376375871</v>
      </c>
      <c r="N85">
        <f t="shared" si="12"/>
        <v>1.5381674409781891</v>
      </c>
      <c r="O85">
        <f t="shared" si="13"/>
        <v>1.6046259168959089</v>
      </c>
      <c r="P85">
        <f t="shared" si="14"/>
        <v>0.82324945135955463</v>
      </c>
    </row>
    <row r="86" spans="2:16" ht="26.4" x14ac:dyDescent="0.3">
      <c r="B86" s="2">
        <v>94</v>
      </c>
      <c r="C86" s="3">
        <v>85000</v>
      </c>
      <c r="D86" s="3">
        <v>150</v>
      </c>
      <c r="E86" s="2">
        <v>3</v>
      </c>
      <c r="F86" s="3">
        <v>9</v>
      </c>
      <c r="G86" s="3">
        <v>4</v>
      </c>
      <c r="H86" s="3">
        <v>1</v>
      </c>
      <c r="I86" s="3" t="s">
        <v>10</v>
      </c>
      <c r="J86">
        <f t="shared" si="8"/>
        <v>241956623.65067771</v>
      </c>
      <c r="K86">
        <f t="shared" si="9"/>
        <v>0.96974008867738604</v>
      </c>
      <c r="L86">
        <f t="shared" si="10"/>
        <v>1.194199647344516</v>
      </c>
      <c r="M86">
        <f t="shared" si="11"/>
        <v>0.30815802504031226</v>
      </c>
      <c r="N86">
        <f t="shared" si="12"/>
        <v>-0.90966891670753069</v>
      </c>
      <c r="O86">
        <f t="shared" si="13"/>
        <v>5.5813075370292599E-2</v>
      </c>
      <c r="P86">
        <f t="shared" si="14"/>
        <v>0.82324945135955463</v>
      </c>
    </row>
    <row r="87" spans="2:16" x14ac:dyDescent="0.3">
      <c r="B87" s="2">
        <v>95</v>
      </c>
      <c r="C87" s="3">
        <v>67000</v>
      </c>
      <c r="D87" s="3">
        <v>138</v>
      </c>
      <c r="E87" s="2">
        <v>4</v>
      </c>
      <c r="F87" s="3">
        <v>12</v>
      </c>
      <c r="G87" s="3">
        <v>3</v>
      </c>
      <c r="H87" s="3">
        <v>0</v>
      </c>
      <c r="I87" s="3" t="s">
        <v>9</v>
      </c>
      <c r="J87">
        <f t="shared" si="8"/>
        <v>5978245.2722993232</v>
      </c>
      <c r="K87">
        <f t="shared" si="9"/>
        <v>-0.15243105529192777</v>
      </c>
      <c r="L87">
        <f t="shared" si="10"/>
        <v>0.79781940058077438</v>
      </c>
      <c r="M87">
        <f t="shared" si="11"/>
        <v>1.0517567376375871</v>
      </c>
      <c r="N87">
        <f t="shared" si="12"/>
        <v>0.92620835155675918</v>
      </c>
      <c r="O87">
        <f t="shared" si="13"/>
        <v>-1.4929997661553238</v>
      </c>
      <c r="P87">
        <f t="shared" si="14"/>
        <v>-1.1210205295108828</v>
      </c>
    </row>
    <row r="88" spans="2:16" ht="26.4" x14ac:dyDescent="0.3">
      <c r="B88" s="2">
        <v>96</v>
      </c>
      <c r="C88" s="3">
        <v>59000</v>
      </c>
      <c r="D88" s="3">
        <v>90</v>
      </c>
      <c r="E88" s="2">
        <v>2</v>
      </c>
      <c r="F88" s="3">
        <v>9</v>
      </c>
      <c r="G88" s="3">
        <v>4</v>
      </c>
      <c r="H88" s="3">
        <v>0</v>
      </c>
      <c r="I88" s="3" t="s">
        <v>10</v>
      </c>
      <c r="J88">
        <f t="shared" si="8"/>
        <v>109098965.99302003</v>
      </c>
      <c r="K88">
        <f t="shared" si="9"/>
        <v>-0.65117378594495612</v>
      </c>
      <c r="L88">
        <f t="shared" si="10"/>
        <v>-0.78770158647419219</v>
      </c>
      <c r="M88">
        <f t="shared" si="11"/>
        <v>-0.43544068755696258</v>
      </c>
      <c r="N88">
        <f t="shared" si="12"/>
        <v>-0.90966891670753069</v>
      </c>
      <c r="O88">
        <f t="shared" si="13"/>
        <v>5.5813075370292599E-2</v>
      </c>
      <c r="P88">
        <f t="shared" si="14"/>
        <v>-1.1210205295108828</v>
      </c>
    </row>
    <row r="89" spans="2:16" x14ac:dyDescent="0.3">
      <c r="B89" s="2">
        <v>97</v>
      </c>
      <c r="C89" s="3">
        <v>64500</v>
      </c>
      <c r="D89" s="3">
        <v>114</v>
      </c>
      <c r="E89" s="2">
        <v>1</v>
      </c>
      <c r="F89" s="3">
        <v>11</v>
      </c>
      <c r="G89" s="3">
        <v>4</v>
      </c>
      <c r="H89" s="3">
        <v>1</v>
      </c>
      <c r="I89" s="3" t="s">
        <v>9</v>
      </c>
      <c r="J89">
        <f t="shared" si="8"/>
        <v>24453470.497524545</v>
      </c>
      <c r="K89">
        <f t="shared" si="9"/>
        <v>-0.30828815862099912</v>
      </c>
      <c r="L89">
        <f t="shared" si="10"/>
        <v>5.0589070532910769E-3</v>
      </c>
      <c r="M89">
        <f t="shared" si="11"/>
        <v>-1.1790394001542375</v>
      </c>
      <c r="N89">
        <f t="shared" si="12"/>
        <v>0.31424926213532922</v>
      </c>
      <c r="O89">
        <f t="shared" si="13"/>
        <v>5.5813075370292599E-2</v>
      </c>
      <c r="P89">
        <f t="shared" si="14"/>
        <v>0.82324945135955463</v>
      </c>
    </row>
    <row r="90" spans="2:16" x14ac:dyDescent="0.3">
      <c r="B90" s="2">
        <v>98</v>
      </c>
      <c r="C90" s="3">
        <v>65000</v>
      </c>
      <c r="D90" s="3">
        <v>109</v>
      </c>
      <c r="E90" s="2">
        <v>3</v>
      </c>
      <c r="F90" s="3">
        <v>13</v>
      </c>
      <c r="G90" s="3">
        <v>4</v>
      </c>
      <c r="H90" s="3">
        <v>0</v>
      </c>
      <c r="I90" s="3" t="s">
        <v>9</v>
      </c>
      <c r="J90">
        <f t="shared" si="8"/>
        <v>19758425.4524795</v>
      </c>
      <c r="K90">
        <f t="shared" si="9"/>
        <v>-0.27711673795518488</v>
      </c>
      <c r="L90">
        <f t="shared" si="10"/>
        <v>-0.16009952909826794</v>
      </c>
      <c r="M90">
        <f t="shared" si="11"/>
        <v>0.30815802504031226</v>
      </c>
      <c r="N90">
        <f t="shared" si="12"/>
        <v>1.5381674409781891</v>
      </c>
      <c r="O90">
        <f t="shared" si="13"/>
        <v>5.5813075370292599E-2</v>
      </c>
      <c r="P90">
        <f t="shared" si="14"/>
        <v>-1.1210205295108828</v>
      </c>
    </row>
    <row r="91" spans="2:16" ht="26.4" x14ac:dyDescent="0.3">
      <c r="B91" s="2">
        <v>99</v>
      </c>
      <c r="C91" s="3">
        <v>62500</v>
      </c>
      <c r="D91" s="3">
        <v>102</v>
      </c>
      <c r="E91" s="2">
        <v>2</v>
      </c>
      <c r="F91" s="3">
        <v>9</v>
      </c>
      <c r="G91" s="3">
        <v>4</v>
      </c>
      <c r="H91" s="3">
        <v>1</v>
      </c>
      <c r="I91" s="3" t="s">
        <v>11</v>
      </c>
      <c r="J91">
        <f t="shared" si="8"/>
        <v>48233650.677704722</v>
      </c>
      <c r="K91">
        <f t="shared" si="9"/>
        <v>-0.43297384128425626</v>
      </c>
      <c r="L91">
        <f t="shared" si="10"/>
        <v>-0.39132133971045058</v>
      </c>
      <c r="M91">
        <f t="shared" si="11"/>
        <v>-0.43544068755696258</v>
      </c>
      <c r="N91">
        <f t="shared" si="12"/>
        <v>-0.90966891670753069</v>
      </c>
      <c r="O91">
        <f t="shared" si="13"/>
        <v>5.5813075370292599E-2</v>
      </c>
      <c r="P91">
        <f t="shared" si="14"/>
        <v>0.82324945135955463</v>
      </c>
    </row>
    <row r="92" spans="2:16" x14ac:dyDescent="0.3">
      <c r="B92" s="2">
        <v>100</v>
      </c>
      <c r="C92" s="3">
        <v>60400</v>
      </c>
      <c r="D92" s="3">
        <v>86</v>
      </c>
      <c r="E92" s="2">
        <v>1</v>
      </c>
      <c r="F92" s="3">
        <v>9</v>
      </c>
      <c r="G92" s="3">
        <v>4</v>
      </c>
      <c r="H92" s="3">
        <v>1</v>
      </c>
      <c r="I92" s="3" t="s">
        <v>8</v>
      </c>
      <c r="J92">
        <f t="shared" si="8"/>
        <v>81812839.866893902</v>
      </c>
      <c r="K92">
        <f t="shared" si="9"/>
        <v>-0.56389380808067613</v>
      </c>
      <c r="L92">
        <f t="shared" si="10"/>
        <v>-0.9198283353954394</v>
      </c>
      <c r="M92">
        <f t="shared" si="11"/>
        <v>-1.1790394001542375</v>
      </c>
      <c r="N92">
        <f t="shared" si="12"/>
        <v>-0.90966891670753069</v>
      </c>
      <c r="O92">
        <f t="shared" si="13"/>
        <v>5.5813075370292599E-2</v>
      </c>
      <c r="P92">
        <f t="shared" si="14"/>
        <v>0.82324945135955463</v>
      </c>
    </row>
    <row r="93" spans="2:16" x14ac:dyDescent="0.3">
      <c r="B93" s="2">
        <v>101</v>
      </c>
      <c r="C93" s="3">
        <v>120000</v>
      </c>
      <c r="D93" s="3">
        <v>201</v>
      </c>
      <c r="E93" s="2">
        <v>2</v>
      </c>
      <c r="F93" s="3">
        <v>13</v>
      </c>
      <c r="G93" s="3">
        <v>5</v>
      </c>
      <c r="H93" s="3">
        <v>1</v>
      </c>
      <c r="I93" s="3" t="s">
        <v>9</v>
      </c>
      <c r="J93">
        <f t="shared" si="8"/>
        <v>2555803470.4975247</v>
      </c>
      <c r="K93">
        <f t="shared" si="9"/>
        <v>3.1517395352843853</v>
      </c>
      <c r="L93">
        <f t="shared" si="10"/>
        <v>2.8788156960904181</v>
      </c>
      <c r="M93">
        <f t="shared" si="11"/>
        <v>-0.43544068755696258</v>
      </c>
      <c r="N93">
        <f t="shared" si="12"/>
        <v>1.5381674409781891</v>
      </c>
      <c r="O93">
        <f t="shared" si="13"/>
        <v>1.6046259168959089</v>
      </c>
      <c r="P93">
        <f t="shared" si="14"/>
        <v>0.82324945135955463</v>
      </c>
    </row>
    <row r="94" spans="2:16" ht="26.4" x14ac:dyDescent="0.3">
      <c r="B94" s="2">
        <v>102</v>
      </c>
      <c r="C94" s="3">
        <v>102000</v>
      </c>
      <c r="D94" s="3">
        <v>185</v>
      </c>
      <c r="E94" s="2">
        <v>1</v>
      </c>
      <c r="F94" s="3">
        <v>11</v>
      </c>
      <c r="G94" s="3">
        <v>3</v>
      </c>
      <c r="H94" s="3">
        <v>1</v>
      </c>
      <c r="I94" s="3" t="s">
        <v>10</v>
      </c>
      <c r="J94">
        <f t="shared" si="8"/>
        <v>1059825092.1191462</v>
      </c>
      <c r="K94">
        <f t="shared" si="9"/>
        <v>2.0295683913150713</v>
      </c>
      <c r="L94">
        <f t="shared" si="10"/>
        <v>2.3503087004054293</v>
      </c>
      <c r="M94">
        <f t="shared" si="11"/>
        <v>-1.1790394001542375</v>
      </c>
      <c r="N94">
        <f t="shared" si="12"/>
        <v>0.31424926213532922</v>
      </c>
      <c r="O94">
        <f t="shared" si="13"/>
        <v>-1.4929997661553238</v>
      </c>
      <c r="P94">
        <f t="shared" si="14"/>
        <v>0.82324945135955463</v>
      </c>
    </row>
    <row r="95" spans="2:16" ht="26.4" x14ac:dyDescent="0.3">
      <c r="B95" s="2">
        <v>103</v>
      </c>
      <c r="C95" s="3">
        <v>65000</v>
      </c>
      <c r="D95" s="3">
        <v>107</v>
      </c>
      <c r="E95" s="2">
        <v>2</v>
      </c>
      <c r="F95" s="3">
        <v>13</v>
      </c>
      <c r="G95" s="3">
        <v>5</v>
      </c>
      <c r="H95" s="3">
        <v>1</v>
      </c>
      <c r="I95" s="3" t="s">
        <v>10</v>
      </c>
      <c r="J95">
        <f t="shared" si="8"/>
        <v>19758425.4524795</v>
      </c>
      <c r="K95">
        <f t="shared" si="9"/>
        <v>-0.27711673795518488</v>
      </c>
      <c r="L95">
        <f t="shared" si="10"/>
        <v>-0.22616290355889154</v>
      </c>
      <c r="M95">
        <f t="shared" si="11"/>
        <v>-0.43544068755696258</v>
      </c>
      <c r="N95">
        <f t="shared" si="12"/>
        <v>1.5381674409781891</v>
      </c>
      <c r="O95">
        <f t="shared" si="13"/>
        <v>1.6046259168959089</v>
      </c>
      <c r="P95">
        <f t="shared" si="14"/>
        <v>0.82324945135955463</v>
      </c>
    </row>
    <row r="96" spans="2:16" x14ac:dyDescent="0.3">
      <c r="B96" s="2">
        <v>104</v>
      </c>
      <c r="C96" s="3">
        <v>94500</v>
      </c>
      <c r="D96" s="3">
        <v>180</v>
      </c>
      <c r="E96" s="2">
        <v>5</v>
      </c>
      <c r="F96" s="3">
        <v>11</v>
      </c>
      <c r="G96" s="3">
        <v>4</v>
      </c>
      <c r="H96" s="3">
        <v>1</v>
      </c>
      <c r="I96" s="3" t="s">
        <v>9</v>
      </c>
      <c r="J96">
        <f t="shared" si="8"/>
        <v>627750767.79482186</v>
      </c>
      <c r="K96">
        <f t="shared" si="9"/>
        <v>1.5619970813278572</v>
      </c>
      <c r="L96">
        <f t="shared" si="10"/>
        <v>2.18515026425387</v>
      </c>
      <c r="M96">
        <f t="shared" si="11"/>
        <v>1.7953554502348619</v>
      </c>
      <c r="N96">
        <f t="shared" si="12"/>
        <v>0.31424926213532922</v>
      </c>
      <c r="O96">
        <f t="shared" si="13"/>
        <v>5.5813075370292599E-2</v>
      </c>
      <c r="P96">
        <f t="shared" si="14"/>
        <v>0.82324945135955463</v>
      </c>
    </row>
    <row r="97" spans="2:16" ht="26.4" x14ac:dyDescent="0.3">
      <c r="B97" s="2">
        <v>105</v>
      </c>
      <c r="C97" s="3">
        <v>58000</v>
      </c>
      <c r="D97" s="3">
        <v>99</v>
      </c>
      <c r="E97" s="2">
        <v>1</v>
      </c>
      <c r="F97" s="3">
        <v>9</v>
      </c>
      <c r="G97" s="3">
        <v>4</v>
      </c>
      <c r="H97" s="3">
        <v>1</v>
      </c>
      <c r="I97" s="3" t="s">
        <v>11</v>
      </c>
      <c r="J97">
        <f t="shared" si="8"/>
        <v>130989056.08311012</v>
      </c>
      <c r="K97">
        <f t="shared" si="9"/>
        <v>-0.71351662727658471</v>
      </c>
      <c r="L97">
        <f t="shared" si="10"/>
        <v>-0.49041640140138598</v>
      </c>
      <c r="M97">
        <f t="shared" si="11"/>
        <v>-1.1790394001542375</v>
      </c>
      <c r="N97">
        <f t="shared" si="12"/>
        <v>-0.90966891670753069</v>
      </c>
      <c r="O97">
        <f t="shared" si="13"/>
        <v>5.5813075370292599E-2</v>
      </c>
      <c r="P97">
        <f t="shared" si="14"/>
        <v>0.82324945135955463</v>
      </c>
    </row>
    <row r="98" spans="2:16" ht="26.4" x14ac:dyDescent="0.3">
      <c r="B98" s="2">
        <v>106</v>
      </c>
      <c r="C98" s="3">
        <v>66000</v>
      </c>
      <c r="D98" s="3">
        <v>102</v>
      </c>
      <c r="E98" s="2">
        <v>4</v>
      </c>
      <c r="F98" s="3">
        <v>9</v>
      </c>
      <c r="G98" s="3">
        <v>5</v>
      </c>
      <c r="H98" s="3">
        <v>0</v>
      </c>
      <c r="I98" s="3" t="s">
        <v>10</v>
      </c>
      <c r="J98">
        <f t="shared" si="8"/>
        <v>11868335.362389412</v>
      </c>
      <c r="K98">
        <f t="shared" si="9"/>
        <v>-0.21477389662355631</v>
      </c>
      <c r="L98">
        <f t="shared" si="10"/>
        <v>-0.39132133971045058</v>
      </c>
      <c r="M98">
        <f t="shared" si="11"/>
        <v>1.0517567376375871</v>
      </c>
      <c r="N98">
        <f t="shared" si="12"/>
        <v>-0.90966891670753069</v>
      </c>
      <c r="O98">
        <f t="shared" si="13"/>
        <v>1.6046259168959089</v>
      </c>
      <c r="P98">
        <f t="shared" si="14"/>
        <v>-1.1210205295108828</v>
      </c>
    </row>
    <row r="99" spans="2:16" x14ac:dyDescent="0.3">
      <c r="B99" s="2">
        <v>107</v>
      </c>
      <c r="C99" s="3">
        <v>62500</v>
      </c>
      <c r="D99" s="3">
        <v>82</v>
      </c>
      <c r="E99" s="2">
        <v>1</v>
      </c>
      <c r="F99" s="3">
        <v>9</v>
      </c>
      <c r="G99" s="3">
        <v>3</v>
      </c>
      <c r="H99" s="3">
        <v>1</v>
      </c>
      <c r="I99" s="3" t="s">
        <v>9</v>
      </c>
      <c r="J99">
        <f t="shared" si="8"/>
        <v>48233650.677704722</v>
      </c>
      <c r="K99">
        <f t="shared" si="9"/>
        <v>-0.43297384128425626</v>
      </c>
      <c r="L99">
        <f t="shared" si="10"/>
        <v>-1.0519550843166867</v>
      </c>
      <c r="M99">
        <f t="shared" si="11"/>
        <v>-1.1790394001542375</v>
      </c>
      <c r="N99">
        <f t="shared" si="12"/>
        <v>-0.90966891670753069</v>
      </c>
      <c r="O99">
        <f t="shared" si="13"/>
        <v>-1.4929997661553238</v>
      </c>
      <c r="P99">
        <f t="shared" si="14"/>
        <v>0.82324945135955463</v>
      </c>
    </row>
    <row r="100" spans="2:16" x14ac:dyDescent="0.3">
      <c r="B100" s="2">
        <v>108</v>
      </c>
      <c r="C100" s="3">
        <v>61700</v>
      </c>
      <c r="D100" s="3">
        <v>82</v>
      </c>
      <c r="E100" s="2">
        <v>2</v>
      </c>
      <c r="F100" s="3">
        <v>9</v>
      </c>
      <c r="G100" s="3">
        <v>3</v>
      </c>
      <c r="H100" s="3">
        <v>1</v>
      </c>
      <c r="I100" s="3" t="s">
        <v>8</v>
      </c>
      <c r="J100">
        <f t="shared" si="8"/>
        <v>59985722.749776796</v>
      </c>
      <c r="K100">
        <f t="shared" si="9"/>
        <v>-0.48284811434955904</v>
      </c>
      <c r="L100">
        <f t="shared" si="10"/>
        <v>-1.0519550843166867</v>
      </c>
      <c r="M100">
        <f t="shared" si="11"/>
        <v>-0.43544068755696258</v>
      </c>
      <c r="N100">
        <f t="shared" si="12"/>
        <v>-0.90966891670753069</v>
      </c>
      <c r="O100">
        <f t="shared" si="13"/>
        <v>-1.4929997661553238</v>
      </c>
      <c r="P100">
        <f t="shared" si="14"/>
        <v>0.82324945135955463</v>
      </c>
    </row>
    <row r="101" spans="2:16" x14ac:dyDescent="0.3">
      <c r="B101" s="2">
        <v>109</v>
      </c>
      <c r="C101" s="3">
        <v>70000</v>
      </c>
      <c r="D101" s="3">
        <v>114</v>
      </c>
      <c r="E101" s="2">
        <v>2</v>
      </c>
      <c r="F101" s="3">
        <v>11</v>
      </c>
      <c r="G101" s="3">
        <v>5</v>
      </c>
      <c r="H101" s="3">
        <v>1</v>
      </c>
      <c r="I101" s="3" t="s">
        <v>9</v>
      </c>
      <c r="J101">
        <f t="shared" si="8"/>
        <v>307975.00202905684</v>
      </c>
      <c r="K101">
        <f t="shared" si="9"/>
        <v>3.4597468702957865E-2</v>
      </c>
      <c r="L101">
        <f t="shared" si="10"/>
        <v>5.0589070532910769E-3</v>
      </c>
      <c r="M101">
        <f t="shared" si="11"/>
        <v>-0.43544068755696258</v>
      </c>
      <c r="N101">
        <f t="shared" si="12"/>
        <v>0.31424926213532922</v>
      </c>
      <c r="O101">
        <f t="shared" si="13"/>
        <v>1.6046259168959089</v>
      </c>
      <c r="P101">
        <f t="shared" si="14"/>
        <v>0.82324945135955463</v>
      </c>
    </row>
    <row r="102" spans="2:16" x14ac:dyDescent="0.3">
      <c r="B102" s="2">
        <v>110</v>
      </c>
      <c r="C102" s="3">
        <v>56000</v>
      </c>
      <c r="D102" s="3">
        <v>95</v>
      </c>
      <c r="E102" s="2">
        <v>1</v>
      </c>
      <c r="F102" s="3">
        <v>13</v>
      </c>
      <c r="G102" s="3">
        <v>4</v>
      </c>
      <c r="H102" s="3">
        <v>1</v>
      </c>
      <c r="I102" s="3" t="s">
        <v>9</v>
      </c>
      <c r="J102">
        <f t="shared" si="8"/>
        <v>180769236.26329029</v>
      </c>
      <c r="K102">
        <f t="shared" si="9"/>
        <v>-0.83820230993984179</v>
      </c>
      <c r="L102">
        <f t="shared" si="10"/>
        <v>-0.62254315032263319</v>
      </c>
      <c r="M102">
        <f t="shared" si="11"/>
        <v>-1.1790394001542375</v>
      </c>
      <c r="N102">
        <f t="shared" si="12"/>
        <v>1.5381674409781891</v>
      </c>
      <c r="O102">
        <f t="shared" si="13"/>
        <v>5.5813075370292599E-2</v>
      </c>
      <c r="P102">
        <f t="shared" si="14"/>
        <v>0.82324945135955463</v>
      </c>
    </row>
    <row r="103" spans="2:16" x14ac:dyDescent="0.3">
      <c r="B103" s="2">
        <v>111</v>
      </c>
      <c r="C103" s="3">
        <v>67000</v>
      </c>
      <c r="D103" s="3">
        <v>138</v>
      </c>
      <c r="E103" s="2">
        <v>3</v>
      </c>
      <c r="F103" s="3">
        <v>11</v>
      </c>
      <c r="G103" s="3">
        <v>4</v>
      </c>
      <c r="H103" s="3">
        <v>1</v>
      </c>
      <c r="I103" s="3" t="s">
        <v>9</v>
      </c>
      <c r="J103">
        <f t="shared" si="8"/>
        <v>5978245.2722993232</v>
      </c>
      <c r="K103">
        <f t="shared" si="9"/>
        <v>-0.15243105529192777</v>
      </c>
      <c r="L103">
        <f t="shared" si="10"/>
        <v>0.79781940058077438</v>
      </c>
      <c r="M103">
        <f t="shared" si="11"/>
        <v>0.30815802504031226</v>
      </c>
      <c r="N103">
        <f t="shared" si="12"/>
        <v>0.31424926213532922</v>
      </c>
      <c r="O103">
        <f t="shared" si="13"/>
        <v>5.5813075370292599E-2</v>
      </c>
      <c r="P103">
        <f t="shared" si="14"/>
        <v>0.82324945135955463</v>
      </c>
    </row>
    <row r="104" spans="2:16" x14ac:dyDescent="0.3">
      <c r="B104" s="2">
        <v>112</v>
      </c>
      <c r="C104" s="3">
        <v>83500</v>
      </c>
      <c r="D104" s="3">
        <v>139</v>
      </c>
      <c r="E104" s="2">
        <v>3</v>
      </c>
      <c r="F104" s="3">
        <v>9</v>
      </c>
      <c r="G104" s="3">
        <v>4</v>
      </c>
      <c r="H104" s="3">
        <v>1</v>
      </c>
      <c r="I104" s="3" t="s">
        <v>9</v>
      </c>
      <c r="J104">
        <f t="shared" si="8"/>
        <v>197541758.78581285</v>
      </c>
      <c r="K104">
        <f t="shared" si="9"/>
        <v>0.8762258266799432</v>
      </c>
      <c r="L104">
        <f t="shared" si="10"/>
        <v>0.83085108781108619</v>
      </c>
      <c r="M104">
        <f t="shared" si="11"/>
        <v>0.30815802504031226</v>
      </c>
      <c r="N104">
        <f t="shared" si="12"/>
        <v>-0.90966891670753069</v>
      </c>
      <c r="O104">
        <f t="shared" si="13"/>
        <v>5.5813075370292599E-2</v>
      </c>
      <c r="P104">
        <f t="shared" si="14"/>
        <v>0.82324945135955463</v>
      </c>
    </row>
    <row r="105" spans="2:16" x14ac:dyDescent="0.3">
      <c r="B105" s="2">
        <v>113</v>
      </c>
      <c r="C105" s="3">
        <v>83500</v>
      </c>
      <c r="D105" s="3">
        <v>139</v>
      </c>
      <c r="E105" s="2">
        <v>4</v>
      </c>
      <c r="F105" s="3">
        <v>11</v>
      </c>
      <c r="G105" s="3">
        <v>5</v>
      </c>
      <c r="H105" s="3">
        <v>1</v>
      </c>
      <c r="I105" s="3" t="s">
        <v>9</v>
      </c>
      <c r="J105">
        <f t="shared" si="8"/>
        <v>197541758.78581285</v>
      </c>
      <c r="K105">
        <f t="shared" si="9"/>
        <v>0.8762258266799432</v>
      </c>
      <c r="L105">
        <f t="shared" si="10"/>
        <v>0.83085108781108619</v>
      </c>
      <c r="M105">
        <f t="shared" si="11"/>
        <v>1.0517567376375871</v>
      </c>
      <c r="N105">
        <f t="shared" si="12"/>
        <v>0.31424926213532922</v>
      </c>
      <c r="O105">
        <f t="shared" si="13"/>
        <v>1.6046259168959089</v>
      </c>
      <c r="P105">
        <f t="shared" si="14"/>
        <v>0.82324945135955463</v>
      </c>
    </row>
    <row r="106" spans="2:16" ht="26.4" x14ac:dyDescent="0.3">
      <c r="B106" s="2">
        <v>114</v>
      </c>
      <c r="C106" s="3">
        <v>51500</v>
      </c>
      <c r="D106" s="3">
        <v>85</v>
      </c>
      <c r="E106" s="2">
        <v>1</v>
      </c>
      <c r="F106" s="3">
        <v>9</v>
      </c>
      <c r="G106" s="3">
        <v>4</v>
      </c>
      <c r="H106" s="3">
        <v>1</v>
      </c>
      <c r="I106" s="3" t="s">
        <v>10</v>
      </c>
      <c r="J106">
        <f t="shared" si="8"/>
        <v>322024641.66869569</v>
      </c>
      <c r="K106">
        <f t="shared" si="9"/>
        <v>-1.1187450959321703</v>
      </c>
      <c r="L106">
        <f t="shared" si="10"/>
        <v>-0.9528600226257512</v>
      </c>
      <c r="M106">
        <f t="shared" si="11"/>
        <v>-1.1790394001542375</v>
      </c>
      <c r="N106">
        <f t="shared" si="12"/>
        <v>-0.90966891670753069</v>
      </c>
      <c r="O106">
        <f t="shared" si="13"/>
        <v>5.5813075370292599E-2</v>
      </c>
      <c r="P106">
        <f t="shared" si="14"/>
        <v>0.82324945135955463</v>
      </c>
    </row>
    <row r="107" spans="2:16" x14ac:dyDescent="0.3">
      <c r="B107" s="2">
        <v>115</v>
      </c>
      <c r="C107" s="3">
        <v>75000</v>
      </c>
      <c r="D107" s="3">
        <v>138</v>
      </c>
      <c r="E107" s="2">
        <v>3</v>
      </c>
      <c r="F107" s="3">
        <v>9</v>
      </c>
      <c r="G107" s="3">
        <v>4</v>
      </c>
      <c r="H107" s="3">
        <v>0</v>
      </c>
      <c r="I107" s="3" t="s">
        <v>9</v>
      </c>
      <c r="J107">
        <f t="shared" si="8"/>
        <v>30857524.551578611</v>
      </c>
      <c r="K107">
        <f t="shared" si="9"/>
        <v>0.34631167536110058</v>
      </c>
      <c r="L107">
        <f t="shared" si="10"/>
        <v>0.79781940058077438</v>
      </c>
      <c r="M107">
        <f t="shared" si="11"/>
        <v>0.30815802504031226</v>
      </c>
      <c r="N107">
        <f t="shared" si="12"/>
        <v>-0.90966891670753069</v>
      </c>
      <c r="O107">
        <f t="shared" si="13"/>
        <v>5.5813075370292599E-2</v>
      </c>
      <c r="P107">
        <f t="shared" si="14"/>
        <v>-1.1210205295108828</v>
      </c>
    </row>
    <row r="108" spans="2:16" ht="26.4" x14ac:dyDescent="0.3">
      <c r="B108" s="2">
        <v>116</v>
      </c>
      <c r="C108" s="3">
        <v>58000</v>
      </c>
      <c r="D108" s="3">
        <v>87</v>
      </c>
      <c r="E108" s="2">
        <v>1</v>
      </c>
      <c r="F108" s="3">
        <v>9</v>
      </c>
      <c r="G108" s="3">
        <v>3</v>
      </c>
      <c r="H108" s="3">
        <v>1</v>
      </c>
      <c r="I108" s="3" t="s">
        <v>10</v>
      </c>
      <c r="J108">
        <f t="shared" si="8"/>
        <v>130989056.08311012</v>
      </c>
      <c r="K108">
        <f t="shared" si="9"/>
        <v>-0.71351662727658471</v>
      </c>
      <c r="L108">
        <f t="shared" si="10"/>
        <v>-0.8867966481651276</v>
      </c>
      <c r="M108">
        <f t="shared" si="11"/>
        <v>-1.1790394001542375</v>
      </c>
      <c r="N108">
        <f t="shared" si="12"/>
        <v>-0.90966891670753069</v>
      </c>
      <c r="O108">
        <f t="shared" si="13"/>
        <v>-1.4929997661553238</v>
      </c>
      <c r="P108">
        <f t="shared" si="14"/>
        <v>0.82324945135955463</v>
      </c>
    </row>
    <row r="109" spans="2:16" ht="26.4" x14ac:dyDescent="0.3">
      <c r="B109" s="2">
        <v>117</v>
      </c>
      <c r="C109" s="3">
        <v>85000</v>
      </c>
      <c r="D109" s="3">
        <v>156</v>
      </c>
      <c r="E109" s="2">
        <v>3</v>
      </c>
      <c r="F109" s="3">
        <v>13</v>
      </c>
      <c r="G109" s="3">
        <v>5</v>
      </c>
      <c r="H109" s="3">
        <v>1</v>
      </c>
      <c r="I109" s="3" t="s">
        <v>10</v>
      </c>
      <c r="J109">
        <f t="shared" si="8"/>
        <v>241956623.65067771</v>
      </c>
      <c r="K109">
        <f t="shared" si="9"/>
        <v>0.96974008867738604</v>
      </c>
      <c r="L109">
        <f t="shared" si="10"/>
        <v>1.3923897707263868</v>
      </c>
      <c r="M109">
        <f t="shared" si="11"/>
        <v>0.30815802504031226</v>
      </c>
      <c r="N109">
        <f t="shared" si="12"/>
        <v>1.5381674409781891</v>
      </c>
      <c r="O109">
        <f t="shared" si="13"/>
        <v>1.6046259168959089</v>
      </c>
      <c r="P109">
        <f t="shared" si="14"/>
        <v>0.82324945135955463</v>
      </c>
    </row>
    <row r="110" spans="2:16" x14ac:dyDescent="0.3">
      <c r="B110" s="2">
        <v>118</v>
      </c>
      <c r="C110" s="3">
        <v>64000</v>
      </c>
      <c r="D110" s="3">
        <v>102</v>
      </c>
      <c r="E110" s="2">
        <v>2</v>
      </c>
      <c r="F110" s="3">
        <v>9</v>
      </c>
      <c r="G110" s="3">
        <v>4</v>
      </c>
      <c r="H110" s="3">
        <v>1</v>
      </c>
      <c r="I110" s="3" t="s">
        <v>9</v>
      </c>
      <c r="J110">
        <f t="shared" si="8"/>
        <v>29648515.542569589</v>
      </c>
      <c r="K110">
        <f t="shared" si="9"/>
        <v>-0.33945957928681342</v>
      </c>
      <c r="L110">
        <f t="shared" si="10"/>
        <v>-0.39132133971045058</v>
      </c>
      <c r="M110">
        <f t="shared" si="11"/>
        <v>-0.43544068755696258</v>
      </c>
      <c r="N110">
        <f t="shared" si="12"/>
        <v>-0.90966891670753069</v>
      </c>
      <c r="O110">
        <f t="shared" si="13"/>
        <v>5.5813075370292599E-2</v>
      </c>
      <c r="P110">
        <f t="shared" si="14"/>
        <v>0.82324945135955463</v>
      </c>
    </row>
    <row r="111" spans="2:16" x14ac:dyDescent="0.3">
      <c r="B111" s="2">
        <v>119</v>
      </c>
      <c r="C111" s="3">
        <v>75000</v>
      </c>
      <c r="D111" s="3">
        <v>138</v>
      </c>
      <c r="E111" s="2">
        <v>3</v>
      </c>
      <c r="F111" s="3">
        <v>9</v>
      </c>
      <c r="G111" s="3">
        <v>4</v>
      </c>
      <c r="H111" s="3">
        <v>1</v>
      </c>
      <c r="I111" s="3" t="s">
        <v>9</v>
      </c>
      <c r="J111">
        <f t="shared" si="8"/>
        <v>30857524.551578611</v>
      </c>
      <c r="K111">
        <f t="shared" si="9"/>
        <v>0.34631167536110058</v>
      </c>
      <c r="L111">
        <f t="shared" si="10"/>
        <v>0.79781940058077438</v>
      </c>
      <c r="M111">
        <f t="shared" si="11"/>
        <v>0.30815802504031226</v>
      </c>
      <c r="N111">
        <f t="shared" si="12"/>
        <v>-0.90966891670753069</v>
      </c>
      <c r="O111">
        <f t="shared" si="13"/>
        <v>5.5813075370292599E-2</v>
      </c>
      <c r="P111">
        <f t="shared" si="14"/>
        <v>0.82324945135955463</v>
      </c>
    </row>
    <row r="112" spans="2:16" x14ac:dyDescent="0.3">
      <c r="B112" s="2">
        <v>120</v>
      </c>
      <c r="C112" s="3">
        <v>72500</v>
      </c>
      <c r="D112" s="3">
        <v>123</v>
      </c>
      <c r="E112" s="2">
        <v>3</v>
      </c>
      <c r="F112" s="3">
        <v>11</v>
      </c>
      <c r="G112" s="3">
        <v>4</v>
      </c>
      <c r="H112" s="3">
        <v>1</v>
      </c>
      <c r="I112" s="3" t="s">
        <v>9</v>
      </c>
      <c r="J112">
        <f t="shared" si="8"/>
        <v>9332749.7768038344</v>
      </c>
      <c r="K112">
        <f t="shared" si="9"/>
        <v>0.19045457203202923</v>
      </c>
      <c r="L112">
        <f t="shared" si="10"/>
        <v>0.30234409212609731</v>
      </c>
      <c r="M112">
        <f t="shared" si="11"/>
        <v>0.30815802504031226</v>
      </c>
      <c r="N112">
        <f t="shared" si="12"/>
        <v>0.31424926213532922</v>
      </c>
      <c r="O112">
        <f t="shared" si="13"/>
        <v>5.5813075370292599E-2</v>
      </c>
      <c r="P112">
        <f t="shared" si="14"/>
        <v>0.82324945135955463</v>
      </c>
    </row>
    <row r="113" spans="2:16" ht="26.4" x14ac:dyDescent="0.3">
      <c r="B113" s="2">
        <v>121</v>
      </c>
      <c r="C113" s="3">
        <v>51000</v>
      </c>
      <c r="D113" s="3">
        <v>80</v>
      </c>
      <c r="E113" s="2">
        <v>1</v>
      </c>
      <c r="F113" s="3">
        <v>6</v>
      </c>
      <c r="G113" s="3">
        <v>3</v>
      </c>
      <c r="H113" s="3">
        <v>0</v>
      </c>
      <c r="I113" s="3" t="s">
        <v>11</v>
      </c>
      <c r="J113">
        <f t="shared" si="8"/>
        <v>340219686.71374077</v>
      </c>
      <c r="K113">
        <f t="shared" si="9"/>
        <v>-1.1499165165979846</v>
      </c>
      <c r="L113">
        <f t="shared" si="10"/>
        <v>-1.1180184587773103</v>
      </c>
      <c r="M113">
        <f t="shared" si="11"/>
        <v>-1.1790394001542375</v>
      </c>
      <c r="N113">
        <f t="shared" si="12"/>
        <v>-2.7455461849718206</v>
      </c>
      <c r="O113">
        <f t="shared" si="13"/>
        <v>-1.4929997661553238</v>
      </c>
      <c r="P113">
        <f t="shared" si="14"/>
        <v>-1.1210205295108828</v>
      </c>
    </row>
    <row r="114" spans="2:16" x14ac:dyDescent="0.3">
      <c r="J114">
        <f>SUM(J3:J113)</f>
        <v>28302154774.774769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Лист2</vt:lpstr>
      <vt:lpstr>Лист4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Жасмин Макульбекова</dc:creator>
  <cp:lastModifiedBy>Жасмин Макульбекова</cp:lastModifiedBy>
  <dcterms:created xsi:type="dcterms:W3CDTF">2026-02-24T11:42:25Z</dcterms:created>
  <dcterms:modified xsi:type="dcterms:W3CDTF">2026-03-03T12:46:11Z</dcterms:modified>
</cp:coreProperties>
</file>