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asam\Downloads\"/>
    </mc:Choice>
  </mc:AlternateContent>
  <xr:revisionPtr revIDLastSave="0" documentId="8_{E19BD3CF-32E0-42FD-B929-84EE7796C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yvgHXlfeGFS0cBbYsiafIPFIt4KcGjU8RhyUFvHzb2g="/>
    </ext>
  </extLst>
</workbook>
</file>

<file path=xl/calcChain.xml><?xml version="1.0" encoding="utf-8"?>
<calcChain xmlns="http://schemas.openxmlformats.org/spreadsheetml/2006/main">
  <c r="B23" i="2" l="1"/>
  <c r="B22" i="2"/>
  <c r="B20" i="2"/>
</calcChain>
</file>

<file path=xl/sharedStrings.xml><?xml version="1.0" encoding="utf-8"?>
<sst xmlns="http://schemas.openxmlformats.org/spreadsheetml/2006/main" count="158" uniqueCount="48">
  <si>
    <t>Worker serial number</t>
  </si>
  <si>
    <t>Work experience (years)</t>
  </si>
  <si>
    <t>Years of training</t>
  </si>
  <si>
    <t>Tariff category assigned after training</t>
  </si>
  <si>
    <t>Profession</t>
  </si>
  <si>
    <t>Technical training at the factory(1=yes, 0=no)</t>
  </si>
  <si>
    <t>Average tariff category of work</t>
  </si>
  <si>
    <t>Salary in tenge</t>
  </si>
  <si>
    <t>Percentage of production norms performance</t>
  </si>
  <si>
    <t>Locksmith</t>
  </si>
  <si>
    <t>Turner</t>
  </si>
  <si>
    <t>Grinder</t>
  </si>
  <si>
    <t>Carpenter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</si>
  <si>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</si>
  <si>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</si>
  <si>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</si>
  <si>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</si>
  <si>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</si>
  <si>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</si>
  <si>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</si>
  <si>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</si>
  <si>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</si>
  <si>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</si>
  <si>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</si>
  <si>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</si>
  <si>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</si>
  <si>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</si>
  <si>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</si>
  <si>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</si>
  <si>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</si>
  <si>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</si>
  <si>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</si>
  <si>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</si>
  <si>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</si>
  <si>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</si>
  <si>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</si>
  <si>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</si>
  <si>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</si>
  <si>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</si>
  <si>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80000</t>
  </si>
  <si>
    <t>Остатки</t>
  </si>
  <si>
    <t>Стандартные остатки</t>
  </si>
  <si>
    <t>ВЫВОД ВЕРОЯТНОСТИ</t>
  </si>
  <si>
    <t>Персентиль</t>
  </si>
  <si>
    <t xml:space="preserve">Coefficient of elasticity </t>
  </si>
  <si>
    <t xml:space="preserve">a0 </t>
  </si>
  <si>
    <t xml:space="preserve">a1 </t>
  </si>
  <si>
    <t xml:space="preserve">Percentage of production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</si>
</sst>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3" borderId="0" xfId="0" applyFill="1" applyBorder="1" applyAlignment="1"/>
    <xf numFmtId="0" fontId="5" fillId="0" borderId="4" xfId="0" applyFont="1" applyFill="1" applyBorder="1" applyAlignment="1">
      <alignment horizontal="centerContinuous"/>
    </xf>
    <xf numFmtId="0" fontId="0" fillId="3" borderId="4" xfId="0" applyFill="1" applyBorder="1" applyAlignment="1"/>
    <xf numFmtId="0" fontId="0" fillId="0" borderId="4" xfId="0" applyFill="1" applyBorder="1" applyAlignment="1"/>
    <xf numFmtId="0" fontId="0" fillId="3" borderId="2" xfId="0" applyFill="1" applyBorder="1" applyAlignment="1"/>
    <xf numFmtId="0" fontId="1" fillId="3" borderId="0" xfId="0" applyFont="1" applyFill="1" applyAlignment="1"/>
    <xf numFmtId="164" fontId="0" fillId="3" borderId="0" xfId="0" applyNumberFormat="1" applyFont="1" applyFill="1" applyAlignment="1"/>
    <xf numFmtId="0" fontId="1" fillId="3" borderId="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134 График остатков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Sheet1!$I$3:$I$112</c:f>
              <c:numCache>
                <c:formatCode>General</c:formatCode>
                <c:ptCount val="110"/>
                <c:pt idx="0">
                  <c:v>140</c:v>
                </c:pt>
                <c:pt idx="1">
                  <c:v>139</c:v>
                </c:pt>
                <c:pt idx="2">
                  <c:v>125</c:v>
                </c:pt>
                <c:pt idx="3">
                  <c:v>128</c:v>
                </c:pt>
                <c:pt idx="4">
                  <c:v>126</c:v>
                </c:pt>
                <c:pt idx="5">
                  <c:v>138</c:v>
                </c:pt>
                <c:pt idx="6">
                  <c:v>86</c:v>
                </c:pt>
                <c:pt idx="7">
                  <c:v>89</c:v>
                </c:pt>
                <c:pt idx="8">
                  <c:v>89</c:v>
                </c:pt>
                <c:pt idx="9">
                  <c:v>95</c:v>
                </c:pt>
                <c:pt idx="10">
                  <c:v>97</c:v>
                </c:pt>
                <c:pt idx="11">
                  <c:v>98</c:v>
                </c:pt>
                <c:pt idx="12">
                  <c:v>98</c:v>
                </c:pt>
                <c:pt idx="13">
                  <c:v>99</c:v>
                </c:pt>
                <c:pt idx="14">
                  <c:v>99</c:v>
                </c:pt>
                <c:pt idx="15">
                  <c:v>110</c:v>
                </c:pt>
                <c:pt idx="16">
                  <c:v>83</c:v>
                </c:pt>
                <c:pt idx="17">
                  <c:v>80</c:v>
                </c:pt>
                <c:pt idx="18">
                  <c:v>80</c:v>
                </c:pt>
                <c:pt idx="19">
                  <c:v>85</c:v>
                </c:pt>
                <c:pt idx="20">
                  <c:v>102</c:v>
                </c:pt>
                <c:pt idx="21">
                  <c:v>106</c:v>
                </c:pt>
                <c:pt idx="22">
                  <c:v>102</c:v>
                </c:pt>
                <c:pt idx="23">
                  <c:v>102</c:v>
                </c:pt>
                <c:pt idx="24">
                  <c:v>102</c:v>
                </c:pt>
                <c:pt idx="25">
                  <c:v>102</c:v>
                </c:pt>
                <c:pt idx="26">
                  <c:v>83</c:v>
                </c:pt>
                <c:pt idx="27">
                  <c:v>90</c:v>
                </c:pt>
                <c:pt idx="28">
                  <c:v>86</c:v>
                </c:pt>
                <c:pt idx="29">
                  <c:v>89</c:v>
                </c:pt>
                <c:pt idx="30">
                  <c:v>85</c:v>
                </c:pt>
                <c:pt idx="31">
                  <c:v>120</c:v>
                </c:pt>
                <c:pt idx="32">
                  <c:v>185</c:v>
                </c:pt>
                <c:pt idx="33">
                  <c:v>92</c:v>
                </c:pt>
                <c:pt idx="34">
                  <c:v>160</c:v>
                </c:pt>
                <c:pt idx="35">
                  <c:v>202</c:v>
                </c:pt>
                <c:pt idx="36">
                  <c:v>165</c:v>
                </c:pt>
                <c:pt idx="37">
                  <c:v>156</c:v>
                </c:pt>
                <c:pt idx="38">
                  <c:v>150</c:v>
                </c:pt>
                <c:pt idx="39">
                  <c:v>95</c:v>
                </c:pt>
                <c:pt idx="40">
                  <c:v>80</c:v>
                </c:pt>
                <c:pt idx="41">
                  <c:v>173</c:v>
                </c:pt>
                <c:pt idx="42">
                  <c:v>123</c:v>
                </c:pt>
                <c:pt idx="43">
                  <c:v>128</c:v>
                </c:pt>
                <c:pt idx="44">
                  <c:v>116</c:v>
                </c:pt>
                <c:pt idx="45">
                  <c:v>90</c:v>
                </c:pt>
                <c:pt idx="46">
                  <c:v>95</c:v>
                </c:pt>
                <c:pt idx="47">
                  <c:v>129</c:v>
                </c:pt>
                <c:pt idx="48">
                  <c:v>99</c:v>
                </c:pt>
                <c:pt idx="49">
                  <c:v>129</c:v>
                </c:pt>
                <c:pt idx="50">
                  <c:v>85</c:v>
                </c:pt>
                <c:pt idx="51">
                  <c:v>160</c:v>
                </c:pt>
                <c:pt idx="52">
                  <c:v>169</c:v>
                </c:pt>
                <c:pt idx="53">
                  <c:v>109</c:v>
                </c:pt>
                <c:pt idx="54">
                  <c:v>94</c:v>
                </c:pt>
                <c:pt idx="55">
                  <c:v>88</c:v>
                </c:pt>
                <c:pt idx="56">
                  <c:v>109</c:v>
                </c:pt>
                <c:pt idx="57">
                  <c:v>109</c:v>
                </c:pt>
                <c:pt idx="58">
                  <c:v>95</c:v>
                </c:pt>
                <c:pt idx="59">
                  <c:v>153</c:v>
                </c:pt>
                <c:pt idx="60">
                  <c:v>153</c:v>
                </c:pt>
                <c:pt idx="61">
                  <c:v>90</c:v>
                </c:pt>
                <c:pt idx="62">
                  <c:v>116</c:v>
                </c:pt>
                <c:pt idx="63">
                  <c:v>91</c:v>
                </c:pt>
                <c:pt idx="64">
                  <c:v>80</c:v>
                </c:pt>
                <c:pt idx="65">
                  <c:v>83</c:v>
                </c:pt>
                <c:pt idx="66">
                  <c:v>83</c:v>
                </c:pt>
                <c:pt idx="67">
                  <c:v>81</c:v>
                </c:pt>
                <c:pt idx="68">
                  <c:v>80</c:v>
                </c:pt>
                <c:pt idx="69">
                  <c:v>98</c:v>
                </c:pt>
                <c:pt idx="70">
                  <c:v>98</c:v>
                </c:pt>
                <c:pt idx="71">
                  <c:v>139</c:v>
                </c:pt>
                <c:pt idx="72">
                  <c:v>160</c:v>
                </c:pt>
                <c:pt idx="73">
                  <c:v>160</c:v>
                </c:pt>
                <c:pt idx="74">
                  <c:v>160</c:v>
                </c:pt>
                <c:pt idx="75">
                  <c:v>97</c:v>
                </c:pt>
                <c:pt idx="76">
                  <c:v>93</c:v>
                </c:pt>
                <c:pt idx="77">
                  <c:v>110</c:v>
                </c:pt>
                <c:pt idx="78">
                  <c:v>87</c:v>
                </c:pt>
                <c:pt idx="79">
                  <c:v>106</c:v>
                </c:pt>
                <c:pt idx="80">
                  <c:v>93</c:v>
                </c:pt>
                <c:pt idx="81">
                  <c:v>93</c:v>
                </c:pt>
                <c:pt idx="82">
                  <c:v>150</c:v>
                </c:pt>
                <c:pt idx="83">
                  <c:v>138</c:v>
                </c:pt>
                <c:pt idx="84">
                  <c:v>90</c:v>
                </c:pt>
                <c:pt idx="85">
                  <c:v>114</c:v>
                </c:pt>
                <c:pt idx="86">
                  <c:v>109</c:v>
                </c:pt>
                <c:pt idx="87">
                  <c:v>102</c:v>
                </c:pt>
                <c:pt idx="88">
                  <c:v>86</c:v>
                </c:pt>
                <c:pt idx="89">
                  <c:v>201</c:v>
                </c:pt>
                <c:pt idx="90">
                  <c:v>185</c:v>
                </c:pt>
                <c:pt idx="91">
                  <c:v>107</c:v>
                </c:pt>
                <c:pt idx="92">
                  <c:v>180</c:v>
                </c:pt>
                <c:pt idx="93">
                  <c:v>99</c:v>
                </c:pt>
                <c:pt idx="94">
                  <c:v>102</c:v>
                </c:pt>
                <c:pt idx="95">
                  <c:v>82</c:v>
                </c:pt>
                <c:pt idx="96">
                  <c:v>82</c:v>
                </c:pt>
                <c:pt idx="97">
                  <c:v>114</c:v>
                </c:pt>
                <c:pt idx="98">
                  <c:v>95</c:v>
                </c:pt>
                <c:pt idx="99">
                  <c:v>138</c:v>
                </c:pt>
                <c:pt idx="100">
                  <c:v>139</c:v>
                </c:pt>
                <c:pt idx="101">
                  <c:v>139</c:v>
                </c:pt>
                <c:pt idx="102">
                  <c:v>85</c:v>
                </c:pt>
                <c:pt idx="103">
                  <c:v>138</c:v>
                </c:pt>
                <c:pt idx="104">
                  <c:v>87</c:v>
                </c:pt>
                <c:pt idx="105">
                  <c:v>156</c:v>
                </c:pt>
                <c:pt idx="106">
                  <c:v>102</c:v>
                </c:pt>
                <c:pt idx="107">
                  <c:v>138</c:v>
                </c:pt>
                <c:pt idx="108">
                  <c:v>123</c:v>
                </c:pt>
                <c:pt idx="109">
                  <c:v>80</c:v>
                </c:pt>
              </c:numCache>
            </c:numRef>
          </c:xVal>
          <c:yVal>
            <c:numRef>
              <c:f>Лист1!$C$28:$C$137</c:f>
              <c:numCache>
                <c:formatCode>General</c:formatCode>
                <c:ptCount val="110"/>
                <c:pt idx="0">
                  <c:v>-6821.1722957963502</c:v>
                </c:pt>
                <c:pt idx="1">
                  <c:v>-5347.6034478372167</c:v>
                </c:pt>
                <c:pt idx="2">
                  <c:v>282.36042359058047</c:v>
                </c:pt>
                <c:pt idx="3">
                  <c:v>-8638.3461202867911</c:v>
                </c:pt>
                <c:pt idx="4">
                  <c:v>-15191.208424368539</c:v>
                </c:pt>
                <c:pt idx="5">
                  <c:v>-8374.0345998780977</c:v>
                </c:pt>
                <c:pt idx="6">
                  <c:v>-4248.4545060033706</c:v>
                </c:pt>
                <c:pt idx="7">
                  <c:v>-2669.1610498807568</c:v>
                </c:pt>
                <c:pt idx="8">
                  <c:v>-1669.1610498807568</c:v>
                </c:pt>
                <c:pt idx="9">
                  <c:v>-510.57413763552904</c:v>
                </c:pt>
                <c:pt idx="10">
                  <c:v>-5457.7118335537889</c:v>
                </c:pt>
                <c:pt idx="11">
                  <c:v>-4931.2806815129225</c:v>
                </c:pt>
                <c:pt idx="12">
                  <c:v>-5431.2806815129225</c:v>
                </c:pt>
                <c:pt idx="13">
                  <c:v>-3904.8495294720487</c:v>
                </c:pt>
                <c:pt idx="14">
                  <c:v>-5904.8495294720487</c:v>
                </c:pt>
                <c:pt idx="15">
                  <c:v>16385.893142977526</c:v>
                </c:pt>
                <c:pt idx="16">
                  <c:v>-1827.7479621259772</c:v>
                </c:pt>
                <c:pt idx="17">
                  <c:v>-5907.0414182485911</c:v>
                </c:pt>
                <c:pt idx="18">
                  <c:v>-3907.0414182485911</c:v>
                </c:pt>
                <c:pt idx="19">
                  <c:v>-5774.8856580442371</c:v>
                </c:pt>
                <c:pt idx="20">
                  <c:v>-1325.5560733494349</c:v>
                </c:pt>
                <c:pt idx="21">
                  <c:v>-719.83146518595458</c:v>
                </c:pt>
                <c:pt idx="22">
                  <c:v>-3825.5560733494349</c:v>
                </c:pt>
                <c:pt idx="23">
                  <c:v>6174.4439266505651</c:v>
                </c:pt>
                <c:pt idx="24">
                  <c:v>-1325.5560733494349</c:v>
                </c:pt>
                <c:pt idx="25">
                  <c:v>3674.4439266505651</c:v>
                </c:pt>
                <c:pt idx="26">
                  <c:v>-5827.7479621259772</c:v>
                </c:pt>
                <c:pt idx="27">
                  <c:v>13857.270102160117</c:v>
                </c:pt>
                <c:pt idx="28">
                  <c:v>-248.45450600337062</c:v>
                </c:pt>
                <c:pt idx="29">
                  <c:v>330.83895011924324</c:v>
                </c:pt>
                <c:pt idx="30">
                  <c:v>-774.88565804423706</c:v>
                </c:pt>
                <c:pt idx="31">
                  <c:v>19650.204663386234</c:v>
                </c:pt>
                <c:pt idx="32">
                  <c:v>-5131.7704539571714</c:v>
                </c:pt>
                <c:pt idx="33">
                  <c:v>18910.132406241857</c:v>
                </c:pt>
                <c:pt idx="34">
                  <c:v>-1292.5492549789342</c:v>
                </c:pt>
                <c:pt idx="35">
                  <c:v>-6182.4408692623692</c:v>
                </c:pt>
                <c:pt idx="36">
                  <c:v>7839.6065052254125</c:v>
                </c:pt>
                <c:pt idx="37">
                  <c:v>5601.7261368575855</c:v>
                </c:pt>
                <c:pt idx="38">
                  <c:v>-5556.8607753876422</c:v>
                </c:pt>
                <c:pt idx="39">
                  <c:v>1489.425862364471</c:v>
                </c:pt>
                <c:pt idx="40">
                  <c:v>-1407.0414182485911</c:v>
                </c:pt>
                <c:pt idx="41">
                  <c:v>3051.0557215523877</c:v>
                </c:pt>
                <c:pt idx="42">
                  <c:v>-5270.5018804911524</c:v>
                </c:pt>
                <c:pt idx="43">
                  <c:v>-5138.3461202867911</c:v>
                </c:pt>
                <c:pt idx="44">
                  <c:v>-4455.5199447772466</c:v>
                </c:pt>
                <c:pt idx="45">
                  <c:v>1857.2701021601169</c:v>
                </c:pt>
                <c:pt idx="46">
                  <c:v>-4510.574137635529</c:v>
                </c:pt>
                <c:pt idx="47">
                  <c:v>388.08503175407532</c:v>
                </c:pt>
                <c:pt idx="48">
                  <c:v>-3404.8495294720487</c:v>
                </c:pt>
                <c:pt idx="49">
                  <c:v>-5111.9149682459247</c:v>
                </c:pt>
                <c:pt idx="50">
                  <c:v>225.11434195576294</c:v>
                </c:pt>
                <c:pt idx="51">
                  <c:v>1207.4507450210658</c:v>
                </c:pt>
                <c:pt idx="52">
                  <c:v>-554.6688866110926</c:v>
                </c:pt>
                <c:pt idx="53">
                  <c:v>859.46199093665928</c:v>
                </c:pt>
                <c:pt idx="54">
                  <c:v>4962.9947103235972</c:v>
                </c:pt>
                <c:pt idx="55">
                  <c:v>804.4077980783768</c:v>
                </c:pt>
                <c:pt idx="56">
                  <c:v>-4640.5380090633407</c:v>
                </c:pt>
                <c:pt idx="57">
                  <c:v>-4640.5380090633407</c:v>
                </c:pt>
                <c:pt idx="58">
                  <c:v>4489.425862364471</c:v>
                </c:pt>
                <c:pt idx="59">
                  <c:v>-477.56731926502835</c:v>
                </c:pt>
                <c:pt idx="60">
                  <c:v>-477.56731926502835</c:v>
                </c:pt>
                <c:pt idx="61">
                  <c:v>2857.2701021601169</c:v>
                </c:pt>
                <c:pt idx="62">
                  <c:v>-5455.5199447772466</c:v>
                </c:pt>
                <c:pt idx="63">
                  <c:v>-1116.2987457990166</c:v>
                </c:pt>
                <c:pt idx="64">
                  <c:v>-3407.0414182485911</c:v>
                </c:pt>
                <c:pt idx="65">
                  <c:v>172.25203787402279</c:v>
                </c:pt>
                <c:pt idx="66">
                  <c:v>-827.74796212597721</c:v>
                </c:pt>
                <c:pt idx="67">
                  <c:v>-3880.6102662077246</c:v>
                </c:pt>
                <c:pt idx="68">
                  <c:v>-3907.0414182485911</c:v>
                </c:pt>
                <c:pt idx="69">
                  <c:v>15568.719318487078</c:v>
                </c:pt>
                <c:pt idx="70">
                  <c:v>9568.7193184870775</c:v>
                </c:pt>
                <c:pt idx="71">
                  <c:v>-6347.6034478372167</c:v>
                </c:pt>
                <c:pt idx="72">
                  <c:v>18707.450745021066</c:v>
                </c:pt>
                <c:pt idx="73">
                  <c:v>11207.450745021066</c:v>
                </c:pt>
                <c:pt idx="74">
                  <c:v>23707.450745021066</c:v>
                </c:pt>
                <c:pt idx="75">
                  <c:v>2542.2881664462111</c:v>
                </c:pt>
                <c:pt idx="76">
                  <c:v>1436.5635582827235</c:v>
                </c:pt>
                <c:pt idx="77">
                  <c:v>4885.8931429775257</c:v>
                </c:pt>
                <c:pt idx="78">
                  <c:v>2277.9766460375031</c:v>
                </c:pt>
                <c:pt idx="79">
                  <c:v>29080.168534814045</c:v>
                </c:pt>
                <c:pt idx="80">
                  <c:v>436.56355828272353</c:v>
                </c:pt>
                <c:pt idx="81">
                  <c:v>436.56355828272353</c:v>
                </c:pt>
                <c:pt idx="82">
                  <c:v>-1556.8607753876422</c:v>
                </c:pt>
                <c:pt idx="83">
                  <c:v>-13874.034599878098</c:v>
                </c:pt>
                <c:pt idx="84">
                  <c:v>857.27010216011695</c:v>
                </c:pt>
                <c:pt idx="85">
                  <c:v>-5008.3822488589794</c:v>
                </c:pt>
                <c:pt idx="86">
                  <c:v>-2140.5380090633407</c:v>
                </c:pt>
                <c:pt idx="87">
                  <c:v>-1325.5560733494349</c:v>
                </c:pt>
                <c:pt idx="88">
                  <c:v>4151.5454939966294</c:v>
                </c:pt>
                <c:pt idx="89">
                  <c:v>9291.1279786967643</c:v>
                </c:pt>
                <c:pt idx="90">
                  <c:v>-1131.7704539571714</c:v>
                </c:pt>
                <c:pt idx="91">
                  <c:v>-1193.4003131450736</c:v>
                </c:pt>
                <c:pt idx="92">
                  <c:v>-6263.9262141615181</c:v>
                </c:pt>
                <c:pt idx="93">
                  <c:v>-4404.8495294720487</c:v>
                </c:pt>
                <c:pt idx="94">
                  <c:v>2174.4439266505651</c:v>
                </c:pt>
                <c:pt idx="95">
                  <c:v>8145.8208858331491</c:v>
                </c:pt>
                <c:pt idx="96">
                  <c:v>7345.8208858331491</c:v>
                </c:pt>
                <c:pt idx="97">
                  <c:v>491.61775114102056</c:v>
                </c:pt>
                <c:pt idx="98">
                  <c:v>-4510.574137635529</c:v>
                </c:pt>
                <c:pt idx="99">
                  <c:v>-13874.034599878098</c:v>
                </c:pt>
                <c:pt idx="100">
                  <c:v>2152.3965521627833</c:v>
                </c:pt>
                <c:pt idx="101">
                  <c:v>2152.3965521627833</c:v>
                </c:pt>
                <c:pt idx="102">
                  <c:v>-4274.8856580442371</c:v>
                </c:pt>
                <c:pt idx="103">
                  <c:v>-5874.0345998780977</c:v>
                </c:pt>
                <c:pt idx="104">
                  <c:v>1277.9766460375031</c:v>
                </c:pt>
                <c:pt idx="105">
                  <c:v>-4398.2738631424145</c:v>
                </c:pt>
                <c:pt idx="106">
                  <c:v>174.44392665056512</c:v>
                </c:pt>
                <c:pt idx="107">
                  <c:v>-5874.0345998780977</c:v>
                </c:pt>
                <c:pt idx="108">
                  <c:v>-1270.5018804911524</c:v>
                </c:pt>
                <c:pt idx="109">
                  <c:v>-2407.0414182485911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24-4393-8876-02AEBEDF9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23312"/>
        <c:axId val="696215824"/>
      </c:scatterChart>
      <c:valAx>
        <c:axId val="69622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134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215824"/>
        <c:crosses val="autoZero"/>
        <c:crossBetween val="midCat"/>
      </c:valAx>
      <c:valAx>
        <c:axId val="696215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Остатки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2233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134 График подбора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Sheet1!$I$3:$I$112</c:f>
              <c:numCache>
                <c:formatCode>General</c:formatCode>
                <c:ptCount val="110"/>
                <c:pt idx="0">
                  <c:v>140</c:v>
                </c:pt>
                <c:pt idx="1">
                  <c:v>139</c:v>
                </c:pt>
                <c:pt idx="2">
                  <c:v>125</c:v>
                </c:pt>
                <c:pt idx="3">
                  <c:v>128</c:v>
                </c:pt>
                <c:pt idx="4">
                  <c:v>126</c:v>
                </c:pt>
                <c:pt idx="5">
                  <c:v>138</c:v>
                </c:pt>
                <c:pt idx="6">
                  <c:v>86</c:v>
                </c:pt>
                <c:pt idx="7">
                  <c:v>89</c:v>
                </c:pt>
                <c:pt idx="8">
                  <c:v>89</c:v>
                </c:pt>
                <c:pt idx="9">
                  <c:v>95</c:v>
                </c:pt>
                <c:pt idx="10">
                  <c:v>97</c:v>
                </c:pt>
                <c:pt idx="11">
                  <c:v>98</c:v>
                </c:pt>
                <c:pt idx="12">
                  <c:v>98</c:v>
                </c:pt>
                <c:pt idx="13">
                  <c:v>99</c:v>
                </c:pt>
                <c:pt idx="14">
                  <c:v>99</c:v>
                </c:pt>
                <c:pt idx="15">
                  <c:v>110</c:v>
                </c:pt>
                <c:pt idx="16">
                  <c:v>83</c:v>
                </c:pt>
                <c:pt idx="17">
                  <c:v>80</c:v>
                </c:pt>
                <c:pt idx="18">
                  <c:v>80</c:v>
                </c:pt>
                <c:pt idx="19">
                  <c:v>85</c:v>
                </c:pt>
                <c:pt idx="20">
                  <c:v>102</c:v>
                </c:pt>
                <c:pt idx="21">
                  <c:v>106</c:v>
                </c:pt>
                <c:pt idx="22">
                  <c:v>102</c:v>
                </c:pt>
                <c:pt idx="23">
                  <c:v>102</c:v>
                </c:pt>
                <c:pt idx="24">
                  <c:v>102</c:v>
                </c:pt>
                <c:pt idx="25">
                  <c:v>102</c:v>
                </c:pt>
                <c:pt idx="26">
                  <c:v>83</c:v>
                </c:pt>
                <c:pt idx="27">
                  <c:v>90</c:v>
                </c:pt>
                <c:pt idx="28">
                  <c:v>86</c:v>
                </c:pt>
                <c:pt idx="29">
                  <c:v>89</c:v>
                </c:pt>
                <c:pt idx="30">
                  <c:v>85</c:v>
                </c:pt>
                <c:pt idx="31">
                  <c:v>120</c:v>
                </c:pt>
                <c:pt idx="32">
                  <c:v>185</c:v>
                </c:pt>
                <c:pt idx="33">
                  <c:v>92</c:v>
                </c:pt>
                <c:pt idx="34">
                  <c:v>160</c:v>
                </c:pt>
                <c:pt idx="35">
                  <c:v>202</c:v>
                </c:pt>
                <c:pt idx="36">
                  <c:v>165</c:v>
                </c:pt>
                <c:pt idx="37">
                  <c:v>156</c:v>
                </c:pt>
                <c:pt idx="38">
                  <c:v>150</c:v>
                </c:pt>
                <c:pt idx="39">
                  <c:v>95</c:v>
                </c:pt>
                <c:pt idx="40">
                  <c:v>80</c:v>
                </c:pt>
                <c:pt idx="41">
                  <c:v>173</c:v>
                </c:pt>
                <c:pt idx="42">
                  <c:v>123</c:v>
                </c:pt>
                <c:pt idx="43">
                  <c:v>128</c:v>
                </c:pt>
                <c:pt idx="44">
                  <c:v>116</c:v>
                </c:pt>
                <c:pt idx="45">
                  <c:v>90</c:v>
                </c:pt>
                <c:pt idx="46">
                  <c:v>95</c:v>
                </c:pt>
                <c:pt idx="47">
                  <c:v>129</c:v>
                </c:pt>
                <c:pt idx="48">
                  <c:v>99</c:v>
                </c:pt>
                <c:pt idx="49">
                  <c:v>129</c:v>
                </c:pt>
                <c:pt idx="50">
                  <c:v>85</c:v>
                </c:pt>
                <c:pt idx="51">
                  <c:v>160</c:v>
                </c:pt>
                <c:pt idx="52">
                  <c:v>169</c:v>
                </c:pt>
                <c:pt idx="53">
                  <c:v>109</c:v>
                </c:pt>
                <c:pt idx="54">
                  <c:v>94</c:v>
                </c:pt>
                <c:pt idx="55">
                  <c:v>88</c:v>
                </c:pt>
                <c:pt idx="56">
                  <c:v>109</c:v>
                </c:pt>
                <c:pt idx="57">
                  <c:v>109</c:v>
                </c:pt>
                <c:pt idx="58">
                  <c:v>95</c:v>
                </c:pt>
                <c:pt idx="59">
                  <c:v>153</c:v>
                </c:pt>
                <c:pt idx="60">
                  <c:v>153</c:v>
                </c:pt>
                <c:pt idx="61">
                  <c:v>90</c:v>
                </c:pt>
                <c:pt idx="62">
                  <c:v>116</c:v>
                </c:pt>
                <c:pt idx="63">
                  <c:v>91</c:v>
                </c:pt>
                <c:pt idx="64">
                  <c:v>80</c:v>
                </c:pt>
                <c:pt idx="65">
                  <c:v>83</c:v>
                </c:pt>
                <c:pt idx="66">
                  <c:v>83</c:v>
                </c:pt>
                <c:pt idx="67">
                  <c:v>81</c:v>
                </c:pt>
                <c:pt idx="68">
                  <c:v>80</c:v>
                </c:pt>
                <c:pt idx="69">
                  <c:v>98</c:v>
                </c:pt>
                <c:pt idx="70">
                  <c:v>98</c:v>
                </c:pt>
                <c:pt idx="71">
                  <c:v>139</c:v>
                </c:pt>
                <c:pt idx="72">
                  <c:v>160</c:v>
                </c:pt>
                <c:pt idx="73">
                  <c:v>160</c:v>
                </c:pt>
                <c:pt idx="74">
                  <c:v>160</c:v>
                </c:pt>
                <c:pt idx="75">
                  <c:v>97</c:v>
                </c:pt>
                <c:pt idx="76">
                  <c:v>93</c:v>
                </c:pt>
                <c:pt idx="77">
                  <c:v>110</c:v>
                </c:pt>
                <c:pt idx="78">
                  <c:v>87</c:v>
                </c:pt>
                <c:pt idx="79">
                  <c:v>106</c:v>
                </c:pt>
                <c:pt idx="80">
                  <c:v>93</c:v>
                </c:pt>
                <c:pt idx="81">
                  <c:v>93</c:v>
                </c:pt>
                <c:pt idx="82">
                  <c:v>150</c:v>
                </c:pt>
                <c:pt idx="83">
                  <c:v>138</c:v>
                </c:pt>
                <c:pt idx="84">
                  <c:v>90</c:v>
                </c:pt>
                <c:pt idx="85">
                  <c:v>114</c:v>
                </c:pt>
                <c:pt idx="86">
                  <c:v>109</c:v>
                </c:pt>
                <c:pt idx="87">
                  <c:v>102</c:v>
                </c:pt>
                <c:pt idx="88">
                  <c:v>86</c:v>
                </c:pt>
                <c:pt idx="89">
                  <c:v>201</c:v>
                </c:pt>
                <c:pt idx="90">
                  <c:v>185</c:v>
                </c:pt>
                <c:pt idx="91">
                  <c:v>107</c:v>
                </c:pt>
                <c:pt idx="92">
                  <c:v>180</c:v>
                </c:pt>
                <c:pt idx="93">
                  <c:v>99</c:v>
                </c:pt>
                <c:pt idx="94">
                  <c:v>102</c:v>
                </c:pt>
                <c:pt idx="95">
                  <c:v>82</c:v>
                </c:pt>
                <c:pt idx="96">
                  <c:v>82</c:v>
                </c:pt>
                <c:pt idx="97">
                  <c:v>114</c:v>
                </c:pt>
                <c:pt idx="98">
                  <c:v>95</c:v>
                </c:pt>
                <c:pt idx="99">
                  <c:v>138</c:v>
                </c:pt>
                <c:pt idx="100">
                  <c:v>139</c:v>
                </c:pt>
                <c:pt idx="101">
                  <c:v>139</c:v>
                </c:pt>
                <c:pt idx="102">
                  <c:v>85</c:v>
                </c:pt>
                <c:pt idx="103">
                  <c:v>138</c:v>
                </c:pt>
                <c:pt idx="104">
                  <c:v>87</c:v>
                </c:pt>
                <c:pt idx="105">
                  <c:v>156</c:v>
                </c:pt>
                <c:pt idx="106">
                  <c:v>102</c:v>
                </c:pt>
                <c:pt idx="107">
                  <c:v>138</c:v>
                </c:pt>
                <c:pt idx="108">
                  <c:v>123</c:v>
                </c:pt>
                <c:pt idx="109">
                  <c:v>80</c:v>
                </c:pt>
              </c:numCache>
            </c:numRef>
          </c:xVal>
          <c:yVal>
            <c:numRef>
              <c:f>Sheet1!$H$3:$H$112</c:f>
              <c:numCache>
                <c:formatCode>General</c:formatCode>
                <c:ptCount val="110"/>
                <c:pt idx="0">
                  <c:v>75000</c:v>
                </c:pt>
                <c:pt idx="1">
                  <c:v>76000</c:v>
                </c:pt>
                <c:pt idx="2">
                  <c:v>75000</c:v>
                </c:pt>
                <c:pt idx="3">
                  <c:v>67500</c:v>
                </c:pt>
                <c:pt idx="4">
                  <c:v>60000</c:v>
                </c:pt>
                <c:pt idx="5">
                  <c:v>72500</c:v>
                </c:pt>
                <c:pt idx="6">
                  <c:v>52000</c:v>
                </c:pt>
                <c:pt idx="7">
                  <c:v>55000</c:v>
                </c:pt>
                <c:pt idx="8">
                  <c:v>56000</c:v>
                </c:pt>
                <c:pt idx="9">
                  <c:v>60000</c:v>
                </c:pt>
                <c:pt idx="10">
                  <c:v>56000</c:v>
                </c:pt>
                <c:pt idx="11">
                  <c:v>57000</c:v>
                </c:pt>
                <c:pt idx="12">
                  <c:v>56500</c:v>
                </c:pt>
                <c:pt idx="13">
                  <c:v>58500</c:v>
                </c:pt>
                <c:pt idx="14">
                  <c:v>56500</c:v>
                </c:pt>
                <c:pt idx="15">
                  <c:v>84000</c:v>
                </c:pt>
                <c:pt idx="16">
                  <c:v>53000</c:v>
                </c:pt>
                <c:pt idx="17">
                  <c:v>47500</c:v>
                </c:pt>
                <c:pt idx="18">
                  <c:v>49500</c:v>
                </c:pt>
                <c:pt idx="19">
                  <c:v>50000</c:v>
                </c:pt>
                <c:pt idx="20">
                  <c:v>62500</c:v>
                </c:pt>
                <c:pt idx="21">
                  <c:v>65000</c:v>
                </c:pt>
                <c:pt idx="22">
                  <c:v>60000</c:v>
                </c:pt>
                <c:pt idx="23">
                  <c:v>70000</c:v>
                </c:pt>
                <c:pt idx="24">
                  <c:v>62500</c:v>
                </c:pt>
                <c:pt idx="25">
                  <c:v>67500</c:v>
                </c:pt>
                <c:pt idx="26">
                  <c:v>49000</c:v>
                </c:pt>
                <c:pt idx="27">
                  <c:v>72000</c:v>
                </c:pt>
                <c:pt idx="28">
                  <c:v>56000</c:v>
                </c:pt>
                <c:pt idx="29">
                  <c:v>58000</c:v>
                </c:pt>
                <c:pt idx="30">
                  <c:v>55000</c:v>
                </c:pt>
                <c:pt idx="31">
                  <c:v>92000</c:v>
                </c:pt>
                <c:pt idx="32">
                  <c:v>98000</c:v>
                </c:pt>
                <c:pt idx="33">
                  <c:v>78000</c:v>
                </c:pt>
                <c:pt idx="34">
                  <c:v>90000</c:v>
                </c:pt>
                <c:pt idx="35">
                  <c:v>105000</c:v>
                </c:pt>
                <c:pt idx="36">
                  <c:v>101500</c:v>
                </c:pt>
                <c:pt idx="37">
                  <c:v>95000</c:v>
                </c:pt>
                <c:pt idx="38">
                  <c:v>81000</c:v>
                </c:pt>
                <c:pt idx="39">
                  <c:v>62000</c:v>
                </c:pt>
                <c:pt idx="40">
                  <c:v>52000</c:v>
                </c:pt>
                <c:pt idx="41">
                  <c:v>100500</c:v>
                </c:pt>
                <c:pt idx="42">
                  <c:v>68500</c:v>
                </c:pt>
                <c:pt idx="43">
                  <c:v>71000</c:v>
                </c:pt>
                <c:pt idx="44">
                  <c:v>66000</c:v>
                </c:pt>
                <c:pt idx="45">
                  <c:v>60000</c:v>
                </c:pt>
                <c:pt idx="46">
                  <c:v>56000</c:v>
                </c:pt>
                <c:pt idx="47">
                  <c:v>77000</c:v>
                </c:pt>
                <c:pt idx="48">
                  <c:v>59000</c:v>
                </c:pt>
                <c:pt idx="49">
                  <c:v>71500</c:v>
                </c:pt>
                <c:pt idx="50">
                  <c:v>56000</c:v>
                </c:pt>
                <c:pt idx="51">
                  <c:v>92500</c:v>
                </c:pt>
                <c:pt idx="52">
                  <c:v>95000</c:v>
                </c:pt>
                <c:pt idx="53">
                  <c:v>68000</c:v>
                </c:pt>
                <c:pt idx="54">
                  <c:v>65000</c:v>
                </c:pt>
                <c:pt idx="55">
                  <c:v>58000</c:v>
                </c:pt>
                <c:pt idx="56">
                  <c:v>62500</c:v>
                </c:pt>
                <c:pt idx="57">
                  <c:v>62500</c:v>
                </c:pt>
                <c:pt idx="58">
                  <c:v>65000</c:v>
                </c:pt>
                <c:pt idx="59">
                  <c:v>87500</c:v>
                </c:pt>
                <c:pt idx="60">
                  <c:v>87500</c:v>
                </c:pt>
                <c:pt idx="61">
                  <c:v>61000</c:v>
                </c:pt>
                <c:pt idx="62">
                  <c:v>65000</c:v>
                </c:pt>
                <c:pt idx="63">
                  <c:v>57500</c:v>
                </c:pt>
                <c:pt idx="64">
                  <c:v>50000</c:v>
                </c:pt>
                <c:pt idx="65">
                  <c:v>55000</c:v>
                </c:pt>
                <c:pt idx="66">
                  <c:v>54000</c:v>
                </c:pt>
                <c:pt idx="67">
                  <c:v>50000</c:v>
                </c:pt>
                <c:pt idx="68">
                  <c:v>49500</c:v>
                </c:pt>
                <c:pt idx="69">
                  <c:v>77500</c:v>
                </c:pt>
                <c:pt idx="70">
                  <c:v>71500</c:v>
                </c:pt>
                <c:pt idx="71">
                  <c:v>75000</c:v>
                </c:pt>
                <c:pt idx="72">
                  <c:v>110000</c:v>
                </c:pt>
                <c:pt idx="73">
                  <c:v>102500</c:v>
                </c:pt>
                <c:pt idx="74">
                  <c:v>115000</c:v>
                </c:pt>
                <c:pt idx="75">
                  <c:v>64000</c:v>
                </c:pt>
                <c:pt idx="76">
                  <c:v>61000</c:v>
                </c:pt>
                <c:pt idx="77">
                  <c:v>72500</c:v>
                </c:pt>
                <c:pt idx="78">
                  <c:v>59000</c:v>
                </c:pt>
                <c:pt idx="79">
                  <c:v>94800</c:v>
                </c:pt>
                <c:pt idx="80">
                  <c:v>60000</c:v>
                </c:pt>
                <c:pt idx="81">
                  <c:v>60000</c:v>
                </c:pt>
                <c:pt idx="82">
                  <c:v>85000</c:v>
                </c:pt>
                <c:pt idx="83">
                  <c:v>67000</c:v>
                </c:pt>
                <c:pt idx="84">
                  <c:v>59000</c:v>
                </c:pt>
                <c:pt idx="85">
                  <c:v>64500</c:v>
                </c:pt>
                <c:pt idx="86">
                  <c:v>65000</c:v>
                </c:pt>
                <c:pt idx="87">
                  <c:v>62500</c:v>
                </c:pt>
                <c:pt idx="88">
                  <c:v>60400</c:v>
                </c:pt>
                <c:pt idx="89">
                  <c:v>120000</c:v>
                </c:pt>
                <c:pt idx="90">
                  <c:v>102000</c:v>
                </c:pt>
                <c:pt idx="91">
                  <c:v>65000</c:v>
                </c:pt>
                <c:pt idx="92">
                  <c:v>94500</c:v>
                </c:pt>
                <c:pt idx="93">
                  <c:v>58000</c:v>
                </c:pt>
                <c:pt idx="94">
                  <c:v>66000</c:v>
                </c:pt>
                <c:pt idx="95">
                  <c:v>62500</c:v>
                </c:pt>
                <c:pt idx="96">
                  <c:v>61700</c:v>
                </c:pt>
                <c:pt idx="97">
                  <c:v>70000</c:v>
                </c:pt>
                <c:pt idx="98">
                  <c:v>56000</c:v>
                </c:pt>
                <c:pt idx="99">
                  <c:v>67000</c:v>
                </c:pt>
                <c:pt idx="100">
                  <c:v>83500</c:v>
                </c:pt>
                <c:pt idx="101">
                  <c:v>83500</c:v>
                </c:pt>
                <c:pt idx="102">
                  <c:v>51500</c:v>
                </c:pt>
                <c:pt idx="103">
                  <c:v>75000</c:v>
                </c:pt>
                <c:pt idx="104">
                  <c:v>58000</c:v>
                </c:pt>
                <c:pt idx="105">
                  <c:v>85000</c:v>
                </c:pt>
                <c:pt idx="106">
                  <c:v>64000</c:v>
                </c:pt>
                <c:pt idx="107">
                  <c:v>75000</c:v>
                </c:pt>
                <c:pt idx="108">
                  <c:v>72500</c:v>
                </c:pt>
                <c:pt idx="109">
                  <c:v>51000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86-4792-AD11-C181F4C8334D}"/>
            </c:ext>
          </c:extLst>
        </c:ser>
        <c:ser>
          <c:idx val="1"/>
          <c:order val="1"/>
          <c:tx>
            <c:v>Предсказанное 80000</c:v>
          </c:tx>
          <c:spPr>
            <a:ln w="19050">
              <a:noFill/>
            </a:ln>
          </c:spPr>
          <c:xVal>
            <c:numRef>
              <c:f>Sheet1!$I$3:$I$112</c:f>
              <c:numCache>
                <c:formatCode>General</c:formatCode>
                <c:ptCount val="110"/>
                <c:pt idx="0">
                  <c:v>140</c:v>
                </c:pt>
                <c:pt idx="1">
                  <c:v>139</c:v>
                </c:pt>
                <c:pt idx="2">
                  <c:v>125</c:v>
                </c:pt>
                <c:pt idx="3">
                  <c:v>128</c:v>
                </c:pt>
                <c:pt idx="4">
                  <c:v>126</c:v>
                </c:pt>
                <c:pt idx="5">
                  <c:v>138</c:v>
                </c:pt>
                <c:pt idx="6">
                  <c:v>86</c:v>
                </c:pt>
                <c:pt idx="7">
                  <c:v>89</c:v>
                </c:pt>
                <c:pt idx="8">
                  <c:v>89</c:v>
                </c:pt>
                <c:pt idx="9">
                  <c:v>95</c:v>
                </c:pt>
                <c:pt idx="10">
                  <c:v>97</c:v>
                </c:pt>
                <c:pt idx="11">
                  <c:v>98</c:v>
                </c:pt>
                <c:pt idx="12">
                  <c:v>98</c:v>
                </c:pt>
                <c:pt idx="13">
                  <c:v>99</c:v>
                </c:pt>
                <c:pt idx="14">
                  <c:v>99</c:v>
                </c:pt>
                <c:pt idx="15">
                  <c:v>110</c:v>
                </c:pt>
                <c:pt idx="16">
                  <c:v>83</c:v>
                </c:pt>
                <c:pt idx="17">
                  <c:v>80</c:v>
                </c:pt>
                <c:pt idx="18">
                  <c:v>80</c:v>
                </c:pt>
                <c:pt idx="19">
                  <c:v>85</c:v>
                </c:pt>
                <c:pt idx="20">
                  <c:v>102</c:v>
                </c:pt>
                <c:pt idx="21">
                  <c:v>106</c:v>
                </c:pt>
                <c:pt idx="22">
                  <c:v>102</c:v>
                </c:pt>
                <c:pt idx="23">
                  <c:v>102</c:v>
                </c:pt>
                <c:pt idx="24">
                  <c:v>102</c:v>
                </c:pt>
                <c:pt idx="25">
                  <c:v>102</c:v>
                </c:pt>
                <c:pt idx="26">
                  <c:v>83</c:v>
                </c:pt>
                <c:pt idx="27">
                  <c:v>90</c:v>
                </c:pt>
                <c:pt idx="28">
                  <c:v>86</c:v>
                </c:pt>
                <c:pt idx="29">
                  <c:v>89</c:v>
                </c:pt>
                <c:pt idx="30">
                  <c:v>85</c:v>
                </c:pt>
                <c:pt idx="31">
                  <c:v>120</c:v>
                </c:pt>
                <c:pt idx="32">
                  <c:v>185</c:v>
                </c:pt>
                <c:pt idx="33">
                  <c:v>92</c:v>
                </c:pt>
                <c:pt idx="34">
                  <c:v>160</c:v>
                </c:pt>
                <c:pt idx="35">
                  <c:v>202</c:v>
                </c:pt>
                <c:pt idx="36">
                  <c:v>165</c:v>
                </c:pt>
                <c:pt idx="37">
                  <c:v>156</c:v>
                </c:pt>
                <c:pt idx="38">
                  <c:v>150</c:v>
                </c:pt>
                <c:pt idx="39">
                  <c:v>95</c:v>
                </c:pt>
                <c:pt idx="40">
                  <c:v>80</c:v>
                </c:pt>
                <c:pt idx="41">
                  <c:v>173</c:v>
                </c:pt>
                <c:pt idx="42">
                  <c:v>123</c:v>
                </c:pt>
                <c:pt idx="43">
                  <c:v>128</c:v>
                </c:pt>
                <c:pt idx="44">
                  <c:v>116</c:v>
                </c:pt>
                <c:pt idx="45">
                  <c:v>90</c:v>
                </c:pt>
                <c:pt idx="46">
                  <c:v>95</c:v>
                </c:pt>
                <c:pt idx="47">
                  <c:v>129</c:v>
                </c:pt>
                <c:pt idx="48">
                  <c:v>99</c:v>
                </c:pt>
                <c:pt idx="49">
                  <c:v>129</c:v>
                </c:pt>
                <c:pt idx="50">
                  <c:v>85</c:v>
                </c:pt>
                <c:pt idx="51">
                  <c:v>160</c:v>
                </c:pt>
                <c:pt idx="52">
                  <c:v>169</c:v>
                </c:pt>
                <c:pt idx="53">
                  <c:v>109</c:v>
                </c:pt>
                <c:pt idx="54">
                  <c:v>94</c:v>
                </c:pt>
                <c:pt idx="55">
                  <c:v>88</c:v>
                </c:pt>
                <c:pt idx="56">
                  <c:v>109</c:v>
                </c:pt>
                <c:pt idx="57">
                  <c:v>109</c:v>
                </c:pt>
                <c:pt idx="58">
                  <c:v>95</c:v>
                </c:pt>
                <c:pt idx="59">
                  <c:v>153</c:v>
                </c:pt>
                <c:pt idx="60">
                  <c:v>153</c:v>
                </c:pt>
                <c:pt idx="61">
                  <c:v>90</c:v>
                </c:pt>
                <c:pt idx="62">
                  <c:v>116</c:v>
                </c:pt>
                <c:pt idx="63">
                  <c:v>91</c:v>
                </c:pt>
                <c:pt idx="64">
                  <c:v>80</c:v>
                </c:pt>
                <c:pt idx="65">
                  <c:v>83</c:v>
                </c:pt>
                <c:pt idx="66">
                  <c:v>83</c:v>
                </c:pt>
                <c:pt idx="67">
                  <c:v>81</c:v>
                </c:pt>
                <c:pt idx="68">
                  <c:v>80</c:v>
                </c:pt>
                <c:pt idx="69">
                  <c:v>98</c:v>
                </c:pt>
                <c:pt idx="70">
                  <c:v>98</c:v>
                </c:pt>
                <c:pt idx="71">
                  <c:v>139</c:v>
                </c:pt>
                <c:pt idx="72">
                  <c:v>160</c:v>
                </c:pt>
                <c:pt idx="73">
                  <c:v>160</c:v>
                </c:pt>
                <c:pt idx="74">
                  <c:v>160</c:v>
                </c:pt>
                <c:pt idx="75">
                  <c:v>97</c:v>
                </c:pt>
                <c:pt idx="76">
                  <c:v>93</c:v>
                </c:pt>
                <c:pt idx="77">
                  <c:v>110</c:v>
                </c:pt>
                <c:pt idx="78">
                  <c:v>87</c:v>
                </c:pt>
                <c:pt idx="79">
                  <c:v>106</c:v>
                </c:pt>
                <c:pt idx="80">
                  <c:v>93</c:v>
                </c:pt>
                <c:pt idx="81">
                  <c:v>93</c:v>
                </c:pt>
                <c:pt idx="82">
                  <c:v>150</c:v>
                </c:pt>
                <c:pt idx="83">
                  <c:v>138</c:v>
                </c:pt>
                <c:pt idx="84">
                  <c:v>90</c:v>
                </c:pt>
                <c:pt idx="85">
                  <c:v>114</c:v>
                </c:pt>
                <c:pt idx="86">
                  <c:v>109</c:v>
                </c:pt>
                <c:pt idx="87">
                  <c:v>102</c:v>
                </c:pt>
                <c:pt idx="88">
                  <c:v>86</c:v>
                </c:pt>
                <c:pt idx="89">
                  <c:v>201</c:v>
                </c:pt>
                <c:pt idx="90">
                  <c:v>185</c:v>
                </c:pt>
                <c:pt idx="91">
                  <c:v>107</c:v>
                </c:pt>
                <c:pt idx="92">
                  <c:v>180</c:v>
                </c:pt>
                <c:pt idx="93">
                  <c:v>99</c:v>
                </c:pt>
                <c:pt idx="94">
                  <c:v>102</c:v>
                </c:pt>
                <c:pt idx="95">
                  <c:v>82</c:v>
                </c:pt>
                <c:pt idx="96">
                  <c:v>82</c:v>
                </c:pt>
                <c:pt idx="97">
                  <c:v>114</c:v>
                </c:pt>
                <c:pt idx="98">
                  <c:v>95</c:v>
                </c:pt>
                <c:pt idx="99">
                  <c:v>138</c:v>
                </c:pt>
                <c:pt idx="100">
                  <c:v>139</c:v>
                </c:pt>
                <c:pt idx="101">
                  <c:v>139</c:v>
                </c:pt>
                <c:pt idx="102">
                  <c:v>85</c:v>
                </c:pt>
                <c:pt idx="103">
                  <c:v>138</c:v>
                </c:pt>
                <c:pt idx="104">
                  <c:v>87</c:v>
                </c:pt>
                <c:pt idx="105">
                  <c:v>156</c:v>
                </c:pt>
                <c:pt idx="106">
                  <c:v>102</c:v>
                </c:pt>
                <c:pt idx="107">
                  <c:v>138</c:v>
                </c:pt>
                <c:pt idx="108">
                  <c:v>123</c:v>
                </c:pt>
                <c:pt idx="109">
                  <c:v>80</c:v>
                </c:pt>
              </c:numCache>
            </c:numRef>
          </c:xVal>
          <c:yVal>
            <c:numRef>
              <c:f>Лист1!$B$28:$B$137</c:f>
              <c:numCache>
                <c:formatCode>General</c:formatCode>
                <c:ptCount val="110"/>
                <c:pt idx="0">
                  <c:v>81821.17229579635</c:v>
                </c:pt>
                <c:pt idx="1">
                  <c:v>81347.603447837217</c:v>
                </c:pt>
                <c:pt idx="2">
                  <c:v>74717.63957640942</c:v>
                </c:pt>
                <c:pt idx="3">
                  <c:v>76138.346120286791</c:v>
                </c:pt>
                <c:pt idx="4">
                  <c:v>75191.208424368539</c:v>
                </c:pt>
                <c:pt idx="5">
                  <c:v>80874.034599878098</c:v>
                </c:pt>
                <c:pt idx="6">
                  <c:v>56248.454506003371</c:v>
                </c:pt>
                <c:pt idx="7">
                  <c:v>57669.161049880757</c:v>
                </c:pt>
                <c:pt idx="8">
                  <c:v>57669.161049880757</c:v>
                </c:pt>
                <c:pt idx="9">
                  <c:v>60510.574137635529</c:v>
                </c:pt>
                <c:pt idx="10">
                  <c:v>61457.711833553789</c:v>
                </c:pt>
                <c:pt idx="11">
                  <c:v>61931.280681512922</c:v>
                </c:pt>
                <c:pt idx="12">
                  <c:v>61931.280681512922</c:v>
                </c:pt>
                <c:pt idx="13">
                  <c:v>62404.849529472049</c:v>
                </c:pt>
                <c:pt idx="14">
                  <c:v>62404.849529472049</c:v>
                </c:pt>
                <c:pt idx="15">
                  <c:v>67614.106857022474</c:v>
                </c:pt>
                <c:pt idx="16">
                  <c:v>54827.747962125977</c:v>
                </c:pt>
                <c:pt idx="17">
                  <c:v>53407.041418248591</c:v>
                </c:pt>
                <c:pt idx="18">
                  <c:v>53407.041418248591</c:v>
                </c:pt>
                <c:pt idx="19">
                  <c:v>55774.885658044237</c:v>
                </c:pt>
                <c:pt idx="20">
                  <c:v>63825.556073349435</c:v>
                </c:pt>
                <c:pt idx="21">
                  <c:v>65719.831465185955</c:v>
                </c:pt>
                <c:pt idx="22">
                  <c:v>63825.556073349435</c:v>
                </c:pt>
                <c:pt idx="23">
                  <c:v>63825.556073349435</c:v>
                </c:pt>
                <c:pt idx="24">
                  <c:v>63825.556073349435</c:v>
                </c:pt>
                <c:pt idx="25">
                  <c:v>63825.556073349435</c:v>
                </c:pt>
                <c:pt idx="26">
                  <c:v>54827.747962125977</c:v>
                </c:pt>
                <c:pt idx="27">
                  <c:v>58142.729897839883</c:v>
                </c:pt>
                <c:pt idx="28">
                  <c:v>56248.454506003371</c:v>
                </c:pt>
                <c:pt idx="29">
                  <c:v>57669.161049880757</c:v>
                </c:pt>
                <c:pt idx="30">
                  <c:v>55774.885658044237</c:v>
                </c:pt>
                <c:pt idx="31">
                  <c:v>72349.795336613766</c:v>
                </c:pt>
                <c:pt idx="32">
                  <c:v>103131.77045395717</c:v>
                </c:pt>
                <c:pt idx="33">
                  <c:v>59089.867593758143</c:v>
                </c:pt>
                <c:pt idx="34">
                  <c:v>91292.549254978934</c:v>
                </c:pt>
                <c:pt idx="35">
                  <c:v>111182.44086926237</c:v>
                </c:pt>
                <c:pt idx="36">
                  <c:v>93660.393494774587</c:v>
                </c:pt>
                <c:pt idx="37">
                  <c:v>89398.273863142414</c:v>
                </c:pt>
                <c:pt idx="38">
                  <c:v>86556.860775387642</c:v>
                </c:pt>
                <c:pt idx="39">
                  <c:v>60510.574137635529</c:v>
                </c:pt>
                <c:pt idx="40">
                  <c:v>53407.041418248591</c:v>
                </c:pt>
                <c:pt idx="41">
                  <c:v>97448.944278447612</c:v>
                </c:pt>
                <c:pt idx="42">
                  <c:v>73770.501880491152</c:v>
                </c:pt>
                <c:pt idx="43">
                  <c:v>76138.346120286791</c:v>
                </c:pt>
                <c:pt idx="44">
                  <c:v>70455.519944777247</c:v>
                </c:pt>
                <c:pt idx="45">
                  <c:v>58142.729897839883</c:v>
                </c:pt>
                <c:pt idx="46">
                  <c:v>60510.574137635529</c:v>
                </c:pt>
                <c:pt idx="47">
                  <c:v>76611.914968245925</c:v>
                </c:pt>
                <c:pt idx="48">
                  <c:v>62404.849529472049</c:v>
                </c:pt>
                <c:pt idx="49">
                  <c:v>76611.914968245925</c:v>
                </c:pt>
                <c:pt idx="50">
                  <c:v>55774.885658044237</c:v>
                </c:pt>
                <c:pt idx="51">
                  <c:v>91292.549254978934</c:v>
                </c:pt>
                <c:pt idx="52">
                  <c:v>95554.668886611093</c:v>
                </c:pt>
                <c:pt idx="53">
                  <c:v>67140.538009063341</c:v>
                </c:pt>
                <c:pt idx="54">
                  <c:v>60037.005289676403</c:v>
                </c:pt>
                <c:pt idx="55">
                  <c:v>57195.592201921623</c:v>
                </c:pt>
                <c:pt idx="56">
                  <c:v>67140.538009063341</c:v>
                </c:pt>
                <c:pt idx="57">
                  <c:v>67140.538009063341</c:v>
                </c:pt>
                <c:pt idx="58">
                  <c:v>60510.574137635529</c:v>
                </c:pt>
                <c:pt idx="59">
                  <c:v>87977.567319265028</c:v>
                </c:pt>
                <c:pt idx="60">
                  <c:v>87977.567319265028</c:v>
                </c:pt>
                <c:pt idx="61">
                  <c:v>58142.729897839883</c:v>
                </c:pt>
                <c:pt idx="62">
                  <c:v>70455.519944777247</c:v>
                </c:pt>
                <c:pt idx="63">
                  <c:v>58616.298745799017</c:v>
                </c:pt>
                <c:pt idx="64">
                  <c:v>53407.041418248591</c:v>
                </c:pt>
                <c:pt idx="65">
                  <c:v>54827.747962125977</c:v>
                </c:pt>
                <c:pt idx="66">
                  <c:v>54827.747962125977</c:v>
                </c:pt>
                <c:pt idx="67">
                  <c:v>53880.610266207725</c:v>
                </c:pt>
                <c:pt idx="68">
                  <c:v>53407.041418248591</c:v>
                </c:pt>
                <c:pt idx="69">
                  <c:v>61931.280681512922</c:v>
                </c:pt>
                <c:pt idx="70">
                  <c:v>61931.280681512922</c:v>
                </c:pt>
                <c:pt idx="71">
                  <c:v>81347.603447837217</c:v>
                </c:pt>
                <c:pt idx="72">
                  <c:v>91292.549254978934</c:v>
                </c:pt>
                <c:pt idx="73">
                  <c:v>91292.549254978934</c:v>
                </c:pt>
                <c:pt idx="74">
                  <c:v>91292.549254978934</c:v>
                </c:pt>
                <c:pt idx="75">
                  <c:v>61457.711833553789</c:v>
                </c:pt>
                <c:pt idx="76">
                  <c:v>59563.436441717276</c:v>
                </c:pt>
                <c:pt idx="77">
                  <c:v>67614.106857022474</c:v>
                </c:pt>
                <c:pt idx="78">
                  <c:v>56722.023353962497</c:v>
                </c:pt>
                <c:pt idx="79">
                  <c:v>65719.831465185955</c:v>
                </c:pt>
                <c:pt idx="80">
                  <c:v>59563.436441717276</c:v>
                </c:pt>
                <c:pt idx="81">
                  <c:v>59563.436441717276</c:v>
                </c:pt>
                <c:pt idx="82">
                  <c:v>86556.860775387642</c:v>
                </c:pt>
                <c:pt idx="83">
                  <c:v>80874.034599878098</c:v>
                </c:pt>
                <c:pt idx="84">
                  <c:v>58142.729897839883</c:v>
                </c:pt>
                <c:pt idx="85">
                  <c:v>69508.382248858979</c:v>
                </c:pt>
                <c:pt idx="86">
                  <c:v>67140.538009063341</c:v>
                </c:pt>
                <c:pt idx="87">
                  <c:v>63825.556073349435</c:v>
                </c:pt>
                <c:pt idx="88">
                  <c:v>56248.454506003371</c:v>
                </c:pt>
                <c:pt idx="89">
                  <c:v>110708.87202130324</c:v>
                </c:pt>
                <c:pt idx="90">
                  <c:v>103131.77045395717</c:v>
                </c:pt>
                <c:pt idx="91">
                  <c:v>66193.400313145074</c:v>
                </c:pt>
                <c:pt idx="92">
                  <c:v>100763.92621416152</c:v>
                </c:pt>
                <c:pt idx="93">
                  <c:v>62404.849529472049</c:v>
                </c:pt>
                <c:pt idx="94">
                  <c:v>63825.556073349435</c:v>
                </c:pt>
                <c:pt idx="95">
                  <c:v>54354.179114166851</c:v>
                </c:pt>
                <c:pt idx="96">
                  <c:v>54354.179114166851</c:v>
                </c:pt>
                <c:pt idx="97">
                  <c:v>69508.382248858979</c:v>
                </c:pt>
                <c:pt idx="98">
                  <c:v>60510.574137635529</c:v>
                </c:pt>
                <c:pt idx="99">
                  <c:v>80874.034599878098</c:v>
                </c:pt>
                <c:pt idx="100">
                  <c:v>81347.603447837217</c:v>
                </c:pt>
                <c:pt idx="101">
                  <c:v>81347.603447837217</c:v>
                </c:pt>
                <c:pt idx="102">
                  <c:v>55774.885658044237</c:v>
                </c:pt>
                <c:pt idx="103">
                  <c:v>80874.034599878098</c:v>
                </c:pt>
                <c:pt idx="104">
                  <c:v>56722.023353962497</c:v>
                </c:pt>
                <c:pt idx="105">
                  <c:v>89398.273863142414</c:v>
                </c:pt>
                <c:pt idx="106">
                  <c:v>63825.556073349435</c:v>
                </c:pt>
                <c:pt idx="107">
                  <c:v>80874.034599878098</c:v>
                </c:pt>
                <c:pt idx="108">
                  <c:v>73770.501880491152</c:v>
                </c:pt>
                <c:pt idx="109">
                  <c:v>53407.041418248591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86-4792-AD11-C181F4C8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006656"/>
        <c:axId val="696223312"/>
      </c:scatterChart>
      <c:valAx>
        <c:axId val="61800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134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6223312"/>
        <c:crosses val="autoZero"/>
        <c:crossBetween val="midCat"/>
      </c:valAx>
      <c:valAx>
        <c:axId val="696223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80000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80066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График нормального распределения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Лист1!$F$28:$F$137</c:f>
              <c:numCache>
                <c:formatCode>General</c:formatCode>
                <c:ptCount val="110"/>
                <c:pt idx="0">
                  <c:v>0.45454545454545453</c:v>
                </c:pt>
                <c:pt idx="1">
                  <c:v>1.3636363636363635</c:v>
                </c:pt>
                <c:pt idx="2">
                  <c:v>2.2727272727272725</c:v>
                </c:pt>
                <c:pt idx="3">
                  <c:v>3.1818181818181817</c:v>
                </c:pt>
                <c:pt idx="4">
                  <c:v>4.0909090909090908</c:v>
                </c:pt>
                <c:pt idx="5">
                  <c:v>4.9999999999999991</c:v>
                </c:pt>
                <c:pt idx="6">
                  <c:v>5.9090909090909083</c:v>
                </c:pt>
                <c:pt idx="7">
                  <c:v>6.8181818181818175</c:v>
                </c:pt>
                <c:pt idx="8">
                  <c:v>7.7272727272727266</c:v>
                </c:pt>
                <c:pt idx="9">
                  <c:v>8.6363636363636367</c:v>
                </c:pt>
                <c:pt idx="10">
                  <c:v>9.545454545454545</c:v>
                </c:pt>
                <c:pt idx="11">
                  <c:v>10.454545454545455</c:v>
                </c:pt>
                <c:pt idx="12">
                  <c:v>11.363636363636363</c:v>
                </c:pt>
                <c:pt idx="13">
                  <c:v>12.272727272727273</c:v>
                </c:pt>
                <c:pt idx="14">
                  <c:v>13.181818181818182</c:v>
                </c:pt>
                <c:pt idx="15">
                  <c:v>14.090909090909092</c:v>
                </c:pt>
                <c:pt idx="16">
                  <c:v>15</c:v>
                </c:pt>
                <c:pt idx="17">
                  <c:v>15.909090909090908</c:v>
                </c:pt>
                <c:pt idx="18">
                  <c:v>16.818181818181817</c:v>
                </c:pt>
                <c:pt idx="19">
                  <c:v>17.727272727272727</c:v>
                </c:pt>
                <c:pt idx="20">
                  <c:v>18.636363636363633</c:v>
                </c:pt>
                <c:pt idx="21">
                  <c:v>19.545454545454543</c:v>
                </c:pt>
                <c:pt idx="22">
                  <c:v>20.454545454545453</c:v>
                </c:pt>
                <c:pt idx="23">
                  <c:v>21.363636363636363</c:v>
                </c:pt>
                <c:pt idx="24">
                  <c:v>22.27272727272727</c:v>
                </c:pt>
                <c:pt idx="25">
                  <c:v>23.18181818181818</c:v>
                </c:pt>
                <c:pt idx="26">
                  <c:v>24.09090909090909</c:v>
                </c:pt>
                <c:pt idx="27">
                  <c:v>24.999999999999996</c:v>
                </c:pt>
                <c:pt idx="28">
                  <c:v>25.909090909090907</c:v>
                </c:pt>
                <c:pt idx="29">
                  <c:v>26.818181818181817</c:v>
                </c:pt>
                <c:pt idx="30">
                  <c:v>27.727272727272727</c:v>
                </c:pt>
                <c:pt idx="31">
                  <c:v>28.636363636363633</c:v>
                </c:pt>
                <c:pt idx="32">
                  <c:v>29.545454545454543</c:v>
                </c:pt>
                <c:pt idx="33">
                  <c:v>30.454545454545453</c:v>
                </c:pt>
                <c:pt idx="34">
                  <c:v>31.36363636363636</c:v>
                </c:pt>
                <c:pt idx="35">
                  <c:v>32.272727272727273</c:v>
                </c:pt>
                <c:pt idx="36">
                  <c:v>33.18181818181818</c:v>
                </c:pt>
                <c:pt idx="37">
                  <c:v>34.090909090909086</c:v>
                </c:pt>
                <c:pt idx="38">
                  <c:v>35</c:v>
                </c:pt>
                <c:pt idx="39">
                  <c:v>35.909090909090907</c:v>
                </c:pt>
                <c:pt idx="40">
                  <c:v>36.818181818181813</c:v>
                </c:pt>
                <c:pt idx="41">
                  <c:v>37.727272727272727</c:v>
                </c:pt>
                <c:pt idx="42">
                  <c:v>38.636363636363633</c:v>
                </c:pt>
                <c:pt idx="43">
                  <c:v>39.54545454545454</c:v>
                </c:pt>
                <c:pt idx="44">
                  <c:v>40.454545454545453</c:v>
                </c:pt>
                <c:pt idx="45">
                  <c:v>41.36363636363636</c:v>
                </c:pt>
                <c:pt idx="46">
                  <c:v>42.272727272727273</c:v>
                </c:pt>
                <c:pt idx="47">
                  <c:v>43.18181818181818</c:v>
                </c:pt>
                <c:pt idx="48">
                  <c:v>44.090909090909086</c:v>
                </c:pt>
                <c:pt idx="49">
                  <c:v>45</c:v>
                </c:pt>
                <c:pt idx="50">
                  <c:v>45.909090909090907</c:v>
                </c:pt>
                <c:pt idx="51">
                  <c:v>46.818181818181813</c:v>
                </c:pt>
                <c:pt idx="52">
                  <c:v>47.727272727272727</c:v>
                </c:pt>
                <c:pt idx="53">
                  <c:v>48.636363636363633</c:v>
                </c:pt>
                <c:pt idx="54">
                  <c:v>49.54545454545454</c:v>
                </c:pt>
                <c:pt idx="55">
                  <c:v>50.454545454545453</c:v>
                </c:pt>
                <c:pt idx="56">
                  <c:v>51.36363636363636</c:v>
                </c:pt>
                <c:pt idx="57">
                  <c:v>52.272727272727266</c:v>
                </c:pt>
                <c:pt idx="58">
                  <c:v>53.18181818181818</c:v>
                </c:pt>
                <c:pt idx="59">
                  <c:v>54.090909090909086</c:v>
                </c:pt>
                <c:pt idx="60">
                  <c:v>55</c:v>
                </c:pt>
                <c:pt idx="61">
                  <c:v>55.909090909090907</c:v>
                </c:pt>
                <c:pt idx="62">
                  <c:v>56.818181818181813</c:v>
                </c:pt>
                <c:pt idx="63">
                  <c:v>57.727272727272727</c:v>
                </c:pt>
                <c:pt idx="64">
                  <c:v>58.636363636363633</c:v>
                </c:pt>
                <c:pt idx="65">
                  <c:v>59.54545454545454</c:v>
                </c:pt>
                <c:pt idx="66">
                  <c:v>60.454545454545453</c:v>
                </c:pt>
                <c:pt idx="67">
                  <c:v>61.36363636363636</c:v>
                </c:pt>
                <c:pt idx="68">
                  <c:v>62.272727272727266</c:v>
                </c:pt>
                <c:pt idx="69">
                  <c:v>63.18181818181818</c:v>
                </c:pt>
                <c:pt idx="70">
                  <c:v>64.090909090909093</c:v>
                </c:pt>
                <c:pt idx="71">
                  <c:v>65</c:v>
                </c:pt>
                <c:pt idx="72">
                  <c:v>65.909090909090907</c:v>
                </c:pt>
                <c:pt idx="73">
                  <c:v>66.818181818181813</c:v>
                </c:pt>
                <c:pt idx="74">
                  <c:v>67.72727272727272</c:v>
                </c:pt>
                <c:pt idx="75">
                  <c:v>68.636363636363626</c:v>
                </c:pt>
                <c:pt idx="76">
                  <c:v>69.545454545454547</c:v>
                </c:pt>
                <c:pt idx="77">
                  <c:v>70.454545454545453</c:v>
                </c:pt>
                <c:pt idx="78">
                  <c:v>71.36363636363636</c:v>
                </c:pt>
                <c:pt idx="79">
                  <c:v>72.272727272727266</c:v>
                </c:pt>
                <c:pt idx="80">
                  <c:v>73.181818181818173</c:v>
                </c:pt>
                <c:pt idx="81">
                  <c:v>74.090909090909093</c:v>
                </c:pt>
                <c:pt idx="82">
                  <c:v>75</c:v>
                </c:pt>
                <c:pt idx="83">
                  <c:v>75.909090909090907</c:v>
                </c:pt>
                <c:pt idx="84">
                  <c:v>76.818181818181813</c:v>
                </c:pt>
                <c:pt idx="85">
                  <c:v>77.72727272727272</c:v>
                </c:pt>
                <c:pt idx="86">
                  <c:v>78.636363636363626</c:v>
                </c:pt>
                <c:pt idx="87">
                  <c:v>79.545454545454547</c:v>
                </c:pt>
                <c:pt idx="88">
                  <c:v>80.454545454545453</c:v>
                </c:pt>
                <c:pt idx="89">
                  <c:v>81.36363636363636</c:v>
                </c:pt>
                <c:pt idx="90">
                  <c:v>82.272727272727266</c:v>
                </c:pt>
                <c:pt idx="91">
                  <c:v>83.181818181818173</c:v>
                </c:pt>
                <c:pt idx="92">
                  <c:v>84.090909090909093</c:v>
                </c:pt>
                <c:pt idx="93">
                  <c:v>85</c:v>
                </c:pt>
                <c:pt idx="94">
                  <c:v>85.909090909090907</c:v>
                </c:pt>
                <c:pt idx="95">
                  <c:v>86.818181818181813</c:v>
                </c:pt>
                <c:pt idx="96">
                  <c:v>87.72727272727272</c:v>
                </c:pt>
                <c:pt idx="97">
                  <c:v>88.636363636363626</c:v>
                </c:pt>
                <c:pt idx="98">
                  <c:v>89.545454545454547</c:v>
                </c:pt>
                <c:pt idx="99">
                  <c:v>90.454545454545453</c:v>
                </c:pt>
                <c:pt idx="100">
                  <c:v>91.36363636363636</c:v>
                </c:pt>
                <c:pt idx="101">
                  <c:v>92.272727272727266</c:v>
                </c:pt>
                <c:pt idx="102">
                  <c:v>93.181818181818173</c:v>
                </c:pt>
                <c:pt idx="103">
                  <c:v>94.090909090909093</c:v>
                </c:pt>
                <c:pt idx="104">
                  <c:v>95</c:v>
                </c:pt>
                <c:pt idx="105">
                  <c:v>95.909090909090907</c:v>
                </c:pt>
                <c:pt idx="106">
                  <c:v>96.818181818181813</c:v>
                </c:pt>
                <c:pt idx="107">
                  <c:v>97.72727272727272</c:v>
                </c:pt>
                <c:pt idx="108">
                  <c:v>98.636363636363626</c:v>
                </c:pt>
                <c:pt idx="109">
                  <c:v>99.545454545454547</c:v>
                </c:pt>
              </c:numCache>
            </c:numRef>
          </c:xVal>
          <c:yVal>
            <c:numRef>
              <c:f>Лист1!$G$28:$G$137</c:f>
              <c:numCache>
                <c:formatCode>General</c:formatCode>
                <c:ptCount val="110"/>
                <c:pt idx="0">
                  <c:v>47500</c:v>
                </c:pt>
                <c:pt idx="1">
                  <c:v>49000</c:v>
                </c:pt>
                <c:pt idx="2">
                  <c:v>49500</c:v>
                </c:pt>
                <c:pt idx="3">
                  <c:v>49500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51000</c:v>
                </c:pt>
                <c:pt idx="8">
                  <c:v>51500</c:v>
                </c:pt>
                <c:pt idx="9">
                  <c:v>52000</c:v>
                </c:pt>
                <c:pt idx="10">
                  <c:v>52000</c:v>
                </c:pt>
                <c:pt idx="11">
                  <c:v>53000</c:v>
                </c:pt>
                <c:pt idx="12">
                  <c:v>54000</c:v>
                </c:pt>
                <c:pt idx="13">
                  <c:v>55000</c:v>
                </c:pt>
                <c:pt idx="14">
                  <c:v>55000</c:v>
                </c:pt>
                <c:pt idx="15">
                  <c:v>55000</c:v>
                </c:pt>
                <c:pt idx="16">
                  <c:v>56000</c:v>
                </c:pt>
                <c:pt idx="17">
                  <c:v>56000</c:v>
                </c:pt>
                <c:pt idx="18">
                  <c:v>56000</c:v>
                </c:pt>
                <c:pt idx="19">
                  <c:v>56000</c:v>
                </c:pt>
                <c:pt idx="20">
                  <c:v>56000</c:v>
                </c:pt>
                <c:pt idx="21">
                  <c:v>56000</c:v>
                </c:pt>
                <c:pt idx="22">
                  <c:v>56500</c:v>
                </c:pt>
                <c:pt idx="23">
                  <c:v>56500</c:v>
                </c:pt>
                <c:pt idx="24">
                  <c:v>57000</c:v>
                </c:pt>
                <c:pt idx="25">
                  <c:v>57500</c:v>
                </c:pt>
                <c:pt idx="26">
                  <c:v>58000</c:v>
                </c:pt>
                <c:pt idx="27">
                  <c:v>58000</c:v>
                </c:pt>
                <c:pt idx="28">
                  <c:v>58000</c:v>
                </c:pt>
                <c:pt idx="29">
                  <c:v>58000</c:v>
                </c:pt>
                <c:pt idx="30">
                  <c:v>58500</c:v>
                </c:pt>
                <c:pt idx="31">
                  <c:v>59000</c:v>
                </c:pt>
                <c:pt idx="32">
                  <c:v>59000</c:v>
                </c:pt>
                <c:pt idx="33">
                  <c:v>59000</c:v>
                </c:pt>
                <c:pt idx="34">
                  <c:v>60000</c:v>
                </c:pt>
                <c:pt idx="35">
                  <c:v>60000</c:v>
                </c:pt>
                <c:pt idx="36">
                  <c:v>60000</c:v>
                </c:pt>
                <c:pt idx="37">
                  <c:v>60000</c:v>
                </c:pt>
                <c:pt idx="38">
                  <c:v>60000</c:v>
                </c:pt>
                <c:pt idx="39">
                  <c:v>60000</c:v>
                </c:pt>
                <c:pt idx="40">
                  <c:v>60400</c:v>
                </c:pt>
                <c:pt idx="41">
                  <c:v>61000</c:v>
                </c:pt>
                <c:pt idx="42">
                  <c:v>61000</c:v>
                </c:pt>
                <c:pt idx="43">
                  <c:v>61700</c:v>
                </c:pt>
                <c:pt idx="44">
                  <c:v>62000</c:v>
                </c:pt>
                <c:pt idx="45">
                  <c:v>62500</c:v>
                </c:pt>
                <c:pt idx="46">
                  <c:v>62500</c:v>
                </c:pt>
                <c:pt idx="47">
                  <c:v>62500</c:v>
                </c:pt>
                <c:pt idx="48">
                  <c:v>62500</c:v>
                </c:pt>
                <c:pt idx="49">
                  <c:v>62500</c:v>
                </c:pt>
                <c:pt idx="50">
                  <c:v>62500</c:v>
                </c:pt>
                <c:pt idx="51">
                  <c:v>64000</c:v>
                </c:pt>
                <c:pt idx="52">
                  <c:v>64000</c:v>
                </c:pt>
                <c:pt idx="53">
                  <c:v>64500</c:v>
                </c:pt>
                <c:pt idx="54">
                  <c:v>65000</c:v>
                </c:pt>
                <c:pt idx="55">
                  <c:v>65000</c:v>
                </c:pt>
                <c:pt idx="56">
                  <c:v>65000</c:v>
                </c:pt>
                <c:pt idx="57">
                  <c:v>65000</c:v>
                </c:pt>
                <c:pt idx="58">
                  <c:v>65000</c:v>
                </c:pt>
                <c:pt idx="59">
                  <c:v>65000</c:v>
                </c:pt>
                <c:pt idx="60">
                  <c:v>66000</c:v>
                </c:pt>
                <c:pt idx="61">
                  <c:v>66000</c:v>
                </c:pt>
                <c:pt idx="62">
                  <c:v>67000</c:v>
                </c:pt>
                <c:pt idx="63">
                  <c:v>67000</c:v>
                </c:pt>
                <c:pt idx="64">
                  <c:v>67500</c:v>
                </c:pt>
                <c:pt idx="65">
                  <c:v>67500</c:v>
                </c:pt>
                <c:pt idx="66">
                  <c:v>68000</c:v>
                </c:pt>
                <c:pt idx="67">
                  <c:v>68500</c:v>
                </c:pt>
                <c:pt idx="68">
                  <c:v>70000</c:v>
                </c:pt>
                <c:pt idx="69">
                  <c:v>70000</c:v>
                </c:pt>
                <c:pt idx="70">
                  <c:v>71000</c:v>
                </c:pt>
                <c:pt idx="71">
                  <c:v>71500</c:v>
                </c:pt>
                <c:pt idx="72">
                  <c:v>71500</c:v>
                </c:pt>
                <c:pt idx="73">
                  <c:v>72000</c:v>
                </c:pt>
                <c:pt idx="74">
                  <c:v>72500</c:v>
                </c:pt>
                <c:pt idx="75">
                  <c:v>72500</c:v>
                </c:pt>
                <c:pt idx="76">
                  <c:v>72500</c:v>
                </c:pt>
                <c:pt idx="77">
                  <c:v>75000</c:v>
                </c:pt>
                <c:pt idx="78">
                  <c:v>75000</c:v>
                </c:pt>
                <c:pt idx="79">
                  <c:v>75000</c:v>
                </c:pt>
                <c:pt idx="80">
                  <c:v>75000</c:v>
                </c:pt>
                <c:pt idx="81">
                  <c:v>75000</c:v>
                </c:pt>
                <c:pt idx="82">
                  <c:v>76000</c:v>
                </c:pt>
                <c:pt idx="83">
                  <c:v>77000</c:v>
                </c:pt>
                <c:pt idx="84">
                  <c:v>77500</c:v>
                </c:pt>
                <c:pt idx="85">
                  <c:v>78000</c:v>
                </c:pt>
                <c:pt idx="86">
                  <c:v>81000</c:v>
                </c:pt>
                <c:pt idx="87">
                  <c:v>83500</c:v>
                </c:pt>
                <c:pt idx="88">
                  <c:v>83500</c:v>
                </c:pt>
                <c:pt idx="89">
                  <c:v>84000</c:v>
                </c:pt>
                <c:pt idx="90">
                  <c:v>85000</c:v>
                </c:pt>
                <c:pt idx="91">
                  <c:v>85000</c:v>
                </c:pt>
                <c:pt idx="92">
                  <c:v>87500</c:v>
                </c:pt>
                <c:pt idx="93">
                  <c:v>87500</c:v>
                </c:pt>
                <c:pt idx="94">
                  <c:v>90000</c:v>
                </c:pt>
                <c:pt idx="95">
                  <c:v>92000</c:v>
                </c:pt>
                <c:pt idx="96">
                  <c:v>92500</c:v>
                </c:pt>
                <c:pt idx="97">
                  <c:v>94500</c:v>
                </c:pt>
                <c:pt idx="98">
                  <c:v>94800</c:v>
                </c:pt>
                <c:pt idx="99">
                  <c:v>95000</c:v>
                </c:pt>
                <c:pt idx="100">
                  <c:v>95000</c:v>
                </c:pt>
                <c:pt idx="101">
                  <c:v>98000</c:v>
                </c:pt>
                <c:pt idx="102">
                  <c:v>100500</c:v>
                </c:pt>
                <c:pt idx="103">
                  <c:v>101500</c:v>
                </c:pt>
                <c:pt idx="104">
                  <c:v>102000</c:v>
                </c:pt>
                <c:pt idx="105">
                  <c:v>102500</c:v>
                </c:pt>
                <c:pt idx="106">
                  <c:v>105000</c:v>
                </c:pt>
                <c:pt idx="107">
                  <c:v>110000</c:v>
                </c:pt>
                <c:pt idx="108">
                  <c:v>115000</c:v>
                </c:pt>
                <c:pt idx="109">
                  <c:v>120000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7F-4D73-9993-10E61A80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006656"/>
        <c:axId val="618003328"/>
      </c:scatterChart>
      <c:valAx>
        <c:axId val="61800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Персентиль выборки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8003328"/>
        <c:crosses val="autoZero"/>
        <c:crossBetween val="midCat"/>
      </c:valAx>
      <c:valAx>
        <c:axId val="618003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80000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80066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</xdr:row>
      <xdr:rowOff>60960</xdr:rowOff>
    </xdr:from>
    <xdr:to>
      <xdr:col>15</xdr:col>
      <xdr:colOff>228600</xdr:colOff>
      <xdr:row>11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C33011-D499-4810-A61A-DF7C17848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</xdr:colOff>
      <xdr:row>12</xdr:row>
      <xdr:rowOff>76200</xdr:rowOff>
    </xdr:from>
    <xdr:to>
      <xdr:col>15</xdr:col>
      <xdr:colOff>175260</xdr:colOff>
      <xdr:row>25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C35F0BA-8C3D-47CD-AE71-53CB99152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167640</xdr:colOff>
      <xdr:row>26</xdr:row>
      <xdr:rowOff>91440</xdr:rowOff>
    </xdr:from>
    <xdr:to>
      <xdr:col>15</xdr:col>
      <xdr:colOff>167640</xdr:colOff>
      <xdr:row>36</xdr:row>
      <xdr:rowOff>114300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44D10BF-E2F2-4CCD-970F-90FD45411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7099-04A3-4011-9915-3296CC65C1B0}">
  <dimension ref="A1:I137"/>
  <sheetViews>
    <sheetView tabSelected="1" workbookViewId="0">
      <selection activeCell="H16" sqref="H16"/>
    </sheetView>
  </sheetViews>
  <sheetFormatPr defaultRowHeight="14.4" x14ac:dyDescent="0.3"/>
  <cols>
    <col min="1" max="2" width="16.5546875" customWidth="1"/>
  </cols>
  <sheetData>
    <row r="1" spans="1:9" x14ac:dyDescent="0.3">
      <c r="A1" t="s">
        <v>13</v>
      </c>
    </row>
    <row r="3" spans="1:9" x14ac:dyDescent="0.3">
      <c r="A3" s="11" t="s">
        <v>14</v>
      </c>
      <c r="B3" s="11"/>
    </row>
    <row r="4" spans="1:9" ht="30.6" customHeight="1" x14ac:dyDescent="0.3">
      <c r="A4" s="12" t="s">
        <v>15</v>
      </c>
      <c r="B4" s="12">
        <v>0.89375536638308062</v>
      </c>
    </row>
    <row r="5" spans="1:9" ht="30.6" customHeight="1" x14ac:dyDescent="0.3">
      <c r="A5" s="12" t="s">
        <v>16</v>
      </c>
      <c r="B5" s="12">
        <v>0.79879865493855462</v>
      </c>
    </row>
    <row r="6" spans="1:9" x14ac:dyDescent="0.3">
      <c r="A6" s="13" t="s">
        <v>17</v>
      </c>
      <c r="B6" s="13">
        <v>0.79693567952131894</v>
      </c>
    </row>
    <row r="7" spans="1:9" x14ac:dyDescent="0.3">
      <c r="A7" s="13" t="s">
        <v>18</v>
      </c>
      <c r="B7" s="13">
        <v>7246.8464282075674</v>
      </c>
    </row>
    <row r="8" spans="1:9" x14ac:dyDescent="0.3">
      <c r="A8" s="13" t="s">
        <v>19</v>
      </c>
      <c r="B8" s="13">
        <v>110</v>
      </c>
    </row>
    <row r="10" spans="1:9" ht="15" thickBot="1" x14ac:dyDescent="0.35">
      <c r="A10" t="s">
        <v>20</v>
      </c>
    </row>
    <row r="11" spans="1:9" x14ac:dyDescent="0.3">
      <c r="A11" s="9"/>
      <c r="B11" s="9" t="s">
        <v>25</v>
      </c>
      <c r="C11" s="9" t="s">
        <v>26</v>
      </c>
      <c r="D11" s="9" t="s">
        <v>27</v>
      </c>
      <c r="E11" s="9" t="s">
        <v>28</v>
      </c>
      <c r="F11" s="9" t="s">
        <v>29</v>
      </c>
    </row>
    <row r="12" spans="1:9" x14ac:dyDescent="0.3">
      <c r="A12" s="7" t="s">
        <v>21</v>
      </c>
      <c r="B12" s="7">
        <v>1</v>
      </c>
      <c r="C12" s="7">
        <v>22517922328.456238</v>
      </c>
      <c r="D12" s="7">
        <v>22517922328.456238</v>
      </c>
      <c r="E12" s="7">
        <v>428.77573560463804</v>
      </c>
      <c r="F12" s="7">
        <v>2.128544750693904E-39</v>
      </c>
    </row>
    <row r="13" spans="1:9" x14ac:dyDescent="0.3">
      <c r="A13" s="7" t="s">
        <v>22</v>
      </c>
      <c r="B13" s="7">
        <v>108</v>
      </c>
      <c r="C13" s="7">
        <v>5671812580.634676</v>
      </c>
      <c r="D13" s="7">
        <v>52516783.15402478</v>
      </c>
      <c r="E13" s="7"/>
      <c r="F13" s="7"/>
    </row>
    <row r="14" spans="1:9" ht="15" thickBot="1" x14ac:dyDescent="0.35">
      <c r="A14" s="8" t="s">
        <v>23</v>
      </c>
      <c r="B14" s="8">
        <v>109</v>
      </c>
      <c r="C14" s="8">
        <v>28189734909.090912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30</v>
      </c>
      <c r="C16" s="9" t="s">
        <v>18</v>
      </c>
      <c r="D16" s="9" t="s">
        <v>31</v>
      </c>
      <c r="E16" s="9" t="s">
        <v>32</v>
      </c>
      <c r="F16" s="9" t="s">
        <v>33</v>
      </c>
      <c r="G16" s="9" t="s">
        <v>34</v>
      </c>
      <c r="H16" s="9" t="s">
        <v>35</v>
      </c>
      <c r="I16" s="9" t="s">
        <v>36</v>
      </c>
    </row>
    <row r="17" spans="1:9" x14ac:dyDescent="0.3">
      <c r="A17" s="10" t="s">
        <v>24</v>
      </c>
      <c r="B17" s="10">
        <v>15521.533581518248</v>
      </c>
      <c r="C17" s="7">
        <v>2689.7616573168425</v>
      </c>
      <c r="D17" s="7">
        <v>5.7705981268993449</v>
      </c>
      <c r="E17" s="7">
        <v>7.6440230785319677E-8</v>
      </c>
      <c r="F17" s="7">
        <v>10189.959347966955</v>
      </c>
      <c r="G17" s="7">
        <v>20853.107815069539</v>
      </c>
      <c r="H17" s="7">
        <v>10189.959347966955</v>
      </c>
      <c r="I17" s="7">
        <v>20853.107815069539</v>
      </c>
    </row>
    <row r="18" spans="1:9" ht="15" thickBot="1" x14ac:dyDescent="0.35">
      <c r="A18" s="17" t="s">
        <v>47</v>
      </c>
      <c r="B18" s="14">
        <v>473.5688479591293</v>
      </c>
      <c r="C18" s="8">
        <v>22.870098010786045</v>
      </c>
      <c r="D18" s="8">
        <v>20.706900675973657</v>
      </c>
      <c r="E18" s="8">
        <v>2.1285447506938433E-39</v>
      </c>
      <c r="F18" s="8">
        <v>428.23634612150039</v>
      </c>
      <c r="G18" s="8">
        <v>518.90134979675827</v>
      </c>
      <c r="H18" s="8">
        <v>428.23634612150039</v>
      </c>
      <c r="I18" s="8">
        <v>518.90134979675827</v>
      </c>
    </row>
    <row r="20" spans="1:9" x14ac:dyDescent="0.3">
      <c r="A20" s="15" t="s">
        <v>44</v>
      </c>
      <c r="B20" s="16">
        <f>B18*AVERAGE(Sheet1!I2:I112)/AVERAGE(Sheet1!H2:H112)</f>
        <v>0.77635949505208823</v>
      </c>
    </row>
    <row r="22" spans="1:9" x14ac:dyDescent="0.3">
      <c r="A22" s="15" t="s">
        <v>45</v>
      </c>
      <c r="B22">
        <f>INTERCEPT( Sheet1!$H$2:$H$112,Sheet1!$I$2:$I$112)</f>
        <v>15507.506366939444</v>
      </c>
      <c r="D22" s="10" t="s">
        <v>24</v>
      </c>
      <c r="E22" s="10">
        <v>15521.533581518248</v>
      </c>
    </row>
    <row r="23" spans="1:9" ht="15" thickBot="1" x14ac:dyDescent="0.35">
      <c r="A23" s="15" t="s">
        <v>46</v>
      </c>
      <c r="B23">
        <f>SLOPE(Sheet1!$H$2:$H$112,Sheet1!$I$2:$I$112)</f>
        <v>473.77279364324772</v>
      </c>
      <c r="D23" s="17" t="s">
        <v>47</v>
      </c>
      <c r="E23" s="14">
        <v>473.5688479591293</v>
      </c>
    </row>
    <row r="25" spans="1:9" x14ac:dyDescent="0.3">
      <c r="A25" t="s">
        <v>37</v>
      </c>
      <c r="F25" t="s">
        <v>42</v>
      </c>
    </row>
    <row r="26" spans="1:9" ht="15" thickBot="1" x14ac:dyDescent="0.35"/>
    <row r="27" spans="1:9" x14ac:dyDescent="0.3">
      <c r="A27" s="9" t="s">
        <v>38</v>
      </c>
      <c r="B27" s="9" t="s">
        <v>39</v>
      </c>
      <c r="C27" s="9" t="s">
        <v>40</v>
      </c>
      <c r="D27" s="9" t="s">
        <v>41</v>
      </c>
      <c r="F27" s="9" t="s">
        <v>43</v>
      </c>
      <c r="G27" s="9">
        <v>80000</v>
      </c>
    </row>
    <row r="28" spans="1:9" x14ac:dyDescent="0.3">
      <c r="A28" s="7">
        <v>1</v>
      </c>
      <c r="B28" s="7">
        <v>81821.17229579635</v>
      </c>
      <c r="C28" s="7">
        <v>-6821.1722957963502</v>
      </c>
      <c r="D28" s="7">
        <v>-0.9456084244145303</v>
      </c>
      <c r="F28" s="7">
        <v>0.45454545454545453</v>
      </c>
      <c r="G28" s="7">
        <v>47500</v>
      </c>
    </row>
    <row r="29" spans="1:9" x14ac:dyDescent="0.3">
      <c r="A29" s="7">
        <v>2</v>
      </c>
      <c r="B29" s="7">
        <v>81347.603447837217</v>
      </c>
      <c r="C29" s="7">
        <v>-5347.6034478372167</v>
      </c>
      <c r="D29" s="7">
        <v>-0.74132988457414439</v>
      </c>
      <c r="F29" s="7">
        <v>1.3636363636363635</v>
      </c>
      <c r="G29" s="7">
        <v>49000</v>
      </c>
    </row>
    <row r="30" spans="1:9" x14ac:dyDescent="0.3">
      <c r="A30" s="7">
        <v>3</v>
      </c>
      <c r="B30" s="7">
        <v>74717.63957640942</v>
      </c>
      <c r="C30" s="7">
        <v>282.36042359058047</v>
      </c>
      <c r="D30" s="7">
        <v>3.9143182973556082E-2</v>
      </c>
      <c r="F30" s="7">
        <v>2.2727272727272725</v>
      </c>
      <c r="G30" s="7">
        <v>49500</v>
      </c>
    </row>
    <row r="31" spans="1:9" x14ac:dyDescent="0.3">
      <c r="A31" s="7">
        <v>4</v>
      </c>
      <c r="B31" s="7">
        <v>76138.346120286791</v>
      </c>
      <c r="C31" s="7">
        <v>-8638.3461202867911</v>
      </c>
      <c r="D31" s="7">
        <v>-1.1975203836129047</v>
      </c>
      <c r="F31" s="7">
        <v>3.1818181818181817</v>
      </c>
      <c r="G31" s="7">
        <v>49500</v>
      </c>
    </row>
    <row r="32" spans="1:9" x14ac:dyDescent="0.3">
      <c r="A32" s="7">
        <v>5</v>
      </c>
      <c r="B32" s="7">
        <v>75191.208424368539</v>
      </c>
      <c r="C32" s="7">
        <v>-15191.208424368539</v>
      </c>
      <c r="D32" s="7">
        <v>-2.1059334144033395</v>
      </c>
      <c r="F32" s="7">
        <v>4.0909090909090908</v>
      </c>
      <c r="G32" s="7">
        <v>50000</v>
      </c>
    </row>
    <row r="33" spans="1:7" x14ac:dyDescent="0.3">
      <c r="A33" s="7">
        <v>6</v>
      </c>
      <c r="B33" s="7">
        <v>80874.034599878098</v>
      </c>
      <c r="C33" s="7">
        <v>-8374.0345998780977</v>
      </c>
      <c r="D33" s="7">
        <v>-1.160879291799068</v>
      </c>
      <c r="F33" s="7">
        <v>4.9999999999999991</v>
      </c>
      <c r="G33" s="7">
        <v>50000</v>
      </c>
    </row>
    <row r="34" spans="1:7" x14ac:dyDescent="0.3">
      <c r="A34" s="7">
        <v>7</v>
      </c>
      <c r="B34" s="7">
        <v>56248.454506003371</v>
      </c>
      <c r="C34" s="7">
        <v>-4248.4545060033706</v>
      </c>
      <c r="D34" s="7">
        <v>-0.58895658948454155</v>
      </c>
      <c r="F34" s="7">
        <v>5.9090909090909083</v>
      </c>
      <c r="G34" s="7">
        <v>50000</v>
      </c>
    </row>
    <row r="35" spans="1:7" x14ac:dyDescent="0.3">
      <c r="A35" s="7">
        <v>8</v>
      </c>
      <c r="B35" s="7">
        <v>57669.161049880757</v>
      </c>
      <c r="C35" s="7">
        <v>-2669.1610498807568</v>
      </c>
      <c r="D35" s="7">
        <v>-0.37002161291862062</v>
      </c>
      <c r="F35" s="7">
        <v>6.8181818181818175</v>
      </c>
      <c r="G35" s="7">
        <v>51000</v>
      </c>
    </row>
    <row r="36" spans="1:7" x14ac:dyDescent="0.3">
      <c r="A36" s="7">
        <v>9</v>
      </c>
      <c r="B36" s="7">
        <v>57669.161049880757</v>
      </c>
      <c r="C36" s="7">
        <v>-1669.1610498807568</v>
      </c>
      <c r="D36" s="7">
        <v>-0.23139318023744121</v>
      </c>
      <c r="F36" s="7">
        <v>7.7272727272727266</v>
      </c>
      <c r="G36" s="7">
        <v>51500</v>
      </c>
    </row>
    <row r="37" spans="1:7" x14ac:dyDescent="0.3">
      <c r="A37" s="7">
        <v>10</v>
      </c>
      <c r="B37" s="7">
        <v>60510.574137635529</v>
      </c>
      <c r="C37" s="7">
        <v>-510.57413763552904</v>
      </c>
      <c r="D37" s="7">
        <v>-7.0780092467958161E-2</v>
      </c>
      <c r="F37" s="7">
        <v>8.6363636363636367</v>
      </c>
      <c r="G37" s="7">
        <v>52000</v>
      </c>
    </row>
    <row r="38" spans="1:7" x14ac:dyDescent="0.3">
      <c r="A38" s="7">
        <v>11</v>
      </c>
      <c r="B38" s="7">
        <v>61457.711833553789</v>
      </c>
      <c r="C38" s="7">
        <v>-5457.7118335537889</v>
      </c>
      <c r="D38" s="7">
        <v>-0.75659403751108756</v>
      </c>
      <c r="F38" s="7">
        <v>9.545454545454545</v>
      </c>
      <c r="G38" s="7">
        <v>52000</v>
      </c>
    </row>
    <row r="39" spans="1:7" x14ac:dyDescent="0.3">
      <c r="A39" s="7">
        <v>12</v>
      </c>
      <c r="B39" s="7">
        <v>61931.280681512922</v>
      </c>
      <c r="C39" s="7">
        <v>-4931.2806815129225</v>
      </c>
      <c r="D39" s="7">
        <v>-0.68361571198911464</v>
      </c>
      <c r="F39" s="7">
        <v>10.454545454545455</v>
      </c>
      <c r="G39" s="7">
        <v>53000</v>
      </c>
    </row>
    <row r="40" spans="1:7" x14ac:dyDescent="0.3">
      <c r="A40" s="7">
        <v>13</v>
      </c>
      <c r="B40" s="7">
        <v>61931.280681512922</v>
      </c>
      <c r="C40" s="7">
        <v>-5431.2806815129225</v>
      </c>
      <c r="D40" s="7">
        <v>-0.75292992832970429</v>
      </c>
      <c r="F40" s="7">
        <v>11.363636363636363</v>
      </c>
      <c r="G40" s="7">
        <v>54000</v>
      </c>
    </row>
    <row r="41" spans="1:7" x14ac:dyDescent="0.3">
      <c r="A41" s="7">
        <v>14</v>
      </c>
      <c r="B41" s="7">
        <v>62404.849529472049</v>
      </c>
      <c r="C41" s="7">
        <v>-3904.8495294720487</v>
      </c>
      <c r="D41" s="7">
        <v>-0.54132317012655096</v>
      </c>
      <c r="F41" s="7">
        <v>12.272727272727273</v>
      </c>
      <c r="G41" s="7">
        <v>55000</v>
      </c>
    </row>
    <row r="42" spans="1:7" x14ac:dyDescent="0.3">
      <c r="A42" s="7">
        <v>15</v>
      </c>
      <c r="B42" s="7">
        <v>62404.849529472049</v>
      </c>
      <c r="C42" s="7">
        <v>-5904.8495294720487</v>
      </c>
      <c r="D42" s="7">
        <v>-0.81858003548890979</v>
      </c>
      <c r="F42" s="7">
        <v>13.181818181818182</v>
      </c>
      <c r="G42" s="7">
        <v>55000</v>
      </c>
    </row>
    <row r="43" spans="1:7" x14ac:dyDescent="0.3">
      <c r="A43" s="7">
        <v>16</v>
      </c>
      <c r="B43" s="7">
        <v>67614.106857022474</v>
      </c>
      <c r="C43" s="7">
        <v>16385.893142977526</v>
      </c>
      <c r="D43" s="7">
        <v>2.2715506844922588</v>
      </c>
      <c r="F43" s="7">
        <v>14.090909090909092</v>
      </c>
      <c r="G43" s="7">
        <v>55000</v>
      </c>
    </row>
    <row r="44" spans="1:7" x14ac:dyDescent="0.3">
      <c r="A44" s="7">
        <v>17</v>
      </c>
      <c r="B44" s="7">
        <v>54827.747962125977</v>
      </c>
      <c r="C44" s="7">
        <v>-1827.7479621259772</v>
      </c>
      <c r="D44" s="7">
        <v>-0.25337783532574387</v>
      </c>
      <c r="F44" s="7">
        <v>15</v>
      </c>
      <c r="G44" s="7">
        <v>56000</v>
      </c>
    </row>
    <row r="45" spans="1:7" x14ac:dyDescent="0.3">
      <c r="A45" s="7">
        <v>18</v>
      </c>
      <c r="B45" s="7">
        <v>53407.041418248591</v>
      </c>
      <c r="C45" s="7">
        <v>-5907.0414182485911</v>
      </c>
      <c r="D45" s="7">
        <v>-0.81888389359461333</v>
      </c>
      <c r="F45" s="7">
        <v>15.909090909090908</v>
      </c>
      <c r="G45" s="7">
        <v>56000</v>
      </c>
    </row>
    <row r="46" spans="1:7" x14ac:dyDescent="0.3">
      <c r="A46" s="7">
        <v>19</v>
      </c>
      <c r="B46" s="7">
        <v>53407.041418248591</v>
      </c>
      <c r="C46" s="7">
        <v>-3907.0414182485911</v>
      </c>
      <c r="D46" s="7">
        <v>-0.5416270282322545</v>
      </c>
      <c r="F46" s="7">
        <v>16.818181818181817</v>
      </c>
      <c r="G46" s="7">
        <v>56000</v>
      </c>
    </row>
    <row r="47" spans="1:7" x14ac:dyDescent="0.3">
      <c r="A47" s="7">
        <v>20</v>
      </c>
      <c r="B47" s="7">
        <v>55774.885658044237</v>
      </c>
      <c r="C47" s="7">
        <v>-5774.8856580442371</v>
      </c>
      <c r="D47" s="7">
        <v>-0.80056334768769388</v>
      </c>
      <c r="F47" s="7">
        <v>17.727272727272727</v>
      </c>
      <c r="G47" s="7">
        <v>56000</v>
      </c>
    </row>
    <row r="48" spans="1:7" x14ac:dyDescent="0.3">
      <c r="A48" s="7">
        <v>21</v>
      </c>
      <c r="B48" s="7">
        <v>63825.556073349435</v>
      </c>
      <c r="C48" s="7">
        <v>-1325.5560733494349</v>
      </c>
      <c r="D48" s="7">
        <v>-0.18375976087945065</v>
      </c>
      <c r="F48" s="7">
        <v>18.636363636363633</v>
      </c>
      <c r="G48" s="7">
        <v>56000</v>
      </c>
    </row>
    <row r="49" spans="1:7" x14ac:dyDescent="0.3">
      <c r="A49" s="7">
        <v>22</v>
      </c>
      <c r="B49" s="7">
        <v>65719.831465185955</v>
      </c>
      <c r="C49" s="7">
        <v>-719.83146518595458</v>
      </c>
      <c r="D49" s="7">
        <v>-9.9789107813325839E-2</v>
      </c>
      <c r="F49" s="7">
        <v>19.545454545454543</v>
      </c>
      <c r="G49" s="7">
        <v>56000</v>
      </c>
    </row>
    <row r="50" spans="1:7" x14ac:dyDescent="0.3">
      <c r="A50" s="7">
        <v>23</v>
      </c>
      <c r="B50" s="7">
        <v>63825.556073349435</v>
      </c>
      <c r="C50" s="7">
        <v>-3825.5560733494349</v>
      </c>
      <c r="D50" s="7">
        <v>-0.53033084258239915</v>
      </c>
      <c r="F50" s="7">
        <v>20.454545454545453</v>
      </c>
      <c r="G50" s="7">
        <v>56500</v>
      </c>
    </row>
    <row r="51" spans="1:7" x14ac:dyDescent="0.3">
      <c r="A51" s="7">
        <v>24</v>
      </c>
      <c r="B51" s="7">
        <v>63825.556073349435</v>
      </c>
      <c r="C51" s="7">
        <v>6174.4439266505651</v>
      </c>
      <c r="D51" s="7">
        <v>0.85595348422939488</v>
      </c>
      <c r="F51" s="7">
        <v>21.363636363636363</v>
      </c>
      <c r="G51" s="7">
        <v>56500</v>
      </c>
    </row>
    <row r="52" spans="1:7" x14ac:dyDescent="0.3">
      <c r="A52" s="7">
        <v>25</v>
      </c>
      <c r="B52" s="7">
        <v>63825.556073349435</v>
      </c>
      <c r="C52" s="7">
        <v>-1325.5560733494349</v>
      </c>
      <c r="D52" s="7">
        <v>-0.18375976087945065</v>
      </c>
      <c r="F52" s="7">
        <v>22.27272727272727</v>
      </c>
      <c r="G52" s="7">
        <v>57000</v>
      </c>
    </row>
    <row r="53" spans="1:7" x14ac:dyDescent="0.3">
      <c r="A53" s="7">
        <v>26</v>
      </c>
      <c r="B53" s="7">
        <v>63825.556073349435</v>
      </c>
      <c r="C53" s="7">
        <v>3674.4439266505651</v>
      </c>
      <c r="D53" s="7">
        <v>0.5093824025264464</v>
      </c>
      <c r="F53" s="7">
        <v>23.18181818181818</v>
      </c>
      <c r="G53" s="7">
        <v>57500</v>
      </c>
    </row>
    <row r="54" spans="1:7" x14ac:dyDescent="0.3">
      <c r="A54" s="7">
        <v>27</v>
      </c>
      <c r="B54" s="7">
        <v>54827.747962125977</v>
      </c>
      <c r="C54" s="7">
        <v>-5827.7479621259772</v>
      </c>
      <c r="D54" s="7">
        <v>-0.80789156605046142</v>
      </c>
      <c r="F54" s="7">
        <v>24.09090909090909</v>
      </c>
      <c r="G54" s="7">
        <v>58000</v>
      </c>
    </row>
    <row r="55" spans="1:7" x14ac:dyDescent="0.3">
      <c r="A55" s="7">
        <v>28</v>
      </c>
      <c r="B55" s="7">
        <v>58142.729897839883</v>
      </c>
      <c r="C55" s="7">
        <v>13857.270102160117</v>
      </c>
      <c r="D55" s="7">
        <v>1.9210116355022238</v>
      </c>
      <c r="F55" s="7">
        <v>24.999999999999996</v>
      </c>
      <c r="G55" s="7">
        <v>58000</v>
      </c>
    </row>
    <row r="56" spans="1:7" x14ac:dyDescent="0.3">
      <c r="A56" s="7">
        <v>29</v>
      </c>
      <c r="B56" s="7">
        <v>56248.454506003371</v>
      </c>
      <c r="C56" s="7">
        <v>-248.45450600337062</v>
      </c>
      <c r="D56" s="7">
        <v>-3.4442858759823947E-2</v>
      </c>
      <c r="F56" s="7">
        <v>25.909090909090907</v>
      </c>
      <c r="G56" s="7">
        <v>58000</v>
      </c>
    </row>
    <row r="57" spans="1:7" x14ac:dyDescent="0.3">
      <c r="A57" s="7">
        <v>30</v>
      </c>
      <c r="B57" s="7">
        <v>57669.161049880757</v>
      </c>
      <c r="C57" s="7">
        <v>330.83895011924324</v>
      </c>
      <c r="D57" s="7">
        <v>4.5863685124917578E-2</v>
      </c>
      <c r="F57" s="7">
        <v>26.818181818181817</v>
      </c>
      <c r="G57" s="7">
        <v>58000</v>
      </c>
    </row>
    <row r="58" spans="1:7" x14ac:dyDescent="0.3">
      <c r="A58" s="7">
        <v>31</v>
      </c>
      <c r="B58" s="7">
        <v>55774.885658044237</v>
      </c>
      <c r="C58" s="7">
        <v>-774.88565804423706</v>
      </c>
      <c r="D58" s="7">
        <v>-0.10742118428179692</v>
      </c>
      <c r="F58" s="7">
        <v>27.727272727272727</v>
      </c>
      <c r="G58" s="7">
        <v>58500</v>
      </c>
    </row>
    <row r="59" spans="1:7" x14ac:dyDescent="0.3">
      <c r="A59" s="7">
        <v>32</v>
      </c>
      <c r="B59" s="7">
        <v>72349.795336613766</v>
      </c>
      <c r="C59" s="7">
        <v>19650.204663386234</v>
      </c>
      <c r="D59" s="7">
        <v>2.7240770743496361</v>
      </c>
      <c r="F59" s="7">
        <v>28.636363636363633</v>
      </c>
      <c r="G59" s="7">
        <v>59000</v>
      </c>
    </row>
    <row r="60" spans="1:7" x14ac:dyDescent="0.3">
      <c r="A60" s="7">
        <v>33</v>
      </c>
      <c r="B60" s="7">
        <v>103131.77045395717</v>
      </c>
      <c r="C60" s="7">
        <v>-5131.7704539571714</v>
      </c>
      <c r="D60" s="7">
        <v>-0.71140929491166716</v>
      </c>
      <c r="F60" s="7">
        <v>29.545454545454543</v>
      </c>
      <c r="G60" s="7">
        <v>59000</v>
      </c>
    </row>
    <row r="61" spans="1:7" x14ac:dyDescent="0.3">
      <c r="A61" s="7">
        <v>34</v>
      </c>
      <c r="B61" s="7">
        <v>59089.867593758143</v>
      </c>
      <c r="C61" s="7">
        <v>18910.132406241857</v>
      </c>
      <c r="D61" s="7">
        <v>2.6214820172708881</v>
      </c>
      <c r="F61" s="7">
        <v>30.454545454545453</v>
      </c>
      <c r="G61" s="7">
        <v>59000</v>
      </c>
    </row>
    <row r="62" spans="1:7" x14ac:dyDescent="0.3">
      <c r="A62" s="7">
        <v>35</v>
      </c>
      <c r="B62" s="7">
        <v>91292.549254978934</v>
      </c>
      <c r="C62" s="7">
        <v>-1292.5492549789342</v>
      </c>
      <c r="D62" s="7">
        <v>-0.17918407738095576</v>
      </c>
      <c r="F62" s="7">
        <v>31.36363636363636</v>
      </c>
      <c r="G62" s="7">
        <v>60000</v>
      </c>
    </row>
    <row r="63" spans="1:7" x14ac:dyDescent="0.3">
      <c r="A63" s="7">
        <v>36</v>
      </c>
      <c r="B63" s="7">
        <v>111182.44086926237</v>
      </c>
      <c r="C63" s="7">
        <v>-6182.4408692623692</v>
      </c>
      <c r="D63" s="7">
        <v>-0.85706208784991056</v>
      </c>
      <c r="F63" s="7">
        <v>32.272727272727273</v>
      </c>
      <c r="G63" s="7">
        <v>60000</v>
      </c>
    </row>
    <row r="64" spans="1:7" x14ac:dyDescent="0.3">
      <c r="A64" s="7">
        <v>37</v>
      </c>
      <c r="B64" s="7">
        <v>93660.393494774587</v>
      </c>
      <c r="C64" s="7">
        <v>7839.6065052254125</v>
      </c>
      <c r="D64" s="7">
        <v>1.0867923626565772</v>
      </c>
      <c r="F64" s="7">
        <v>33.18181818181818</v>
      </c>
      <c r="G64" s="7">
        <v>60000</v>
      </c>
    </row>
    <row r="65" spans="1:7" x14ac:dyDescent="0.3">
      <c r="A65" s="7">
        <v>38</v>
      </c>
      <c r="B65" s="7">
        <v>89398.273863142414</v>
      </c>
      <c r="C65" s="7">
        <v>5601.7261368575855</v>
      </c>
      <c r="D65" s="7">
        <v>0.77655851466176495</v>
      </c>
      <c r="F65" s="7">
        <v>34.090909090909086</v>
      </c>
      <c r="G65" s="7">
        <v>60000</v>
      </c>
    </row>
    <row r="66" spans="1:7" x14ac:dyDescent="0.3">
      <c r="A66" s="7">
        <v>39</v>
      </c>
      <c r="B66" s="7">
        <v>86556.860775387642</v>
      </c>
      <c r="C66" s="7">
        <v>-5556.8607753876422</v>
      </c>
      <c r="D66" s="7">
        <v>-0.7703388999195121</v>
      </c>
      <c r="F66" s="7">
        <v>35</v>
      </c>
      <c r="G66" s="7">
        <v>60000</v>
      </c>
    </row>
    <row r="67" spans="1:7" x14ac:dyDescent="0.3">
      <c r="A67" s="7">
        <v>40</v>
      </c>
      <c r="B67" s="7">
        <v>60510.574137635529</v>
      </c>
      <c r="C67" s="7">
        <v>1489.425862364471</v>
      </c>
      <c r="D67" s="7">
        <v>0.20647677289440064</v>
      </c>
      <c r="F67" s="7">
        <v>35.909090909090907</v>
      </c>
      <c r="G67" s="7">
        <v>60000</v>
      </c>
    </row>
    <row r="68" spans="1:7" x14ac:dyDescent="0.3">
      <c r="A68" s="7">
        <v>41</v>
      </c>
      <c r="B68" s="7">
        <v>53407.041418248591</v>
      </c>
      <c r="C68" s="7">
        <v>-1407.0414182485911</v>
      </c>
      <c r="D68" s="7">
        <v>-0.195055946529306</v>
      </c>
      <c r="F68" s="7">
        <v>36.818181818181813</v>
      </c>
      <c r="G68" s="7">
        <v>60400</v>
      </c>
    </row>
    <row r="69" spans="1:7" x14ac:dyDescent="0.3">
      <c r="A69" s="7">
        <v>42</v>
      </c>
      <c r="B69" s="7">
        <v>97448.944278447612</v>
      </c>
      <c r="C69" s="7">
        <v>3051.0557215523877</v>
      </c>
      <c r="D69" s="7">
        <v>0.42296307270175243</v>
      </c>
      <c r="F69" s="7">
        <v>37.727272727272727</v>
      </c>
      <c r="G69" s="7">
        <v>61000</v>
      </c>
    </row>
    <row r="70" spans="1:7" x14ac:dyDescent="0.3">
      <c r="A70" s="7">
        <v>43</v>
      </c>
      <c r="B70" s="7">
        <v>73770.501880491152</v>
      </c>
      <c r="C70" s="7">
        <v>-5270.5018804911524</v>
      </c>
      <c r="D70" s="7">
        <v>-0.73064141513569714</v>
      </c>
      <c r="F70" s="7">
        <v>38.636363636363633</v>
      </c>
      <c r="G70" s="7">
        <v>61000</v>
      </c>
    </row>
    <row r="71" spans="1:7" x14ac:dyDescent="0.3">
      <c r="A71" s="7">
        <v>44</v>
      </c>
      <c r="B71" s="7">
        <v>76138.346120286791</v>
      </c>
      <c r="C71" s="7">
        <v>-5138.3461202867911</v>
      </c>
      <c r="D71" s="7">
        <v>-0.7123208692287768</v>
      </c>
      <c r="F71" s="7">
        <v>39.54545454545454</v>
      </c>
      <c r="G71" s="7">
        <v>61700</v>
      </c>
    </row>
    <row r="72" spans="1:7" x14ac:dyDescent="0.3">
      <c r="A72" s="7">
        <v>45</v>
      </c>
      <c r="B72" s="7">
        <v>70455.519944777247</v>
      </c>
      <c r="C72" s="7">
        <v>-4455.5199447772466</v>
      </c>
      <c r="D72" s="7">
        <v>-0.61766174672420471</v>
      </c>
      <c r="F72" s="7">
        <v>40.454545454545453</v>
      </c>
      <c r="G72" s="7">
        <v>62000</v>
      </c>
    </row>
    <row r="73" spans="1:7" x14ac:dyDescent="0.3">
      <c r="A73" s="7">
        <v>46</v>
      </c>
      <c r="B73" s="7">
        <v>58142.729897839883</v>
      </c>
      <c r="C73" s="7">
        <v>1857.2701021601169</v>
      </c>
      <c r="D73" s="7">
        <v>0.25747044332807095</v>
      </c>
      <c r="F73" s="7">
        <v>41.36363636363636</v>
      </c>
      <c r="G73" s="7">
        <v>62500</v>
      </c>
    </row>
    <row r="74" spans="1:7" x14ac:dyDescent="0.3">
      <c r="A74" s="7">
        <v>47</v>
      </c>
      <c r="B74" s="7">
        <v>60510.574137635529</v>
      </c>
      <c r="C74" s="7">
        <v>-4510.574137635529</v>
      </c>
      <c r="D74" s="7">
        <v>-0.62529382319267579</v>
      </c>
      <c r="F74" s="7">
        <v>42.272727272727273</v>
      </c>
      <c r="G74" s="7">
        <v>62500</v>
      </c>
    </row>
    <row r="75" spans="1:7" x14ac:dyDescent="0.3">
      <c r="A75" s="7">
        <v>48</v>
      </c>
      <c r="B75" s="7">
        <v>76611.914968245925</v>
      </c>
      <c r="C75" s="7">
        <v>388.08503175407532</v>
      </c>
      <c r="D75" s="7">
        <v>5.37996196990932E-2</v>
      </c>
      <c r="F75" s="7">
        <v>43.18181818181818</v>
      </c>
      <c r="G75" s="7">
        <v>62500</v>
      </c>
    </row>
    <row r="76" spans="1:7" x14ac:dyDescent="0.3">
      <c r="A76" s="7">
        <v>49</v>
      </c>
      <c r="B76" s="7">
        <v>62404.849529472049</v>
      </c>
      <c r="C76" s="7">
        <v>-3404.8495294720487</v>
      </c>
      <c r="D76" s="7">
        <v>-0.47200895378596125</v>
      </c>
      <c r="F76" s="7">
        <v>44.090909090909086</v>
      </c>
      <c r="G76" s="7">
        <v>62500</v>
      </c>
    </row>
    <row r="77" spans="1:7" x14ac:dyDescent="0.3">
      <c r="A77" s="7">
        <v>50</v>
      </c>
      <c r="B77" s="7">
        <v>76611.914968245925</v>
      </c>
      <c r="C77" s="7">
        <v>-5111.9149682459247</v>
      </c>
      <c r="D77" s="7">
        <v>-0.70865676004739353</v>
      </c>
      <c r="F77" s="7">
        <v>45</v>
      </c>
      <c r="G77" s="7">
        <v>62500</v>
      </c>
    </row>
    <row r="78" spans="1:7" x14ac:dyDescent="0.3">
      <c r="A78" s="7">
        <v>51</v>
      </c>
      <c r="B78" s="7">
        <v>55774.885658044237</v>
      </c>
      <c r="C78" s="7">
        <v>225.11434195576294</v>
      </c>
      <c r="D78" s="7">
        <v>3.1207248399382482E-2</v>
      </c>
      <c r="F78" s="7">
        <v>45.909090909090907</v>
      </c>
      <c r="G78" s="7">
        <v>62500</v>
      </c>
    </row>
    <row r="79" spans="1:7" x14ac:dyDescent="0.3">
      <c r="A79" s="7">
        <v>52</v>
      </c>
      <c r="B79" s="7">
        <v>91292.549254978934</v>
      </c>
      <c r="C79" s="7">
        <v>1207.4507450210658</v>
      </c>
      <c r="D79" s="7">
        <v>0.16738700432199274</v>
      </c>
      <c r="F79" s="7">
        <v>46.818181818181813</v>
      </c>
      <c r="G79" s="7">
        <v>64000</v>
      </c>
    </row>
    <row r="80" spans="1:7" x14ac:dyDescent="0.3">
      <c r="A80" s="7">
        <v>53</v>
      </c>
      <c r="B80" s="7">
        <v>95554.668886611093</v>
      </c>
      <c r="C80" s="7">
        <v>-554.6688866110926</v>
      </c>
      <c r="D80" s="7">
        <v>-7.6892878407910578E-2</v>
      </c>
      <c r="F80" s="7">
        <v>47.727272727272727</v>
      </c>
      <c r="G80" s="7">
        <v>64000</v>
      </c>
    </row>
    <row r="81" spans="1:7" x14ac:dyDescent="0.3">
      <c r="A81" s="7">
        <v>54</v>
      </c>
      <c r="B81" s="7">
        <v>67140.538009063341</v>
      </c>
      <c r="C81" s="7">
        <v>859.46199093665928</v>
      </c>
      <c r="D81" s="7">
        <v>0.11914586875259509</v>
      </c>
      <c r="F81" s="7">
        <v>48.636363636363633</v>
      </c>
      <c r="G81" s="7">
        <v>64500</v>
      </c>
    </row>
    <row r="82" spans="1:7" x14ac:dyDescent="0.3">
      <c r="A82" s="7">
        <v>55</v>
      </c>
      <c r="B82" s="7">
        <v>60037.005289676403</v>
      </c>
      <c r="C82" s="7">
        <v>4962.9947103235972</v>
      </c>
      <c r="D82" s="7">
        <v>0.68801217809714421</v>
      </c>
      <c r="F82" s="7">
        <v>49.54545454545454</v>
      </c>
      <c r="G82" s="7">
        <v>65000</v>
      </c>
    </row>
    <row r="83" spans="1:7" x14ac:dyDescent="0.3">
      <c r="A83" s="7">
        <v>56</v>
      </c>
      <c r="B83" s="7">
        <v>57195.592201921623</v>
      </c>
      <c r="C83" s="7">
        <v>804.4077980783768</v>
      </c>
      <c r="D83" s="7">
        <v>0.111513792284124</v>
      </c>
      <c r="F83" s="7">
        <v>50.454545454545453</v>
      </c>
      <c r="G83" s="7">
        <v>65000</v>
      </c>
    </row>
    <row r="84" spans="1:7" x14ac:dyDescent="0.3">
      <c r="A84" s="7">
        <v>57</v>
      </c>
      <c r="B84" s="7">
        <v>67140.538009063341</v>
      </c>
      <c r="C84" s="7">
        <v>-4640.5380090633407</v>
      </c>
      <c r="D84" s="7">
        <v>-0.64331051099389158</v>
      </c>
      <c r="F84" s="7">
        <v>51.36363636363636</v>
      </c>
      <c r="G84" s="7">
        <v>65000</v>
      </c>
    </row>
    <row r="85" spans="1:7" x14ac:dyDescent="0.3">
      <c r="A85" s="7">
        <v>58</v>
      </c>
      <c r="B85" s="7">
        <v>67140.538009063341</v>
      </c>
      <c r="C85" s="7">
        <v>-4640.5380090633407</v>
      </c>
      <c r="D85" s="7">
        <v>-0.64331051099389158</v>
      </c>
      <c r="F85" s="7">
        <v>52.272727272727266</v>
      </c>
      <c r="G85" s="7">
        <v>65000</v>
      </c>
    </row>
    <row r="86" spans="1:7" x14ac:dyDescent="0.3">
      <c r="A86" s="7">
        <v>59</v>
      </c>
      <c r="B86" s="7">
        <v>60510.574137635529</v>
      </c>
      <c r="C86" s="7">
        <v>4489.425862364471</v>
      </c>
      <c r="D86" s="7">
        <v>0.62236207093793883</v>
      </c>
      <c r="F86" s="7">
        <v>53.18181818181818</v>
      </c>
      <c r="G86" s="7">
        <v>65000</v>
      </c>
    </row>
    <row r="87" spans="1:7" x14ac:dyDescent="0.3">
      <c r="A87" s="7">
        <v>60</v>
      </c>
      <c r="B87" s="7">
        <v>87977.567319265028</v>
      </c>
      <c r="C87" s="7">
        <v>-477.56731926502835</v>
      </c>
      <c r="D87" s="7">
        <v>-6.6204408969463294E-2</v>
      </c>
      <c r="F87" s="7">
        <v>54.090909090909086</v>
      </c>
      <c r="G87" s="7">
        <v>65000</v>
      </c>
    </row>
    <row r="88" spans="1:7" x14ac:dyDescent="0.3">
      <c r="A88" s="7">
        <v>61</v>
      </c>
      <c r="B88" s="7">
        <v>87977.567319265028</v>
      </c>
      <c r="C88" s="7">
        <v>-477.56731926502835</v>
      </c>
      <c r="D88" s="7">
        <v>-6.6204408969463294E-2</v>
      </c>
      <c r="F88" s="7">
        <v>55</v>
      </c>
      <c r="G88" s="7">
        <v>66000</v>
      </c>
    </row>
    <row r="89" spans="1:7" x14ac:dyDescent="0.3">
      <c r="A89" s="7">
        <v>62</v>
      </c>
      <c r="B89" s="7">
        <v>58142.729897839883</v>
      </c>
      <c r="C89" s="7">
        <v>2857.2701021601169</v>
      </c>
      <c r="D89" s="7">
        <v>0.39609887600925037</v>
      </c>
      <c r="F89" s="7">
        <v>55.909090909090907</v>
      </c>
      <c r="G89" s="7">
        <v>66000</v>
      </c>
    </row>
    <row r="90" spans="1:7" x14ac:dyDescent="0.3">
      <c r="A90" s="7">
        <v>63</v>
      </c>
      <c r="B90" s="7">
        <v>70455.519944777247</v>
      </c>
      <c r="C90" s="7">
        <v>-5455.5199447772466</v>
      </c>
      <c r="D90" s="7">
        <v>-0.75629017940538412</v>
      </c>
      <c r="F90" s="7">
        <v>56.818181818181813</v>
      </c>
      <c r="G90" s="7">
        <v>67000</v>
      </c>
    </row>
    <row r="91" spans="1:7" x14ac:dyDescent="0.3">
      <c r="A91" s="7">
        <v>64</v>
      </c>
      <c r="B91" s="7">
        <v>58616.298745799017</v>
      </c>
      <c r="C91" s="7">
        <v>-1116.2987457990166</v>
      </c>
      <c r="D91" s="7">
        <v>-0.15475074553408397</v>
      </c>
      <c r="F91" s="7">
        <v>57.727272727272727</v>
      </c>
      <c r="G91" s="7">
        <v>67000</v>
      </c>
    </row>
    <row r="92" spans="1:7" x14ac:dyDescent="0.3">
      <c r="A92" s="7">
        <v>65</v>
      </c>
      <c r="B92" s="7">
        <v>53407.041418248591</v>
      </c>
      <c r="C92" s="7">
        <v>-3407.0414182485911</v>
      </c>
      <c r="D92" s="7">
        <v>-0.4723128118916648</v>
      </c>
      <c r="F92" s="7">
        <v>58.636363636363633</v>
      </c>
      <c r="G92" s="7">
        <v>67500</v>
      </c>
    </row>
    <row r="93" spans="1:7" x14ac:dyDescent="0.3">
      <c r="A93" s="7">
        <v>66</v>
      </c>
      <c r="B93" s="7">
        <v>54827.747962125977</v>
      </c>
      <c r="C93" s="7">
        <v>172.25203787402279</v>
      </c>
      <c r="D93" s="7">
        <v>2.3879030036614932E-2</v>
      </c>
      <c r="F93" s="7">
        <v>59.54545454545454</v>
      </c>
      <c r="G93" s="7">
        <v>67500</v>
      </c>
    </row>
    <row r="94" spans="1:7" x14ac:dyDescent="0.3">
      <c r="A94" s="7">
        <v>67</v>
      </c>
      <c r="B94" s="7">
        <v>54827.747962125977</v>
      </c>
      <c r="C94" s="7">
        <v>-827.74796212597721</v>
      </c>
      <c r="D94" s="7">
        <v>-0.11474940264456447</v>
      </c>
      <c r="F94" s="7">
        <v>60.454545454545453</v>
      </c>
      <c r="G94" s="7">
        <v>68000</v>
      </c>
    </row>
    <row r="95" spans="1:7" x14ac:dyDescent="0.3">
      <c r="A95" s="7">
        <v>68</v>
      </c>
      <c r="B95" s="7">
        <v>53880.610266207725</v>
      </c>
      <c r="C95" s="7">
        <v>-3880.6102662077246</v>
      </c>
      <c r="D95" s="7">
        <v>-0.53796291905087124</v>
      </c>
      <c r="F95" s="7">
        <v>61.36363636363636</v>
      </c>
      <c r="G95" s="7">
        <v>68500</v>
      </c>
    </row>
    <row r="96" spans="1:7" x14ac:dyDescent="0.3">
      <c r="A96" s="7">
        <v>69</v>
      </c>
      <c r="B96" s="7">
        <v>53407.041418248591</v>
      </c>
      <c r="C96" s="7">
        <v>-3907.0414182485911</v>
      </c>
      <c r="D96" s="7">
        <v>-0.5416270282322545</v>
      </c>
      <c r="F96" s="7">
        <v>62.272727272727266</v>
      </c>
      <c r="G96" s="7">
        <v>70000</v>
      </c>
    </row>
    <row r="97" spans="1:7" x14ac:dyDescent="0.3">
      <c r="A97" s="7">
        <v>70</v>
      </c>
      <c r="B97" s="7">
        <v>61931.280681512922</v>
      </c>
      <c r="C97" s="7">
        <v>15568.719318487078</v>
      </c>
      <c r="D97" s="7">
        <v>2.1582671579750632</v>
      </c>
      <c r="F97" s="7">
        <v>63.18181818181818</v>
      </c>
      <c r="G97" s="7">
        <v>70000</v>
      </c>
    </row>
    <row r="98" spans="1:7" x14ac:dyDescent="0.3">
      <c r="A98" s="7">
        <v>71</v>
      </c>
      <c r="B98" s="7">
        <v>61931.280681512922</v>
      </c>
      <c r="C98" s="7">
        <v>9568.7193184870775</v>
      </c>
      <c r="D98" s="7">
        <v>1.3264965618879867</v>
      </c>
      <c r="F98" s="7">
        <v>64.090909090909093</v>
      </c>
      <c r="G98" s="7">
        <v>71000</v>
      </c>
    </row>
    <row r="99" spans="1:7" x14ac:dyDescent="0.3">
      <c r="A99" s="7">
        <v>72</v>
      </c>
      <c r="B99" s="7">
        <v>81347.603447837217</v>
      </c>
      <c r="C99" s="7">
        <v>-6347.6034478372167</v>
      </c>
      <c r="D99" s="7">
        <v>-0.87995831725532381</v>
      </c>
      <c r="F99" s="7">
        <v>65</v>
      </c>
      <c r="G99" s="7">
        <v>71500</v>
      </c>
    </row>
    <row r="100" spans="1:7" x14ac:dyDescent="0.3">
      <c r="A100" s="7">
        <v>73</v>
      </c>
      <c r="B100" s="7">
        <v>91292.549254978934</v>
      </c>
      <c r="C100" s="7">
        <v>18707.450745021066</v>
      </c>
      <c r="D100" s="7">
        <v>2.5933845762426322</v>
      </c>
      <c r="F100" s="7">
        <v>65.909090909090907</v>
      </c>
      <c r="G100" s="7">
        <v>71500</v>
      </c>
    </row>
    <row r="101" spans="1:7" x14ac:dyDescent="0.3">
      <c r="A101" s="7">
        <v>74</v>
      </c>
      <c r="B101" s="7">
        <v>91292.549254978934</v>
      </c>
      <c r="C101" s="7">
        <v>11207.450745021066</v>
      </c>
      <c r="D101" s="7">
        <v>1.5536713311337866</v>
      </c>
      <c r="F101" s="7">
        <v>66.818181818181813</v>
      </c>
      <c r="G101" s="7">
        <v>72000</v>
      </c>
    </row>
    <row r="102" spans="1:7" x14ac:dyDescent="0.3">
      <c r="A102" s="7">
        <v>75</v>
      </c>
      <c r="B102" s="7">
        <v>91292.549254978934</v>
      </c>
      <c r="C102" s="7">
        <v>23707.450745021066</v>
      </c>
      <c r="D102" s="7">
        <v>3.2865267396485294</v>
      </c>
      <c r="F102" s="7">
        <v>67.72727272727272</v>
      </c>
      <c r="G102" s="7">
        <v>72500</v>
      </c>
    </row>
    <row r="103" spans="1:7" x14ac:dyDescent="0.3">
      <c r="A103" s="7">
        <v>76</v>
      </c>
      <c r="B103" s="7">
        <v>61457.711833553789</v>
      </c>
      <c r="C103" s="7">
        <v>2542.2881664462111</v>
      </c>
      <c r="D103" s="7">
        <v>0.35243342393834759</v>
      </c>
      <c r="F103" s="7">
        <v>68.636363636363626</v>
      </c>
      <c r="G103" s="7">
        <v>72500</v>
      </c>
    </row>
    <row r="104" spans="1:7" x14ac:dyDescent="0.3">
      <c r="A104" s="7">
        <v>77</v>
      </c>
      <c r="B104" s="7">
        <v>59563.436441717276</v>
      </c>
      <c r="C104" s="7">
        <v>1436.5635582827235</v>
      </c>
      <c r="D104" s="7">
        <v>0.19914855453163208</v>
      </c>
      <c r="F104" s="7">
        <v>69.545454545454547</v>
      </c>
      <c r="G104" s="7">
        <v>72500</v>
      </c>
    </row>
    <row r="105" spans="1:7" x14ac:dyDescent="0.3">
      <c r="A105" s="7">
        <v>78</v>
      </c>
      <c r="B105" s="7">
        <v>67614.106857022474</v>
      </c>
      <c r="C105" s="7">
        <v>4885.8931429775257</v>
      </c>
      <c r="D105" s="7">
        <v>0.67732370865869596</v>
      </c>
      <c r="F105" s="7">
        <v>70.454545454545453</v>
      </c>
      <c r="G105" s="7">
        <v>75000</v>
      </c>
    </row>
    <row r="106" spans="1:7" x14ac:dyDescent="0.3">
      <c r="A106" s="7">
        <v>79</v>
      </c>
      <c r="B106" s="7">
        <v>56722.023353962497</v>
      </c>
      <c r="C106" s="7">
        <v>2277.9766460375031</v>
      </c>
      <c r="D106" s="7">
        <v>0.3157923321245088</v>
      </c>
      <c r="F106" s="7">
        <v>71.36363636363636</v>
      </c>
      <c r="G106" s="7">
        <v>75000</v>
      </c>
    </row>
    <row r="107" spans="1:7" x14ac:dyDescent="0.3">
      <c r="A107" s="7">
        <v>80</v>
      </c>
      <c r="B107" s="7">
        <v>65719.831465185955</v>
      </c>
      <c r="C107" s="7">
        <v>29080.168534814045</v>
      </c>
      <c r="D107" s="7">
        <v>4.0313381860858204</v>
      </c>
      <c r="F107" s="7">
        <v>72.272727272727266</v>
      </c>
      <c r="G107" s="7">
        <v>75000</v>
      </c>
    </row>
    <row r="108" spans="1:7" x14ac:dyDescent="0.3">
      <c r="A108" s="7">
        <v>81</v>
      </c>
      <c r="B108" s="7">
        <v>59563.436441717276</v>
      </c>
      <c r="C108" s="7">
        <v>436.56355828272353</v>
      </c>
      <c r="D108" s="7">
        <v>6.0520121850452677E-2</v>
      </c>
      <c r="F108" s="7">
        <v>73.181818181818173</v>
      </c>
      <c r="G108" s="7">
        <v>75000</v>
      </c>
    </row>
    <row r="109" spans="1:7" x14ac:dyDescent="0.3">
      <c r="A109" s="7">
        <v>82</v>
      </c>
      <c r="B109" s="7">
        <v>59563.436441717276</v>
      </c>
      <c r="C109" s="7">
        <v>436.56355828272353</v>
      </c>
      <c r="D109" s="7">
        <v>6.0520121850452677E-2</v>
      </c>
      <c r="F109" s="7">
        <v>74.090909090909093</v>
      </c>
      <c r="G109" s="7">
        <v>75000</v>
      </c>
    </row>
    <row r="110" spans="1:7" x14ac:dyDescent="0.3">
      <c r="A110" s="7">
        <v>83</v>
      </c>
      <c r="B110" s="7">
        <v>86556.860775387642</v>
      </c>
      <c r="C110" s="7">
        <v>-1556.8607753876422</v>
      </c>
      <c r="D110" s="7">
        <v>-0.21582516919479452</v>
      </c>
      <c r="F110" s="7">
        <v>75</v>
      </c>
      <c r="G110" s="7">
        <v>76000</v>
      </c>
    </row>
    <row r="111" spans="1:7" x14ac:dyDescent="0.3">
      <c r="A111" s="7">
        <v>84</v>
      </c>
      <c r="B111" s="7">
        <v>80874.034599878098</v>
      </c>
      <c r="C111" s="7">
        <v>-13874.034599878098</v>
      </c>
      <c r="D111" s="7">
        <v>-1.9233356715455545</v>
      </c>
      <c r="F111" s="7">
        <v>75.909090909090907</v>
      </c>
      <c r="G111" s="7">
        <v>77000</v>
      </c>
    </row>
    <row r="112" spans="1:7" x14ac:dyDescent="0.3">
      <c r="A112" s="7">
        <v>85</v>
      </c>
      <c r="B112" s="7">
        <v>58142.729897839883</v>
      </c>
      <c r="C112" s="7">
        <v>857.27010216011695</v>
      </c>
      <c r="D112" s="7">
        <v>0.11884201064689155</v>
      </c>
      <c r="F112" s="7">
        <v>76.818181818181813</v>
      </c>
      <c r="G112" s="7">
        <v>77500</v>
      </c>
    </row>
    <row r="113" spans="1:7" x14ac:dyDescent="0.3">
      <c r="A113" s="7">
        <v>86</v>
      </c>
      <c r="B113" s="7">
        <v>69508.382248858979</v>
      </c>
      <c r="C113" s="7">
        <v>-5008.3822488589794</v>
      </c>
      <c r="D113" s="7">
        <v>-0.6943041814275609</v>
      </c>
      <c r="F113" s="7">
        <v>77.72727272727272</v>
      </c>
      <c r="G113" s="7">
        <v>78000</v>
      </c>
    </row>
    <row r="114" spans="1:7" x14ac:dyDescent="0.3">
      <c r="A114" s="7">
        <v>87</v>
      </c>
      <c r="B114" s="7">
        <v>67140.538009063341</v>
      </c>
      <c r="C114" s="7">
        <v>-2140.5380090633407</v>
      </c>
      <c r="D114" s="7">
        <v>-0.2967394292909431</v>
      </c>
      <c r="F114" s="7">
        <v>78.636363636363626</v>
      </c>
      <c r="G114" s="7">
        <v>81000</v>
      </c>
    </row>
    <row r="115" spans="1:7" x14ac:dyDescent="0.3">
      <c r="A115" s="7">
        <v>88</v>
      </c>
      <c r="B115" s="7">
        <v>63825.556073349435</v>
      </c>
      <c r="C115" s="7">
        <v>-1325.5560733494349</v>
      </c>
      <c r="D115" s="7">
        <v>-0.18375976087945065</v>
      </c>
      <c r="F115" s="7">
        <v>79.545454545454547</v>
      </c>
      <c r="G115" s="7">
        <v>83500</v>
      </c>
    </row>
    <row r="116" spans="1:7" x14ac:dyDescent="0.3">
      <c r="A116" s="7">
        <v>89</v>
      </c>
      <c r="B116" s="7">
        <v>56248.454506003371</v>
      </c>
      <c r="C116" s="7">
        <v>4151.5454939966294</v>
      </c>
      <c r="D116" s="7">
        <v>0.57552224503736538</v>
      </c>
      <c r="F116" s="7">
        <v>80.454545454545453</v>
      </c>
      <c r="G116" s="7">
        <v>83500</v>
      </c>
    </row>
    <row r="117" spans="1:7" x14ac:dyDescent="0.3">
      <c r="A117" s="7">
        <v>90</v>
      </c>
      <c r="B117" s="7">
        <v>110708.87202130324</v>
      </c>
      <c r="C117" s="7">
        <v>9291.1279786967643</v>
      </c>
      <c r="D117" s="7">
        <v>1.2880145095269868</v>
      </c>
      <c r="F117" s="7">
        <v>81.36363636363636</v>
      </c>
      <c r="G117" s="7">
        <v>84000</v>
      </c>
    </row>
    <row r="118" spans="1:7" x14ac:dyDescent="0.3">
      <c r="A118" s="7">
        <v>91</v>
      </c>
      <c r="B118" s="7">
        <v>103131.77045395717</v>
      </c>
      <c r="C118" s="7">
        <v>-1131.7704539571714</v>
      </c>
      <c r="D118" s="7">
        <v>-0.15689556418694958</v>
      </c>
      <c r="F118" s="7">
        <v>82.272727272727266</v>
      </c>
      <c r="G118" s="7">
        <v>85000</v>
      </c>
    </row>
    <row r="119" spans="1:7" x14ac:dyDescent="0.3">
      <c r="A119" s="7">
        <v>92</v>
      </c>
      <c r="B119" s="7">
        <v>66193.400313145074</v>
      </c>
      <c r="C119" s="7">
        <v>-1193.4003131450736</v>
      </c>
      <c r="D119" s="7">
        <v>-0.16543921497253025</v>
      </c>
      <c r="F119" s="7">
        <v>83.181818181818173</v>
      </c>
      <c r="G119" s="7">
        <v>85000</v>
      </c>
    </row>
    <row r="120" spans="1:7" x14ac:dyDescent="0.3">
      <c r="A120" s="7">
        <v>93</v>
      </c>
      <c r="B120" s="7">
        <v>100763.92621416152</v>
      </c>
      <c r="C120" s="7">
        <v>-6263.9262141615181</v>
      </c>
      <c r="D120" s="7">
        <v>-0.86835827349976491</v>
      </c>
      <c r="F120" s="7">
        <v>84.090909090909093</v>
      </c>
      <c r="G120" s="7">
        <v>87500</v>
      </c>
    </row>
    <row r="121" spans="1:7" x14ac:dyDescent="0.3">
      <c r="A121" s="7">
        <v>94</v>
      </c>
      <c r="B121" s="7">
        <v>62404.849529472049</v>
      </c>
      <c r="C121" s="7">
        <v>-4404.8495294720487</v>
      </c>
      <c r="D121" s="7">
        <v>-0.61063738646714061</v>
      </c>
      <c r="F121" s="7">
        <v>85</v>
      </c>
      <c r="G121" s="7">
        <v>87500</v>
      </c>
    </row>
    <row r="122" spans="1:7" x14ac:dyDescent="0.3">
      <c r="A122" s="7">
        <v>95</v>
      </c>
      <c r="B122" s="7">
        <v>63825.556073349435</v>
      </c>
      <c r="C122" s="7">
        <v>2174.4439266505651</v>
      </c>
      <c r="D122" s="7">
        <v>0.30143975350467728</v>
      </c>
      <c r="F122" s="7">
        <v>85.909090909090907</v>
      </c>
      <c r="G122" s="7">
        <v>90000</v>
      </c>
    </row>
    <row r="123" spans="1:7" x14ac:dyDescent="0.3">
      <c r="A123" s="7">
        <v>96</v>
      </c>
      <c r="B123" s="7">
        <v>54354.179114166851</v>
      </c>
      <c r="C123" s="7">
        <v>8145.8208858331491</v>
      </c>
      <c r="D123" s="7">
        <v>1.1292423823046658</v>
      </c>
      <c r="F123" s="7">
        <v>86.818181818181813</v>
      </c>
      <c r="G123" s="7">
        <v>92000</v>
      </c>
    </row>
    <row r="124" spans="1:7" x14ac:dyDescent="0.3">
      <c r="A124" s="7">
        <v>97</v>
      </c>
      <c r="B124" s="7">
        <v>54354.179114166851</v>
      </c>
      <c r="C124" s="7">
        <v>7345.8208858331491</v>
      </c>
      <c r="D124" s="7">
        <v>1.0183396361597223</v>
      </c>
      <c r="F124" s="7">
        <v>87.72727272727272</v>
      </c>
      <c r="G124" s="7">
        <v>92500</v>
      </c>
    </row>
    <row r="125" spans="1:7" x14ac:dyDescent="0.3">
      <c r="A125" s="7">
        <v>98</v>
      </c>
      <c r="B125" s="7">
        <v>69508.382248858979</v>
      </c>
      <c r="C125" s="7">
        <v>491.61775114102056</v>
      </c>
      <c r="D125" s="7">
        <v>6.8152198318925772E-2</v>
      </c>
      <c r="F125" s="7">
        <v>88.636363636363626</v>
      </c>
      <c r="G125" s="7">
        <v>94500</v>
      </c>
    </row>
    <row r="126" spans="1:7" x14ac:dyDescent="0.3">
      <c r="A126" s="7">
        <v>99</v>
      </c>
      <c r="B126" s="7">
        <v>60510.574137635529</v>
      </c>
      <c r="C126" s="7">
        <v>-4510.574137635529</v>
      </c>
      <c r="D126" s="7">
        <v>-0.62529382319267579</v>
      </c>
      <c r="F126" s="7">
        <v>89.545454545454547</v>
      </c>
      <c r="G126" s="7">
        <v>94800</v>
      </c>
    </row>
    <row r="127" spans="1:7" x14ac:dyDescent="0.3">
      <c r="A127" s="7">
        <v>100</v>
      </c>
      <c r="B127" s="7">
        <v>80874.034599878098</v>
      </c>
      <c r="C127" s="7">
        <v>-13874.034599878098</v>
      </c>
      <c r="D127" s="7">
        <v>-1.9233356715455545</v>
      </c>
      <c r="F127" s="7">
        <v>90.454545454545453</v>
      </c>
      <c r="G127" s="7">
        <v>95000</v>
      </c>
    </row>
    <row r="128" spans="1:7" x14ac:dyDescent="0.3">
      <c r="A128" s="7">
        <v>101</v>
      </c>
      <c r="B128" s="7">
        <v>81347.603447837217</v>
      </c>
      <c r="C128" s="7">
        <v>2152.3965521627833</v>
      </c>
      <c r="D128" s="7">
        <v>0.29838336053470105</v>
      </c>
      <c r="F128" s="7">
        <v>91.36363636363636</v>
      </c>
      <c r="G128" s="7">
        <v>95000</v>
      </c>
    </row>
    <row r="129" spans="1:7" x14ac:dyDescent="0.3">
      <c r="A129" s="7">
        <v>102</v>
      </c>
      <c r="B129" s="7">
        <v>81347.603447837217</v>
      </c>
      <c r="C129" s="7">
        <v>2152.3965521627833</v>
      </c>
      <c r="D129" s="7">
        <v>0.29838336053470105</v>
      </c>
      <c r="F129" s="7">
        <v>92.272727272727266</v>
      </c>
      <c r="G129" s="7">
        <v>98000</v>
      </c>
    </row>
    <row r="130" spans="1:7" x14ac:dyDescent="0.3">
      <c r="A130" s="7">
        <v>103</v>
      </c>
      <c r="B130" s="7">
        <v>55774.885658044237</v>
      </c>
      <c r="C130" s="7">
        <v>-4274.8856580442371</v>
      </c>
      <c r="D130" s="7">
        <v>-0.59262069866592482</v>
      </c>
      <c r="F130" s="7">
        <v>93.181818181818173</v>
      </c>
      <c r="G130" s="7">
        <v>100500</v>
      </c>
    </row>
    <row r="131" spans="1:7" x14ac:dyDescent="0.3">
      <c r="A131" s="7">
        <v>104</v>
      </c>
      <c r="B131" s="7">
        <v>80874.034599878098</v>
      </c>
      <c r="C131" s="7">
        <v>-5874.0345998780977</v>
      </c>
      <c r="D131" s="7">
        <v>-0.81430821009611942</v>
      </c>
      <c r="F131" s="7">
        <v>94.090909090909093</v>
      </c>
      <c r="G131" s="7">
        <v>101500</v>
      </c>
    </row>
    <row r="132" spans="1:7" x14ac:dyDescent="0.3">
      <c r="A132" s="7">
        <v>105</v>
      </c>
      <c r="B132" s="7">
        <v>56722.023353962497</v>
      </c>
      <c r="C132" s="7">
        <v>1277.9766460375031</v>
      </c>
      <c r="D132" s="7">
        <v>0.17716389944332941</v>
      </c>
      <c r="F132" s="7">
        <v>95</v>
      </c>
      <c r="G132" s="7">
        <v>102000</v>
      </c>
    </row>
    <row r="133" spans="1:7" x14ac:dyDescent="0.3">
      <c r="A133" s="7">
        <v>106</v>
      </c>
      <c r="B133" s="7">
        <v>89398.273863142414</v>
      </c>
      <c r="C133" s="7">
        <v>-4398.2738631424145</v>
      </c>
      <c r="D133" s="7">
        <v>-0.60972581215002908</v>
      </c>
      <c r="F133" s="7">
        <v>95.909090909090907</v>
      </c>
      <c r="G133" s="7">
        <v>102500</v>
      </c>
    </row>
    <row r="134" spans="1:7" x14ac:dyDescent="0.3">
      <c r="A134" s="7">
        <v>107</v>
      </c>
      <c r="B134" s="7">
        <v>63825.556073349435</v>
      </c>
      <c r="C134" s="7">
        <v>174.44392665056512</v>
      </c>
      <c r="D134" s="7">
        <v>2.4182888142318462E-2</v>
      </c>
      <c r="F134" s="7">
        <v>96.818181818181813</v>
      </c>
      <c r="G134" s="7">
        <v>105000</v>
      </c>
    </row>
    <row r="135" spans="1:7" x14ac:dyDescent="0.3">
      <c r="A135" s="7">
        <v>108</v>
      </c>
      <c r="B135" s="7">
        <v>80874.034599878098</v>
      </c>
      <c r="C135" s="7">
        <v>-5874.0345998780977</v>
      </c>
      <c r="D135" s="7">
        <v>-0.81430821009611942</v>
      </c>
      <c r="F135" s="7">
        <v>97.72727272727272</v>
      </c>
      <c r="G135" s="7">
        <v>110000</v>
      </c>
    </row>
    <row r="136" spans="1:7" x14ac:dyDescent="0.3">
      <c r="A136" s="7">
        <v>109</v>
      </c>
      <c r="B136" s="7">
        <v>73770.501880491152</v>
      </c>
      <c r="C136" s="7">
        <v>-1270.5018804911524</v>
      </c>
      <c r="D136" s="7">
        <v>-0.17612768441097956</v>
      </c>
      <c r="F136" s="7">
        <v>98.636363636363626</v>
      </c>
      <c r="G136" s="7">
        <v>115000</v>
      </c>
    </row>
    <row r="137" spans="1:7" ht="15" thickBot="1" x14ac:dyDescent="0.35">
      <c r="A137" s="8">
        <v>110</v>
      </c>
      <c r="B137" s="8">
        <v>53407.041418248591</v>
      </c>
      <c r="C137" s="8">
        <v>-2407.0414182485911</v>
      </c>
      <c r="D137" s="8">
        <v>-0.33368437921048538</v>
      </c>
      <c r="F137" s="8">
        <v>99.545454545454547</v>
      </c>
      <c r="G137" s="8">
        <v>120000</v>
      </c>
    </row>
  </sheetData>
  <sortState xmlns:xlrd2="http://schemas.microsoft.com/office/spreadsheetml/2017/richdata2" ref="G28:G137">
    <sortCondition ref="G2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I2" sqref="I2"/>
    </sheetView>
  </sheetViews>
  <sheetFormatPr defaultColWidth="14.44140625" defaultRowHeight="15" customHeight="1" x14ac:dyDescent="0.3"/>
  <cols>
    <col min="1" max="1" width="8.6640625" customWidth="1"/>
    <col min="2" max="2" width="11" customWidth="1"/>
    <col min="3" max="4" width="8.6640625" customWidth="1"/>
    <col min="5" max="5" width="11.88671875" customWidth="1"/>
    <col min="6" max="6" width="10.109375" customWidth="1"/>
    <col min="7" max="8" width="8.6640625" customWidth="1"/>
    <col min="9" max="9" width="14" customWidth="1"/>
    <col min="10" max="25" width="8.6640625" customWidth="1"/>
  </cols>
  <sheetData>
    <row r="1" spans="1:26" ht="8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5">
        <v>11</v>
      </c>
      <c r="B2" s="5">
        <v>4</v>
      </c>
      <c r="C2" s="5">
        <v>11</v>
      </c>
      <c r="D2" s="6">
        <v>5</v>
      </c>
      <c r="E2" s="5" t="s">
        <v>11</v>
      </c>
      <c r="F2" s="5">
        <v>0</v>
      </c>
      <c r="G2" s="5">
        <v>4.9000000000000004</v>
      </c>
      <c r="H2" s="5">
        <v>80000</v>
      </c>
      <c r="I2" s="6">
        <v>134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5">
        <v>12</v>
      </c>
      <c r="B3" s="5">
        <v>5</v>
      </c>
      <c r="C3" s="5">
        <v>12</v>
      </c>
      <c r="D3" s="6">
        <v>3</v>
      </c>
      <c r="E3" s="5" t="s">
        <v>10</v>
      </c>
      <c r="F3" s="5">
        <v>1</v>
      </c>
      <c r="G3" s="5">
        <v>4</v>
      </c>
      <c r="H3" s="5">
        <v>75000</v>
      </c>
      <c r="I3" s="6">
        <v>140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5">
        <v>13</v>
      </c>
      <c r="B4" s="5">
        <v>1</v>
      </c>
      <c r="C4" s="5">
        <v>9</v>
      </c>
      <c r="D4" s="6">
        <v>3</v>
      </c>
      <c r="E4" s="5" t="s">
        <v>9</v>
      </c>
      <c r="F4" s="5">
        <v>0</v>
      </c>
      <c r="G4" s="5">
        <v>3.5</v>
      </c>
      <c r="H4" s="5">
        <v>76000</v>
      </c>
      <c r="I4" s="6">
        <v>139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5">
        <v>14</v>
      </c>
      <c r="B5" s="5">
        <v>2</v>
      </c>
      <c r="C5" s="5">
        <v>9</v>
      </c>
      <c r="D5" s="6">
        <v>4</v>
      </c>
      <c r="E5" s="5" t="s">
        <v>10</v>
      </c>
      <c r="F5" s="5">
        <v>1</v>
      </c>
      <c r="G5" s="5">
        <v>5</v>
      </c>
      <c r="H5" s="5">
        <v>75000</v>
      </c>
      <c r="I5" s="6">
        <v>125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5">
        <v>15</v>
      </c>
      <c r="B6" s="5">
        <v>2</v>
      </c>
      <c r="C6" s="5">
        <v>5</v>
      </c>
      <c r="D6" s="6">
        <v>4</v>
      </c>
      <c r="E6" s="5" t="s">
        <v>10</v>
      </c>
      <c r="F6" s="5">
        <v>0</v>
      </c>
      <c r="G6" s="5">
        <v>4</v>
      </c>
      <c r="H6" s="5">
        <v>67500</v>
      </c>
      <c r="I6" s="6">
        <v>128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5">
        <v>16</v>
      </c>
      <c r="B7" s="5">
        <v>2</v>
      </c>
      <c r="C7" s="5">
        <v>9</v>
      </c>
      <c r="D7" s="6">
        <v>3</v>
      </c>
      <c r="E7" s="5" t="s">
        <v>10</v>
      </c>
      <c r="F7" s="5">
        <v>0</v>
      </c>
      <c r="G7" s="5">
        <v>4</v>
      </c>
      <c r="H7" s="5">
        <v>60000</v>
      </c>
      <c r="I7" s="6">
        <v>126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5">
        <v>17</v>
      </c>
      <c r="B8" s="5">
        <v>4</v>
      </c>
      <c r="C8" s="5">
        <v>11</v>
      </c>
      <c r="D8" s="6">
        <v>4</v>
      </c>
      <c r="E8" s="5" t="s">
        <v>10</v>
      </c>
      <c r="F8" s="5">
        <v>0</v>
      </c>
      <c r="G8" s="5">
        <v>3.6</v>
      </c>
      <c r="H8" s="5">
        <v>72500</v>
      </c>
      <c r="I8" s="6">
        <v>138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5">
        <v>18</v>
      </c>
      <c r="B9" s="5">
        <v>4</v>
      </c>
      <c r="C9" s="5">
        <v>11</v>
      </c>
      <c r="D9" s="6">
        <v>4</v>
      </c>
      <c r="E9" s="5" t="s">
        <v>10</v>
      </c>
      <c r="F9" s="5">
        <v>0</v>
      </c>
      <c r="G9" s="5">
        <v>3.7</v>
      </c>
      <c r="H9" s="5">
        <v>52000</v>
      </c>
      <c r="I9" s="6">
        <v>86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5">
        <v>19</v>
      </c>
      <c r="B10" s="5">
        <v>2</v>
      </c>
      <c r="C10" s="5">
        <v>9</v>
      </c>
      <c r="D10" s="6">
        <v>4</v>
      </c>
      <c r="E10" s="5" t="s">
        <v>10</v>
      </c>
      <c r="F10" s="5">
        <v>0</v>
      </c>
      <c r="G10" s="5">
        <v>4.0999999999999996</v>
      </c>
      <c r="H10" s="5">
        <v>55000</v>
      </c>
      <c r="I10" s="6">
        <v>89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 x14ac:dyDescent="0.3">
      <c r="A11" s="5">
        <v>20</v>
      </c>
      <c r="B11" s="5">
        <v>3</v>
      </c>
      <c r="C11" s="5">
        <v>11</v>
      </c>
      <c r="D11" s="6">
        <v>3</v>
      </c>
      <c r="E11" s="5" t="s">
        <v>10</v>
      </c>
      <c r="F11" s="5">
        <v>0</v>
      </c>
      <c r="G11" s="5">
        <v>4.3</v>
      </c>
      <c r="H11" s="5">
        <v>56000</v>
      </c>
      <c r="I11" s="6">
        <v>89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 x14ac:dyDescent="0.3">
      <c r="A12" s="5">
        <v>21</v>
      </c>
      <c r="B12" s="5">
        <v>3</v>
      </c>
      <c r="C12" s="5">
        <v>9</v>
      </c>
      <c r="D12" s="6">
        <v>3</v>
      </c>
      <c r="E12" s="5" t="s">
        <v>10</v>
      </c>
      <c r="F12" s="5">
        <v>1</v>
      </c>
      <c r="G12" s="5">
        <v>4.3</v>
      </c>
      <c r="H12" s="5">
        <v>60000</v>
      </c>
      <c r="I12" s="6">
        <v>95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 x14ac:dyDescent="0.3">
      <c r="A13" s="5">
        <v>22</v>
      </c>
      <c r="B13" s="5">
        <v>2</v>
      </c>
      <c r="C13" s="5">
        <v>13</v>
      </c>
      <c r="D13" s="6">
        <v>4</v>
      </c>
      <c r="E13" s="5" t="s">
        <v>10</v>
      </c>
      <c r="F13" s="5">
        <v>0</v>
      </c>
      <c r="G13" s="5">
        <v>4.3</v>
      </c>
      <c r="H13" s="5">
        <v>56000</v>
      </c>
      <c r="I13" s="6">
        <v>97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 x14ac:dyDescent="0.3">
      <c r="A14" s="5">
        <v>23</v>
      </c>
      <c r="B14" s="5">
        <v>2</v>
      </c>
      <c r="C14" s="5">
        <v>11</v>
      </c>
      <c r="D14" s="6">
        <v>4</v>
      </c>
      <c r="E14" s="5" t="s">
        <v>10</v>
      </c>
      <c r="F14" s="5">
        <v>1</v>
      </c>
      <c r="G14" s="5">
        <v>4</v>
      </c>
      <c r="H14" s="5">
        <v>57000</v>
      </c>
      <c r="I14" s="6">
        <v>98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 x14ac:dyDescent="0.3">
      <c r="A15" s="5">
        <v>24</v>
      </c>
      <c r="B15" s="5">
        <v>2</v>
      </c>
      <c r="C15" s="5">
        <v>9</v>
      </c>
      <c r="D15" s="6">
        <v>4</v>
      </c>
      <c r="E15" s="5" t="s">
        <v>10</v>
      </c>
      <c r="F15" s="5">
        <v>0</v>
      </c>
      <c r="G15" s="5">
        <v>4</v>
      </c>
      <c r="H15" s="5">
        <v>56500</v>
      </c>
      <c r="I15" s="6">
        <v>98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 x14ac:dyDescent="0.3">
      <c r="A16" s="5">
        <v>25</v>
      </c>
      <c r="B16" s="5">
        <v>1</v>
      </c>
      <c r="C16" s="5">
        <v>11</v>
      </c>
      <c r="D16" s="6">
        <v>4</v>
      </c>
      <c r="E16" s="5" t="s">
        <v>12</v>
      </c>
      <c r="F16" s="5">
        <v>0</v>
      </c>
      <c r="G16" s="5">
        <v>4.5</v>
      </c>
      <c r="H16" s="5">
        <v>58500</v>
      </c>
      <c r="I16" s="6">
        <v>99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 x14ac:dyDescent="0.3">
      <c r="A17" s="5">
        <v>26</v>
      </c>
      <c r="B17" s="5">
        <v>1</v>
      </c>
      <c r="C17" s="5">
        <v>12</v>
      </c>
      <c r="D17" s="6">
        <v>4</v>
      </c>
      <c r="E17" s="5" t="s">
        <v>12</v>
      </c>
      <c r="F17" s="5">
        <v>0</v>
      </c>
      <c r="G17" s="5">
        <v>4</v>
      </c>
      <c r="H17" s="5">
        <v>56500</v>
      </c>
      <c r="I17" s="6">
        <v>99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 x14ac:dyDescent="0.3">
      <c r="A18" s="5">
        <v>27</v>
      </c>
      <c r="B18" s="5">
        <v>4</v>
      </c>
      <c r="C18" s="5">
        <v>13</v>
      </c>
      <c r="D18" s="6">
        <v>5</v>
      </c>
      <c r="E18" s="5" t="s">
        <v>12</v>
      </c>
      <c r="F18" s="5">
        <v>1</v>
      </c>
      <c r="G18" s="5">
        <v>5</v>
      </c>
      <c r="H18" s="5">
        <v>84000</v>
      </c>
      <c r="I18" s="6">
        <v>110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 x14ac:dyDescent="0.3">
      <c r="A19" s="5">
        <v>28</v>
      </c>
      <c r="B19" s="5">
        <v>1</v>
      </c>
      <c r="C19" s="5">
        <v>9</v>
      </c>
      <c r="D19" s="6">
        <v>4</v>
      </c>
      <c r="E19" s="5" t="s">
        <v>11</v>
      </c>
      <c r="F19" s="5">
        <v>0</v>
      </c>
      <c r="G19" s="5">
        <v>4.2</v>
      </c>
      <c r="H19" s="5">
        <v>53000</v>
      </c>
      <c r="I19" s="6">
        <v>83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 x14ac:dyDescent="0.3">
      <c r="A20" s="5">
        <v>29</v>
      </c>
      <c r="B20" s="5">
        <v>2</v>
      </c>
      <c r="C20" s="5">
        <v>9</v>
      </c>
      <c r="D20" s="6">
        <v>4</v>
      </c>
      <c r="E20" s="5" t="s">
        <v>11</v>
      </c>
      <c r="F20" s="5">
        <v>1</v>
      </c>
      <c r="G20" s="5">
        <v>4</v>
      </c>
      <c r="H20" s="5">
        <v>47500</v>
      </c>
      <c r="I20" s="6">
        <v>80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5">
        <v>30</v>
      </c>
      <c r="B21" s="5">
        <v>2</v>
      </c>
      <c r="C21" s="5">
        <v>9</v>
      </c>
      <c r="D21" s="6">
        <v>4</v>
      </c>
      <c r="E21" s="5" t="s">
        <v>11</v>
      </c>
      <c r="F21" s="5">
        <v>0</v>
      </c>
      <c r="G21" s="5">
        <v>3.8</v>
      </c>
      <c r="H21" s="5">
        <v>49500</v>
      </c>
      <c r="I21" s="6">
        <v>80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5">
        <v>31</v>
      </c>
      <c r="B22" s="5">
        <v>1</v>
      </c>
      <c r="C22" s="5">
        <v>9</v>
      </c>
      <c r="D22" s="6">
        <v>3</v>
      </c>
      <c r="E22" s="5" t="s">
        <v>12</v>
      </c>
      <c r="F22" s="5">
        <v>0</v>
      </c>
      <c r="G22" s="5">
        <v>3.9</v>
      </c>
      <c r="H22" s="5">
        <v>50000</v>
      </c>
      <c r="I22" s="6">
        <v>85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5">
        <v>32</v>
      </c>
      <c r="B23" s="5">
        <v>3</v>
      </c>
      <c r="C23" s="5">
        <v>11</v>
      </c>
      <c r="D23" s="6">
        <v>4</v>
      </c>
      <c r="E23" s="5" t="s">
        <v>12</v>
      </c>
      <c r="F23" s="5">
        <v>0</v>
      </c>
      <c r="G23" s="5">
        <v>4.9000000000000004</v>
      </c>
      <c r="H23" s="5">
        <v>62500</v>
      </c>
      <c r="I23" s="6">
        <v>102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5">
        <v>33</v>
      </c>
      <c r="B24" s="5">
        <v>5</v>
      </c>
      <c r="C24" s="5">
        <v>12</v>
      </c>
      <c r="D24" s="6">
        <v>4</v>
      </c>
      <c r="E24" s="5" t="s">
        <v>10</v>
      </c>
      <c r="F24" s="5">
        <v>1</v>
      </c>
      <c r="G24" s="5">
        <v>4</v>
      </c>
      <c r="H24" s="5">
        <v>65000</v>
      </c>
      <c r="I24" s="6">
        <v>106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3">
      <c r="A25" s="5">
        <v>34</v>
      </c>
      <c r="B25" s="5">
        <v>3</v>
      </c>
      <c r="C25" s="5">
        <v>11</v>
      </c>
      <c r="D25" s="6">
        <v>3</v>
      </c>
      <c r="E25" s="5" t="s">
        <v>12</v>
      </c>
      <c r="F25" s="5">
        <v>0</v>
      </c>
      <c r="G25" s="5">
        <v>4.8</v>
      </c>
      <c r="H25" s="5">
        <v>60000</v>
      </c>
      <c r="I25" s="6">
        <v>102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3">
      <c r="A26" s="5">
        <v>35</v>
      </c>
      <c r="B26" s="5">
        <v>5</v>
      </c>
      <c r="C26" s="5">
        <v>12</v>
      </c>
      <c r="D26" s="6">
        <v>4</v>
      </c>
      <c r="E26" s="5" t="s">
        <v>10</v>
      </c>
      <c r="F26" s="5">
        <v>1</v>
      </c>
      <c r="G26" s="5">
        <v>4.8</v>
      </c>
      <c r="H26" s="5">
        <v>70000</v>
      </c>
      <c r="I26" s="6">
        <v>102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5">
        <v>36</v>
      </c>
      <c r="B27" s="5">
        <v>3</v>
      </c>
      <c r="C27" s="5">
        <v>11</v>
      </c>
      <c r="D27" s="6">
        <v>3</v>
      </c>
      <c r="E27" s="5" t="s">
        <v>12</v>
      </c>
      <c r="F27" s="5">
        <v>1</v>
      </c>
      <c r="G27" s="5">
        <v>4.4000000000000004</v>
      </c>
      <c r="H27" s="5">
        <v>62500</v>
      </c>
      <c r="I27" s="6">
        <v>102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5">
        <v>37</v>
      </c>
      <c r="B28" s="5">
        <v>2</v>
      </c>
      <c r="C28" s="5">
        <v>9</v>
      </c>
      <c r="D28" s="6">
        <v>5</v>
      </c>
      <c r="E28" s="5" t="s">
        <v>10</v>
      </c>
      <c r="F28" s="5">
        <v>1</v>
      </c>
      <c r="G28" s="5">
        <v>4.4000000000000004</v>
      </c>
      <c r="H28" s="5">
        <v>67500</v>
      </c>
      <c r="I28" s="6">
        <v>102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5">
        <v>38</v>
      </c>
      <c r="B29" s="5">
        <v>1</v>
      </c>
      <c r="C29" s="6">
        <v>9</v>
      </c>
      <c r="D29" s="6">
        <v>4</v>
      </c>
      <c r="E29" s="6" t="s">
        <v>11</v>
      </c>
      <c r="F29" s="6">
        <v>0</v>
      </c>
      <c r="G29" s="6">
        <v>4.2</v>
      </c>
      <c r="H29" s="6">
        <v>49000</v>
      </c>
      <c r="I29" s="6">
        <v>83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5">
        <v>39</v>
      </c>
      <c r="B30" s="5">
        <v>3</v>
      </c>
      <c r="C30" s="6">
        <v>11</v>
      </c>
      <c r="D30" s="6">
        <v>4</v>
      </c>
      <c r="E30" s="6" t="s">
        <v>11</v>
      </c>
      <c r="F30" s="6">
        <v>1</v>
      </c>
      <c r="G30" s="6">
        <v>5</v>
      </c>
      <c r="H30" s="6">
        <v>72000</v>
      </c>
      <c r="I30" s="6">
        <v>90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5">
        <v>40</v>
      </c>
      <c r="B31" s="5">
        <v>1</v>
      </c>
      <c r="C31" s="6">
        <v>9</v>
      </c>
      <c r="D31" s="6">
        <v>4</v>
      </c>
      <c r="E31" s="6" t="s">
        <v>11</v>
      </c>
      <c r="F31" s="6">
        <v>0</v>
      </c>
      <c r="G31" s="6">
        <v>4</v>
      </c>
      <c r="H31" s="6">
        <v>56000</v>
      </c>
      <c r="I31" s="6">
        <v>86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5">
        <v>41</v>
      </c>
      <c r="B32" s="5">
        <v>3</v>
      </c>
      <c r="C32" s="6">
        <v>9</v>
      </c>
      <c r="D32" s="6">
        <v>3</v>
      </c>
      <c r="E32" s="6" t="s">
        <v>12</v>
      </c>
      <c r="F32" s="6">
        <v>0</v>
      </c>
      <c r="G32" s="6">
        <v>4.0999999999999996</v>
      </c>
      <c r="H32" s="6">
        <v>58000</v>
      </c>
      <c r="I32" s="6">
        <v>89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5">
        <v>42</v>
      </c>
      <c r="B33" s="5">
        <v>3</v>
      </c>
      <c r="C33" s="6">
        <v>11</v>
      </c>
      <c r="D33" s="6">
        <v>3</v>
      </c>
      <c r="E33" s="6" t="s">
        <v>12</v>
      </c>
      <c r="F33" s="6">
        <v>0</v>
      </c>
      <c r="G33" s="6">
        <v>4.0999999999999996</v>
      </c>
      <c r="H33" s="6">
        <v>55000</v>
      </c>
      <c r="I33" s="6">
        <v>85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5">
        <v>43</v>
      </c>
      <c r="B34" s="5">
        <v>1</v>
      </c>
      <c r="C34" s="6">
        <v>13</v>
      </c>
      <c r="D34" s="6">
        <v>4</v>
      </c>
      <c r="E34" s="6" t="s">
        <v>12</v>
      </c>
      <c r="F34" s="6">
        <v>0</v>
      </c>
      <c r="G34" s="6">
        <v>5</v>
      </c>
      <c r="H34" s="6">
        <v>92000</v>
      </c>
      <c r="I34" s="6">
        <v>120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5">
        <v>44</v>
      </c>
      <c r="B35" s="5">
        <v>4</v>
      </c>
      <c r="C35" s="6">
        <v>9</v>
      </c>
      <c r="D35" s="6">
        <v>5</v>
      </c>
      <c r="E35" s="6" t="s">
        <v>12</v>
      </c>
      <c r="F35" s="6">
        <v>1</v>
      </c>
      <c r="G35" s="6">
        <v>4</v>
      </c>
      <c r="H35" s="6">
        <v>98000</v>
      </c>
      <c r="I35" s="6">
        <v>185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5">
        <v>45</v>
      </c>
      <c r="B36" s="5">
        <v>2</v>
      </c>
      <c r="C36" s="6">
        <v>11</v>
      </c>
      <c r="D36" s="6">
        <v>3</v>
      </c>
      <c r="E36" s="6" t="s">
        <v>9</v>
      </c>
      <c r="F36" s="6">
        <v>0</v>
      </c>
      <c r="G36" s="6">
        <v>3</v>
      </c>
      <c r="H36" s="6">
        <v>78000</v>
      </c>
      <c r="I36" s="6">
        <v>92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5">
        <v>46</v>
      </c>
      <c r="B37" s="5">
        <v>5</v>
      </c>
      <c r="C37" s="6">
        <v>13</v>
      </c>
      <c r="D37" s="6">
        <v>4</v>
      </c>
      <c r="E37" s="6" t="s">
        <v>10</v>
      </c>
      <c r="F37" s="6">
        <v>1</v>
      </c>
      <c r="G37" s="6">
        <v>4.8</v>
      </c>
      <c r="H37" s="6">
        <v>90000</v>
      </c>
      <c r="I37" s="6">
        <v>160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5">
        <v>47</v>
      </c>
      <c r="B38" s="5">
        <v>3</v>
      </c>
      <c r="C38" s="6">
        <v>13</v>
      </c>
      <c r="D38" s="6">
        <v>4</v>
      </c>
      <c r="E38" s="6" t="s">
        <v>10</v>
      </c>
      <c r="F38" s="6">
        <v>1</v>
      </c>
      <c r="G38" s="6">
        <v>4.9000000000000004</v>
      </c>
      <c r="H38" s="6">
        <v>105000</v>
      </c>
      <c r="I38" s="6">
        <v>202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5">
        <v>48</v>
      </c>
      <c r="B39" s="5">
        <v>2</v>
      </c>
      <c r="C39" s="6">
        <v>13</v>
      </c>
      <c r="D39" s="6">
        <v>5</v>
      </c>
      <c r="E39" s="6" t="s">
        <v>10</v>
      </c>
      <c r="F39" s="6">
        <v>1</v>
      </c>
      <c r="G39" s="6">
        <v>4.8</v>
      </c>
      <c r="H39" s="6">
        <v>101500</v>
      </c>
      <c r="I39" s="6">
        <v>165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5">
        <v>49</v>
      </c>
      <c r="B40" s="5">
        <v>3</v>
      </c>
      <c r="C40" s="6">
        <v>11</v>
      </c>
      <c r="D40" s="6">
        <v>3</v>
      </c>
      <c r="E40" s="6" t="s">
        <v>9</v>
      </c>
      <c r="F40" s="6">
        <v>1</v>
      </c>
      <c r="G40" s="6">
        <v>5</v>
      </c>
      <c r="H40" s="6">
        <v>95000</v>
      </c>
      <c r="I40" s="6">
        <v>156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5">
        <v>50</v>
      </c>
      <c r="B41" s="5">
        <v>4</v>
      </c>
      <c r="C41" s="6">
        <v>11</v>
      </c>
      <c r="D41" s="6">
        <v>4</v>
      </c>
      <c r="E41" s="6" t="s">
        <v>10</v>
      </c>
      <c r="F41" s="6">
        <v>1</v>
      </c>
      <c r="G41" s="6">
        <v>4.5</v>
      </c>
      <c r="H41" s="6">
        <v>81000</v>
      </c>
      <c r="I41" s="6">
        <v>150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5">
        <v>51</v>
      </c>
      <c r="B42" s="5">
        <v>2</v>
      </c>
      <c r="C42" s="6">
        <v>9</v>
      </c>
      <c r="D42" s="6">
        <v>4</v>
      </c>
      <c r="E42" s="6" t="s">
        <v>10</v>
      </c>
      <c r="F42" s="6">
        <v>1</v>
      </c>
      <c r="G42" s="6">
        <v>4.5</v>
      </c>
      <c r="H42" s="6">
        <v>62000</v>
      </c>
      <c r="I42" s="6">
        <v>95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5">
        <v>52</v>
      </c>
      <c r="B43" s="5">
        <v>1</v>
      </c>
      <c r="C43" s="6">
        <v>9</v>
      </c>
      <c r="D43" s="6">
        <v>3</v>
      </c>
      <c r="E43" s="6" t="s">
        <v>9</v>
      </c>
      <c r="F43" s="6">
        <v>0</v>
      </c>
      <c r="G43" s="6">
        <v>4.2</v>
      </c>
      <c r="H43" s="6">
        <v>52000</v>
      </c>
      <c r="I43" s="6">
        <v>80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5">
        <v>53</v>
      </c>
      <c r="B44" s="5">
        <v>5</v>
      </c>
      <c r="C44" s="6">
        <v>11</v>
      </c>
      <c r="D44" s="6">
        <v>4</v>
      </c>
      <c r="E44" s="6" t="s">
        <v>10</v>
      </c>
      <c r="F44" s="6">
        <v>1</v>
      </c>
      <c r="G44" s="6">
        <v>5</v>
      </c>
      <c r="H44" s="6">
        <v>100500</v>
      </c>
      <c r="I44" s="6">
        <v>173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5">
        <v>54</v>
      </c>
      <c r="B45" s="5">
        <v>5</v>
      </c>
      <c r="C45" s="6">
        <v>13</v>
      </c>
      <c r="D45" s="6">
        <v>3</v>
      </c>
      <c r="E45" s="6" t="s">
        <v>9</v>
      </c>
      <c r="F45" s="6">
        <v>0</v>
      </c>
      <c r="G45" s="6">
        <v>4.3</v>
      </c>
      <c r="H45" s="6">
        <v>68500</v>
      </c>
      <c r="I45" s="6">
        <v>123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5">
        <v>55</v>
      </c>
      <c r="B46" s="5">
        <v>5</v>
      </c>
      <c r="C46" s="6">
        <v>11</v>
      </c>
      <c r="D46" s="6">
        <v>4</v>
      </c>
      <c r="E46" s="6" t="s">
        <v>10</v>
      </c>
      <c r="F46" s="6">
        <v>1</v>
      </c>
      <c r="G46" s="6">
        <v>4</v>
      </c>
      <c r="H46" s="6">
        <v>71000</v>
      </c>
      <c r="I46" s="6">
        <v>128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5">
        <v>56</v>
      </c>
      <c r="B47" s="5">
        <v>2</v>
      </c>
      <c r="C47" s="6">
        <v>9</v>
      </c>
      <c r="D47" s="6">
        <v>4</v>
      </c>
      <c r="E47" s="6" t="s">
        <v>10</v>
      </c>
      <c r="F47" s="6">
        <v>0</v>
      </c>
      <c r="G47" s="6">
        <v>4</v>
      </c>
      <c r="H47" s="6">
        <v>66000</v>
      </c>
      <c r="I47" s="6">
        <v>116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5">
        <v>57</v>
      </c>
      <c r="B48" s="5">
        <v>3</v>
      </c>
      <c r="C48" s="6">
        <v>11</v>
      </c>
      <c r="D48" s="6">
        <v>4</v>
      </c>
      <c r="E48" s="6" t="s">
        <v>11</v>
      </c>
      <c r="F48" s="6">
        <v>0</v>
      </c>
      <c r="G48" s="6">
        <v>4</v>
      </c>
      <c r="H48" s="6">
        <v>60000</v>
      </c>
      <c r="I48" s="6">
        <v>90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5">
        <v>58</v>
      </c>
      <c r="B49" s="5">
        <v>3</v>
      </c>
      <c r="C49" s="6">
        <v>13</v>
      </c>
      <c r="D49" s="6">
        <v>4</v>
      </c>
      <c r="E49" s="6" t="s">
        <v>11</v>
      </c>
      <c r="F49" s="6">
        <v>0</v>
      </c>
      <c r="G49" s="6">
        <v>3.9</v>
      </c>
      <c r="H49" s="6">
        <v>56000</v>
      </c>
      <c r="I49" s="6">
        <v>95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5">
        <v>59</v>
      </c>
      <c r="B50" s="5">
        <v>4</v>
      </c>
      <c r="C50" s="6">
        <v>9</v>
      </c>
      <c r="D50" s="6">
        <v>4</v>
      </c>
      <c r="E50" s="6" t="s">
        <v>10</v>
      </c>
      <c r="F50" s="6">
        <v>0</v>
      </c>
      <c r="G50" s="6">
        <v>5</v>
      </c>
      <c r="H50" s="6">
        <v>77000</v>
      </c>
      <c r="I50" s="6">
        <v>129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5">
        <v>60</v>
      </c>
      <c r="B51" s="5">
        <v>4</v>
      </c>
      <c r="C51" s="6">
        <v>11</v>
      </c>
      <c r="D51" s="6">
        <v>4</v>
      </c>
      <c r="E51" s="6" t="s">
        <v>10</v>
      </c>
      <c r="F51" s="6">
        <v>1</v>
      </c>
      <c r="G51" s="6">
        <v>4.0999999999999996</v>
      </c>
      <c r="H51" s="6">
        <v>59000</v>
      </c>
      <c r="I51" s="6">
        <v>99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5">
        <v>61</v>
      </c>
      <c r="B52" s="5">
        <v>4</v>
      </c>
      <c r="C52" s="6">
        <v>11</v>
      </c>
      <c r="D52" s="6">
        <v>4</v>
      </c>
      <c r="E52" s="6" t="s">
        <v>10</v>
      </c>
      <c r="F52" s="6">
        <v>1</v>
      </c>
      <c r="G52" s="6">
        <v>4.0999999999999996</v>
      </c>
      <c r="H52" s="6">
        <v>71500</v>
      </c>
      <c r="I52" s="6">
        <v>129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5">
        <v>62</v>
      </c>
      <c r="B53" s="5">
        <v>3</v>
      </c>
      <c r="C53" s="6">
        <v>13</v>
      </c>
      <c r="D53" s="6">
        <v>4</v>
      </c>
      <c r="E53" s="6" t="s">
        <v>11</v>
      </c>
      <c r="F53" s="6">
        <v>1</v>
      </c>
      <c r="G53" s="6">
        <v>5.0999999999999996</v>
      </c>
      <c r="H53" s="6">
        <v>56000</v>
      </c>
      <c r="I53" s="6">
        <v>85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5">
        <v>63</v>
      </c>
      <c r="B54" s="5">
        <v>3</v>
      </c>
      <c r="C54" s="6">
        <v>11</v>
      </c>
      <c r="D54" s="6">
        <v>5</v>
      </c>
      <c r="E54" s="6" t="s">
        <v>9</v>
      </c>
      <c r="F54" s="6">
        <v>0</v>
      </c>
      <c r="G54" s="6">
        <v>4.9000000000000004</v>
      </c>
      <c r="H54" s="6">
        <v>92500</v>
      </c>
      <c r="I54" s="6">
        <v>160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5">
        <v>64</v>
      </c>
      <c r="B55" s="5">
        <v>1</v>
      </c>
      <c r="C55" s="6">
        <v>9</v>
      </c>
      <c r="D55" s="6">
        <v>4</v>
      </c>
      <c r="E55" s="6" t="s">
        <v>9</v>
      </c>
      <c r="F55" s="6">
        <v>0</v>
      </c>
      <c r="G55" s="6">
        <v>4.0999999999999996</v>
      </c>
      <c r="H55" s="6">
        <v>95000</v>
      </c>
      <c r="I55" s="6">
        <v>169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5">
        <v>65</v>
      </c>
      <c r="B56" s="5">
        <v>3</v>
      </c>
      <c r="C56" s="6">
        <v>11</v>
      </c>
      <c r="D56" s="6">
        <v>4</v>
      </c>
      <c r="E56" s="6" t="s">
        <v>10</v>
      </c>
      <c r="F56" s="6">
        <v>1</v>
      </c>
      <c r="G56" s="6">
        <v>4.8</v>
      </c>
      <c r="H56" s="6">
        <v>68000</v>
      </c>
      <c r="I56" s="6">
        <v>109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5">
        <v>66</v>
      </c>
      <c r="B57" s="5">
        <v>2</v>
      </c>
      <c r="C57" s="6">
        <v>9</v>
      </c>
      <c r="D57" s="6">
        <v>5</v>
      </c>
      <c r="E57" s="6" t="s">
        <v>10</v>
      </c>
      <c r="F57" s="6">
        <v>1</v>
      </c>
      <c r="G57" s="6">
        <v>5.2</v>
      </c>
      <c r="H57" s="6">
        <v>65000</v>
      </c>
      <c r="I57" s="6">
        <v>94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5">
        <v>67</v>
      </c>
      <c r="B58" s="5">
        <v>1</v>
      </c>
      <c r="C58" s="6">
        <v>11</v>
      </c>
      <c r="D58" s="6">
        <v>5</v>
      </c>
      <c r="E58" s="6" t="s">
        <v>10</v>
      </c>
      <c r="F58" s="6">
        <v>1</v>
      </c>
      <c r="G58" s="6">
        <v>5.2</v>
      </c>
      <c r="H58" s="6">
        <v>58000</v>
      </c>
      <c r="I58" s="6">
        <v>88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5">
        <v>68</v>
      </c>
      <c r="B59" s="5">
        <v>1</v>
      </c>
      <c r="C59" s="6">
        <v>9</v>
      </c>
      <c r="D59" s="6">
        <v>3</v>
      </c>
      <c r="E59" s="6" t="s">
        <v>11</v>
      </c>
      <c r="F59" s="6">
        <v>0</v>
      </c>
      <c r="G59" s="6">
        <v>4</v>
      </c>
      <c r="H59" s="6">
        <v>62500</v>
      </c>
      <c r="I59" s="6">
        <v>109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5">
        <v>69</v>
      </c>
      <c r="B60" s="5">
        <v>2</v>
      </c>
      <c r="C60" s="6">
        <v>13</v>
      </c>
      <c r="D60" s="6">
        <v>4</v>
      </c>
      <c r="E60" s="6" t="s">
        <v>12</v>
      </c>
      <c r="F60" s="6">
        <v>2</v>
      </c>
      <c r="G60" s="6">
        <v>4.0999999999999996</v>
      </c>
      <c r="H60" s="6">
        <v>62500</v>
      </c>
      <c r="I60" s="6">
        <v>109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5">
        <v>70</v>
      </c>
      <c r="B61" s="5">
        <v>1</v>
      </c>
      <c r="C61" s="6">
        <v>11</v>
      </c>
      <c r="D61" s="6">
        <v>4</v>
      </c>
      <c r="E61" s="6" t="s">
        <v>10</v>
      </c>
      <c r="F61" s="6">
        <v>0</v>
      </c>
      <c r="G61" s="6">
        <v>4.8</v>
      </c>
      <c r="H61" s="6">
        <v>65000</v>
      </c>
      <c r="I61" s="6">
        <v>95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5">
        <v>71</v>
      </c>
      <c r="B62" s="5">
        <v>4</v>
      </c>
      <c r="C62" s="6">
        <v>11</v>
      </c>
      <c r="D62" s="6">
        <v>5</v>
      </c>
      <c r="E62" s="6" t="s">
        <v>10</v>
      </c>
      <c r="F62" s="6">
        <v>1</v>
      </c>
      <c r="G62" s="6">
        <v>4.7</v>
      </c>
      <c r="H62" s="6">
        <v>87500</v>
      </c>
      <c r="I62" s="6">
        <v>153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5">
        <v>72</v>
      </c>
      <c r="B63" s="5">
        <v>5</v>
      </c>
      <c r="C63" s="6">
        <v>11</v>
      </c>
      <c r="D63" s="6">
        <v>4</v>
      </c>
      <c r="E63" s="6" t="s">
        <v>10</v>
      </c>
      <c r="F63" s="6">
        <v>1</v>
      </c>
      <c r="G63" s="6">
        <v>4.7</v>
      </c>
      <c r="H63" s="6">
        <v>87500</v>
      </c>
      <c r="I63" s="6">
        <v>153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5">
        <v>73</v>
      </c>
      <c r="B64" s="5">
        <v>1</v>
      </c>
      <c r="C64" s="6">
        <v>9</v>
      </c>
      <c r="D64" s="6">
        <v>3</v>
      </c>
      <c r="E64" s="6" t="s">
        <v>11</v>
      </c>
      <c r="F64" s="6">
        <v>1</v>
      </c>
      <c r="G64" s="6">
        <v>3.8</v>
      </c>
      <c r="H64" s="6">
        <v>61000</v>
      </c>
      <c r="I64" s="6">
        <v>90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5">
        <v>74</v>
      </c>
      <c r="B65" s="5">
        <v>3</v>
      </c>
      <c r="C65" s="6">
        <v>13</v>
      </c>
      <c r="D65" s="6">
        <v>4</v>
      </c>
      <c r="E65" s="6" t="s">
        <v>10</v>
      </c>
      <c r="F65" s="6">
        <v>0</v>
      </c>
      <c r="G65" s="6">
        <v>4.8</v>
      </c>
      <c r="H65" s="6">
        <v>65000</v>
      </c>
      <c r="I65" s="6">
        <v>116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5">
        <v>75</v>
      </c>
      <c r="B66" s="5">
        <v>2</v>
      </c>
      <c r="C66" s="6">
        <v>9</v>
      </c>
      <c r="D66" s="6">
        <v>3</v>
      </c>
      <c r="E66" s="6" t="s">
        <v>11</v>
      </c>
      <c r="F66" s="6">
        <v>0</v>
      </c>
      <c r="G66" s="6">
        <v>3.5</v>
      </c>
      <c r="H66" s="6">
        <v>57500</v>
      </c>
      <c r="I66" s="6">
        <v>91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5">
        <v>76</v>
      </c>
      <c r="B67" s="5">
        <v>1</v>
      </c>
      <c r="C67" s="6">
        <v>11</v>
      </c>
      <c r="D67" s="6">
        <v>4</v>
      </c>
      <c r="E67" s="6" t="s">
        <v>12</v>
      </c>
      <c r="F67" s="6">
        <v>0</v>
      </c>
      <c r="G67" s="6">
        <v>4.9000000000000004</v>
      </c>
      <c r="H67" s="6">
        <v>50000</v>
      </c>
      <c r="I67" s="6">
        <v>80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5">
        <v>77</v>
      </c>
      <c r="B68" s="5">
        <v>1</v>
      </c>
      <c r="C68" s="6">
        <v>11</v>
      </c>
      <c r="D68" s="6">
        <v>4</v>
      </c>
      <c r="E68" s="6" t="s">
        <v>12</v>
      </c>
      <c r="F68" s="6">
        <v>1</v>
      </c>
      <c r="G68" s="6">
        <v>4.9000000000000004</v>
      </c>
      <c r="H68" s="6">
        <v>55000</v>
      </c>
      <c r="I68" s="6">
        <v>83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5">
        <v>78</v>
      </c>
      <c r="B69" s="5">
        <v>1</v>
      </c>
      <c r="C69" s="6">
        <v>9</v>
      </c>
      <c r="D69" s="6">
        <v>4</v>
      </c>
      <c r="E69" s="6" t="s">
        <v>10</v>
      </c>
      <c r="F69" s="6">
        <v>1</v>
      </c>
      <c r="G69" s="6">
        <v>4.9000000000000004</v>
      </c>
      <c r="H69" s="6">
        <v>54000</v>
      </c>
      <c r="I69" s="6">
        <v>83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5">
        <v>79</v>
      </c>
      <c r="B70" s="5">
        <v>2</v>
      </c>
      <c r="C70" s="6">
        <v>11</v>
      </c>
      <c r="D70" s="6">
        <v>4</v>
      </c>
      <c r="E70" s="6" t="s">
        <v>10</v>
      </c>
      <c r="F70" s="6">
        <v>0</v>
      </c>
      <c r="G70" s="6">
        <v>4</v>
      </c>
      <c r="H70" s="6">
        <v>50000</v>
      </c>
      <c r="I70" s="6">
        <v>81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5">
        <v>80</v>
      </c>
      <c r="B71" s="5">
        <v>1</v>
      </c>
      <c r="C71" s="6">
        <v>9</v>
      </c>
      <c r="D71" s="6">
        <v>4</v>
      </c>
      <c r="E71" s="6" t="s">
        <v>9</v>
      </c>
      <c r="F71" s="6">
        <v>0</v>
      </c>
      <c r="G71" s="6">
        <v>3.8</v>
      </c>
      <c r="H71" s="6">
        <v>49500</v>
      </c>
      <c r="I71" s="6">
        <v>80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5">
        <v>81</v>
      </c>
      <c r="B72" s="5">
        <v>1</v>
      </c>
      <c r="C72" s="6">
        <v>11</v>
      </c>
      <c r="D72" s="6">
        <v>4</v>
      </c>
      <c r="E72" s="6" t="s">
        <v>10</v>
      </c>
      <c r="F72" s="6">
        <v>1</v>
      </c>
      <c r="G72" s="6">
        <v>4.2</v>
      </c>
      <c r="H72" s="6">
        <v>77500</v>
      </c>
      <c r="I72" s="6">
        <v>98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5">
        <v>82</v>
      </c>
      <c r="B73" s="5">
        <v>2</v>
      </c>
      <c r="C73" s="6">
        <v>9</v>
      </c>
      <c r="D73" s="6">
        <v>4</v>
      </c>
      <c r="E73" s="6" t="s">
        <v>9</v>
      </c>
      <c r="F73" s="6">
        <v>1</v>
      </c>
      <c r="G73" s="6">
        <v>4.2</v>
      </c>
      <c r="H73" s="6">
        <v>71500</v>
      </c>
      <c r="I73" s="6">
        <v>98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5">
        <v>83</v>
      </c>
      <c r="B74" s="5">
        <v>5</v>
      </c>
      <c r="C74" s="6">
        <v>13</v>
      </c>
      <c r="D74" s="6">
        <v>4</v>
      </c>
      <c r="E74" s="6" t="s">
        <v>10</v>
      </c>
      <c r="F74" s="6">
        <v>1</v>
      </c>
      <c r="G74" s="6">
        <v>4.3</v>
      </c>
      <c r="H74" s="6">
        <v>75000</v>
      </c>
      <c r="I74" s="6">
        <v>139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5">
        <v>84</v>
      </c>
      <c r="B75" s="5">
        <v>5</v>
      </c>
      <c r="C75" s="6">
        <v>11</v>
      </c>
      <c r="D75" s="6">
        <v>5</v>
      </c>
      <c r="E75" s="6" t="s">
        <v>10</v>
      </c>
      <c r="F75" s="6">
        <v>1</v>
      </c>
      <c r="G75" s="6">
        <v>6</v>
      </c>
      <c r="H75" s="6">
        <v>110000</v>
      </c>
      <c r="I75" s="6">
        <v>160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5">
        <v>85</v>
      </c>
      <c r="B76" s="5">
        <v>5</v>
      </c>
      <c r="C76" s="6">
        <v>13</v>
      </c>
      <c r="D76" s="6">
        <v>5</v>
      </c>
      <c r="E76" s="6" t="s">
        <v>10</v>
      </c>
      <c r="F76" s="6">
        <v>1</v>
      </c>
      <c r="G76" s="6">
        <v>5.3</v>
      </c>
      <c r="H76" s="6">
        <v>102500</v>
      </c>
      <c r="I76" s="6">
        <v>160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5">
        <v>86</v>
      </c>
      <c r="B77" s="5">
        <v>5</v>
      </c>
      <c r="C77" s="6">
        <v>11</v>
      </c>
      <c r="D77" s="6">
        <v>5</v>
      </c>
      <c r="E77" s="6" t="s">
        <v>9</v>
      </c>
      <c r="F77" s="6">
        <v>1</v>
      </c>
      <c r="G77" s="6">
        <v>6</v>
      </c>
      <c r="H77" s="6">
        <v>115000</v>
      </c>
      <c r="I77" s="6">
        <v>160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5">
        <v>87</v>
      </c>
      <c r="B78" s="5">
        <v>1</v>
      </c>
      <c r="C78" s="6">
        <v>9</v>
      </c>
      <c r="D78" s="6">
        <v>5</v>
      </c>
      <c r="E78" s="6" t="s">
        <v>12</v>
      </c>
      <c r="F78" s="6">
        <v>0</v>
      </c>
      <c r="G78" s="6">
        <v>5.0999999999999996</v>
      </c>
      <c r="H78" s="6">
        <v>64000</v>
      </c>
      <c r="I78" s="6">
        <v>97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5">
        <v>88</v>
      </c>
      <c r="B79" s="5">
        <v>5</v>
      </c>
      <c r="C79" s="6">
        <v>9</v>
      </c>
      <c r="D79" s="6">
        <v>4</v>
      </c>
      <c r="E79" s="6" t="s">
        <v>10</v>
      </c>
      <c r="F79" s="6">
        <v>0</v>
      </c>
      <c r="G79" s="6">
        <v>4.8</v>
      </c>
      <c r="H79" s="6">
        <v>61000</v>
      </c>
      <c r="I79" s="6">
        <v>93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5">
        <v>89</v>
      </c>
      <c r="B80" s="5">
        <v>2</v>
      </c>
      <c r="C80" s="6">
        <v>11</v>
      </c>
      <c r="D80" s="6">
        <v>5</v>
      </c>
      <c r="E80" s="6" t="s">
        <v>9</v>
      </c>
      <c r="F80" s="6">
        <v>1</v>
      </c>
      <c r="G80" s="6">
        <v>5.2</v>
      </c>
      <c r="H80" s="6">
        <v>72500</v>
      </c>
      <c r="I80" s="6">
        <v>110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5">
        <v>90</v>
      </c>
      <c r="B81" s="5">
        <v>1</v>
      </c>
      <c r="C81" s="6">
        <v>12</v>
      </c>
      <c r="D81" s="6">
        <v>3</v>
      </c>
      <c r="E81" s="6" t="s">
        <v>10</v>
      </c>
      <c r="F81" s="6">
        <v>0</v>
      </c>
      <c r="G81" s="6">
        <v>3.9</v>
      </c>
      <c r="H81" s="6">
        <v>59000</v>
      </c>
      <c r="I81" s="6">
        <v>87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5">
        <v>91</v>
      </c>
      <c r="B82" s="5">
        <v>2</v>
      </c>
      <c r="C82" s="6">
        <v>9</v>
      </c>
      <c r="D82" s="6">
        <v>3</v>
      </c>
      <c r="E82" s="6" t="s">
        <v>10</v>
      </c>
      <c r="F82" s="6">
        <v>0</v>
      </c>
      <c r="G82" s="6">
        <v>3.6</v>
      </c>
      <c r="H82" s="6">
        <v>94800</v>
      </c>
      <c r="I82" s="6">
        <v>106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5">
        <v>92</v>
      </c>
      <c r="B83" s="5">
        <v>3</v>
      </c>
      <c r="C83" s="6">
        <v>9</v>
      </c>
      <c r="D83" s="6">
        <v>4</v>
      </c>
      <c r="E83" s="6" t="s">
        <v>9</v>
      </c>
      <c r="F83" s="6">
        <v>1</v>
      </c>
      <c r="G83" s="6">
        <v>4.5999999999999996</v>
      </c>
      <c r="H83" s="6">
        <v>60000</v>
      </c>
      <c r="I83" s="6">
        <v>93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5">
        <v>93</v>
      </c>
      <c r="B84" s="5">
        <v>4</v>
      </c>
      <c r="C84" s="6">
        <v>13</v>
      </c>
      <c r="D84" s="6">
        <v>5</v>
      </c>
      <c r="E84" s="6" t="s">
        <v>9</v>
      </c>
      <c r="F84" s="6">
        <v>1</v>
      </c>
      <c r="G84" s="6">
        <v>4.5999999999999996</v>
      </c>
      <c r="H84" s="6">
        <v>60000</v>
      </c>
      <c r="I84" s="6">
        <v>93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5">
        <v>94</v>
      </c>
      <c r="B85" s="5">
        <v>3</v>
      </c>
      <c r="C85" s="6">
        <v>9</v>
      </c>
      <c r="D85" s="6">
        <v>4</v>
      </c>
      <c r="E85" s="6" t="s">
        <v>9</v>
      </c>
      <c r="F85" s="6">
        <v>1</v>
      </c>
      <c r="G85" s="6">
        <v>4.5999999999999996</v>
      </c>
      <c r="H85" s="6">
        <v>85000</v>
      </c>
      <c r="I85" s="6">
        <v>150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5">
        <v>95</v>
      </c>
      <c r="B86" s="5">
        <v>4</v>
      </c>
      <c r="C86" s="6">
        <v>12</v>
      </c>
      <c r="D86" s="6">
        <v>3</v>
      </c>
      <c r="E86" s="6" t="s">
        <v>10</v>
      </c>
      <c r="F86" s="6">
        <v>0</v>
      </c>
      <c r="G86" s="6">
        <v>4</v>
      </c>
      <c r="H86" s="6">
        <v>67000</v>
      </c>
      <c r="I86" s="6">
        <v>138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5">
        <v>96</v>
      </c>
      <c r="B87" s="5">
        <v>2</v>
      </c>
      <c r="C87" s="6">
        <v>9</v>
      </c>
      <c r="D87" s="6">
        <v>4</v>
      </c>
      <c r="E87" s="6" t="s">
        <v>9</v>
      </c>
      <c r="F87" s="6">
        <v>0</v>
      </c>
      <c r="G87" s="6">
        <v>3.8</v>
      </c>
      <c r="H87" s="6">
        <v>59000</v>
      </c>
      <c r="I87" s="6">
        <v>90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5">
        <v>97</v>
      </c>
      <c r="B88" s="5">
        <v>1</v>
      </c>
      <c r="C88" s="6">
        <v>11</v>
      </c>
      <c r="D88" s="6">
        <v>4</v>
      </c>
      <c r="E88" s="6" t="s">
        <v>10</v>
      </c>
      <c r="F88" s="6">
        <v>1</v>
      </c>
      <c r="G88" s="6">
        <v>4.5999999999999996</v>
      </c>
      <c r="H88" s="6">
        <v>64500</v>
      </c>
      <c r="I88" s="6">
        <v>114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5">
        <v>98</v>
      </c>
      <c r="B89" s="5">
        <v>3</v>
      </c>
      <c r="C89" s="6">
        <v>13</v>
      </c>
      <c r="D89" s="6">
        <v>4</v>
      </c>
      <c r="E89" s="6" t="s">
        <v>10</v>
      </c>
      <c r="F89" s="6">
        <v>0</v>
      </c>
      <c r="G89" s="6">
        <v>4.5</v>
      </c>
      <c r="H89" s="6">
        <v>65000</v>
      </c>
      <c r="I89" s="6">
        <v>109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5">
        <v>99</v>
      </c>
      <c r="B90" s="5">
        <v>2</v>
      </c>
      <c r="C90" s="6">
        <v>9</v>
      </c>
      <c r="D90" s="6">
        <v>4</v>
      </c>
      <c r="E90" s="6" t="s">
        <v>12</v>
      </c>
      <c r="F90" s="6">
        <v>1</v>
      </c>
      <c r="G90" s="6">
        <v>4.4000000000000004</v>
      </c>
      <c r="H90" s="6">
        <v>62500</v>
      </c>
      <c r="I90" s="6">
        <v>102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5">
        <v>100</v>
      </c>
      <c r="B91" s="5">
        <v>1</v>
      </c>
      <c r="C91" s="6">
        <v>9</v>
      </c>
      <c r="D91" s="6">
        <v>4</v>
      </c>
      <c r="E91" s="6" t="s">
        <v>11</v>
      </c>
      <c r="F91" s="6">
        <v>1</v>
      </c>
      <c r="G91" s="6">
        <v>4</v>
      </c>
      <c r="H91" s="6">
        <v>60400</v>
      </c>
      <c r="I91" s="6">
        <v>86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5">
        <v>101</v>
      </c>
      <c r="B92" s="5">
        <v>2</v>
      </c>
      <c r="C92" s="6">
        <v>13</v>
      </c>
      <c r="D92" s="6">
        <v>5</v>
      </c>
      <c r="E92" s="6" t="s">
        <v>10</v>
      </c>
      <c r="F92" s="6">
        <v>1</v>
      </c>
      <c r="G92" s="6">
        <v>6</v>
      </c>
      <c r="H92" s="6">
        <v>120000</v>
      </c>
      <c r="I92" s="6">
        <v>201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5">
        <v>102</v>
      </c>
      <c r="B93" s="5">
        <v>1</v>
      </c>
      <c r="C93" s="6">
        <v>11</v>
      </c>
      <c r="D93" s="6">
        <v>3</v>
      </c>
      <c r="E93" s="6" t="s">
        <v>9</v>
      </c>
      <c r="F93" s="6">
        <v>1</v>
      </c>
      <c r="G93" s="6">
        <v>3.6</v>
      </c>
      <c r="H93" s="6">
        <v>102000</v>
      </c>
      <c r="I93" s="6">
        <v>185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5">
        <v>103</v>
      </c>
      <c r="B94" s="5">
        <v>2</v>
      </c>
      <c r="C94" s="6">
        <v>13</v>
      </c>
      <c r="D94" s="6">
        <v>5</v>
      </c>
      <c r="E94" s="6" t="s">
        <v>9</v>
      </c>
      <c r="F94" s="6">
        <v>1</v>
      </c>
      <c r="G94" s="6">
        <v>4.5999999999999996</v>
      </c>
      <c r="H94" s="6">
        <v>65000</v>
      </c>
      <c r="I94" s="6">
        <v>107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5">
        <v>104</v>
      </c>
      <c r="B95" s="5">
        <v>5</v>
      </c>
      <c r="C95" s="6">
        <v>11</v>
      </c>
      <c r="D95" s="6">
        <v>4</v>
      </c>
      <c r="E95" s="6" t="s">
        <v>10</v>
      </c>
      <c r="F95" s="6">
        <v>1</v>
      </c>
      <c r="G95" s="6">
        <v>4.5</v>
      </c>
      <c r="H95" s="6">
        <v>94500</v>
      </c>
      <c r="I95" s="6">
        <v>180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5">
        <v>105</v>
      </c>
      <c r="B96" s="5">
        <v>1</v>
      </c>
      <c r="C96" s="6">
        <v>9</v>
      </c>
      <c r="D96" s="6">
        <v>4</v>
      </c>
      <c r="E96" s="6" t="s">
        <v>12</v>
      </c>
      <c r="F96" s="6">
        <v>1</v>
      </c>
      <c r="G96" s="6">
        <v>4.5</v>
      </c>
      <c r="H96" s="6">
        <v>58000</v>
      </c>
      <c r="I96" s="6">
        <v>99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5">
        <v>106</v>
      </c>
      <c r="B97" s="5">
        <v>4</v>
      </c>
      <c r="C97" s="6">
        <v>9</v>
      </c>
      <c r="D97" s="6">
        <v>5</v>
      </c>
      <c r="E97" s="6" t="s">
        <v>9</v>
      </c>
      <c r="F97" s="6">
        <v>0</v>
      </c>
      <c r="G97" s="6">
        <v>5</v>
      </c>
      <c r="H97" s="6">
        <v>66000</v>
      </c>
      <c r="I97" s="6">
        <v>102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5">
        <v>107</v>
      </c>
      <c r="B98" s="5">
        <v>1</v>
      </c>
      <c r="C98" s="6">
        <v>9</v>
      </c>
      <c r="D98" s="6">
        <v>3</v>
      </c>
      <c r="E98" s="6" t="s">
        <v>10</v>
      </c>
      <c r="F98" s="6">
        <v>1</v>
      </c>
      <c r="G98" s="6">
        <v>4.5999999999999996</v>
      </c>
      <c r="H98" s="6">
        <v>62500</v>
      </c>
      <c r="I98" s="6">
        <v>82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5">
        <v>108</v>
      </c>
      <c r="B99" s="5">
        <v>2</v>
      </c>
      <c r="C99" s="6">
        <v>9</v>
      </c>
      <c r="D99" s="6">
        <v>3</v>
      </c>
      <c r="E99" s="6" t="s">
        <v>11</v>
      </c>
      <c r="F99" s="6">
        <v>1</v>
      </c>
      <c r="G99" s="6">
        <v>4.5999999999999996</v>
      </c>
      <c r="H99" s="6">
        <v>61700</v>
      </c>
      <c r="I99" s="6">
        <v>82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5">
        <v>109</v>
      </c>
      <c r="B100" s="5">
        <v>2</v>
      </c>
      <c r="C100" s="6">
        <v>11</v>
      </c>
      <c r="D100" s="6">
        <v>5</v>
      </c>
      <c r="E100" s="6" t="s">
        <v>10</v>
      </c>
      <c r="F100" s="6">
        <v>1</v>
      </c>
      <c r="G100" s="6">
        <v>5.0999999999999996</v>
      </c>
      <c r="H100" s="6">
        <v>70000</v>
      </c>
      <c r="I100" s="6">
        <v>114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5">
        <v>110</v>
      </c>
      <c r="B101" s="5">
        <v>1</v>
      </c>
      <c r="C101" s="6">
        <v>13</v>
      </c>
      <c r="D101" s="6">
        <v>4</v>
      </c>
      <c r="E101" s="6" t="s">
        <v>10</v>
      </c>
      <c r="F101" s="6">
        <v>1</v>
      </c>
      <c r="G101" s="6">
        <v>4</v>
      </c>
      <c r="H101" s="6">
        <v>56000</v>
      </c>
      <c r="I101" s="6">
        <v>95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5">
        <v>111</v>
      </c>
      <c r="B102" s="5">
        <v>3</v>
      </c>
      <c r="C102" s="6">
        <v>11</v>
      </c>
      <c r="D102" s="6">
        <v>4</v>
      </c>
      <c r="E102" s="6" t="s">
        <v>10</v>
      </c>
      <c r="F102" s="6">
        <v>1</v>
      </c>
      <c r="G102" s="6">
        <v>4.8</v>
      </c>
      <c r="H102" s="6">
        <v>67000</v>
      </c>
      <c r="I102" s="6">
        <v>138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5">
        <v>112</v>
      </c>
      <c r="B103" s="5">
        <v>3</v>
      </c>
      <c r="C103" s="6">
        <v>9</v>
      </c>
      <c r="D103" s="6">
        <v>4</v>
      </c>
      <c r="E103" s="6" t="s">
        <v>10</v>
      </c>
      <c r="F103" s="6">
        <v>1</v>
      </c>
      <c r="G103" s="6">
        <v>5.2</v>
      </c>
      <c r="H103" s="6">
        <v>83500</v>
      </c>
      <c r="I103" s="6">
        <v>139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5">
        <v>113</v>
      </c>
      <c r="B104" s="5">
        <v>4</v>
      </c>
      <c r="C104" s="6">
        <v>11</v>
      </c>
      <c r="D104" s="6">
        <v>5</v>
      </c>
      <c r="E104" s="6" t="s">
        <v>10</v>
      </c>
      <c r="F104" s="6">
        <v>1</v>
      </c>
      <c r="G104" s="6">
        <v>5.2</v>
      </c>
      <c r="H104" s="6">
        <v>83500</v>
      </c>
      <c r="I104" s="6">
        <v>139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5">
        <v>114</v>
      </c>
      <c r="B105" s="5">
        <v>1</v>
      </c>
      <c r="C105" s="6">
        <v>9</v>
      </c>
      <c r="D105" s="6">
        <v>4</v>
      </c>
      <c r="E105" s="6" t="s">
        <v>9</v>
      </c>
      <c r="F105" s="6">
        <v>1</v>
      </c>
      <c r="G105" s="6">
        <v>4.9000000000000004</v>
      </c>
      <c r="H105" s="6">
        <v>51500</v>
      </c>
      <c r="I105" s="6">
        <v>85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5">
        <v>115</v>
      </c>
      <c r="B106" s="5">
        <v>3</v>
      </c>
      <c r="C106" s="6">
        <v>9</v>
      </c>
      <c r="D106" s="6">
        <v>4</v>
      </c>
      <c r="E106" s="6" t="s">
        <v>10</v>
      </c>
      <c r="F106" s="6">
        <v>0</v>
      </c>
      <c r="G106" s="6">
        <v>3.6</v>
      </c>
      <c r="H106" s="6">
        <v>75000</v>
      </c>
      <c r="I106" s="6">
        <v>138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5">
        <v>116</v>
      </c>
      <c r="B107" s="5">
        <v>1</v>
      </c>
      <c r="C107" s="6">
        <v>9</v>
      </c>
      <c r="D107" s="6">
        <v>3</v>
      </c>
      <c r="E107" s="6" t="s">
        <v>9</v>
      </c>
      <c r="F107" s="6">
        <v>1</v>
      </c>
      <c r="G107" s="6">
        <v>6</v>
      </c>
      <c r="H107" s="6">
        <v>58000</v>
      </c>
      <c r="I107" s="6">
        <v>87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5">
        <v>117</v>
      </c>
      <c r="B108" s="5">
        <v>3</v>
      </c>
      <c r="C108" s="6">
        <v>13</v>
      </c>
      <c r="D108" s="6">
        <v>5</v>
      </c>
      <c r="E108" s="6" t="s">
        <v>9</v>
      </c>
      <c r="F108" s="6">
        <v>1</v>
      </c>
      <c r="G108" s="6">
        <v>4</v>
      </c>
      <c r="H108" s="6">
        <v>85000</v>
      </c>
      <c r="I108" s="6">
        <v>156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5">
        <v>118</v>
      </c>
      <c r="B109" s="5">
        <v>2</v>
      </c>
      <c r="C109" s="6">
        <v>9</v>
      </c>
      <c r="D109" s="6">
        <v>4</v>
      </c>
      <c r="E109" s="6" t="s">
        <v>10</v>
      </c>
      <c r="F109" s="6">
        <v>1</v>
      </c>
      <c r="G109" s="6">
        <v>4</v>
      </c>
      <c r="H109" s="6">
        <v>64000</v>
      </c>
      <c r="I109" s="6">
        <v>102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5">
        <v>119</v>
      </c>
      <c r="B110" s="5">
        <v>3</v>
      </c>
      <c r="C110" s="6">
        <v>9</v>
      </c>
      <c r="D110" s="6">
        <v>4</v>
      </c>
      <c r="E110" s="6" t="s">
        <v>10</v>
      </c>
      <c r="F110" s="6">
        <v>1</v>
      </c>
      <c r="G110" s="6">
        <v>4</v>
      </c>
      <c r="H110" s="6">
        <v>75000</v>
      </c>
      <c r="I110" s="6">
        <v>138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5">
        <v>120</v>
      </c>
      <c r="B111" s="5">
        <v>3</v>
      </c>
      <c r="C111" s="6">
        <v>11</v>
      </c>
      <c r="D111" s="6">
        <v>4</v>
      </c>
      <c r="E111" s="6" t="s">
        <v>10</v>
      </c>
      <c r="F111" s="6">
        <v>1</v>
      </c>
      <c r="G111" s="6">
        <v>4</v>
      </c>
      <c r="H111" s="6">
        <v>72500</v>
      </c>
      <c r="I111" s="6">
        <v>123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5">
        <v>121</v>
      </c>
      <c r="B112" s="5">
        <v>1</v>
      </c>
      <c r="C112" s="6">
        <v>6</v>
      </c>
      <c r="D112" s="6">
        <v>3</v>
      </c>
      <c r="E112" s="6" t="s">
        <v>12</v>
      </c>
      <c r="F112" s="6">
        <v>0</v>
      </c>
      <c r="G112" s="6">
        <v>4</v>
      </c>
      <c r="H112" s="6">
        <v>51000</v>
      </c>
      <c r="I112" s="6">
        <v>80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5"/>
      <c r="B123" s="5"/>
      <c r="C123" s="6"/>
      <c r="D123" s="6"/>
      <c r="E123" s="6"/>
      <c r="F123" s="6"/>
      <c r="G123" s="6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5"/>
      <c r="B124" s="5"/>
      <c r="C124" s="6"/>
      <c r="D124" s="6"/>
      <c r="E124" s="6"/>
      <c r="F124" s="6"/>
      <c r="G124" s="6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5"/>
      <c r="B125" s="5"/>
      <c r="C125" s="6"/>
      <c r="D125" s="6"/>
      <c r="E125" s="6"/>
      <c r="F125" s="6"/>
      <c r="G125" s="6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5"/>
      <c r="B126" s="5"/>
      <c r="C126" s="6"/>
      <c r="D126" s="6"/>
      <c r="E126" s="6"/>
      <c r="F126" s="6"/>
      <c r="G126" s="6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5"/>
      <c r="B127" s="5"/>
      <c r="C127" s="6"/>
      <c r="D127" s="6"/>
      <c r="E127" s="6"/>
      <c r="F127" s="6"/>
      <c r="G127" s="6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5"/>
      <c r="B128" s="5"/>
      <c r="C128" s="6"/>
      <c r="D128" s="6"/>
      <c r="E128" s="6"/>
      <c r="F128" s="6"/>
      <c r="G128" s="6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5"/>
      <c r="B129" s="5"/>
      <c r="C129" s="6"/>
      <c r="D129" s="6"/>
      <c r="E129" s="6"/>
      <c r="F129" s="6"/>
      <c r="G129" s="6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5"/>
      <c r="B130" s="5"/>
      <c r="C130" s="6"/>
      <c r="D130" s="6"/>
      <c r="E130" s="6"/>
      <c r="F130" s="6"/>
      <c r="G130" s="6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5"/>
      <c r="B131" s="5"/>
      <c r="C131" s="6"/>
      <c r="D131" s="6"/>
      <c r="E131" s="6"/>
      <c r="F131" s="6"/>
      <c r="G131" s="6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5"/>
      <c r="B132" s="5"/>
      <c r="C132" s="6"/>
      <c r="D132" s="6"/>
      <c r="E132" s="6"/>
      <c r="F132" s="6"/>
      <c r="G132" s="6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5"/>
      <c r="B133" s="5"/>
      <c r="C133" s="6"/>
      <c r="D133" s="6"/>
      <c r="E133" s="6"/>
      <c r="F133" s="6"/>
      <c r="G133" s="6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5"/>
      <c r="B134" s="5"/>
      <c r="C134" s="6"/>
      <c r="D134" s="6"/>
      <c r="E134" s="6"/>
      <c r="F134" s="6"/>
      <c r="G134" s="6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5"/>
      <c r="B135" s="5"/>
      <c r="C135" s="6"/>
      <c r="D135" s="6"/>
      <c r="E135" s="6"/>
      <c r="F135" s="6"/>
      <c r="G135" s="6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5"/>
      <c r="B136" s="5"/>
      <c r="C136" s="6"/>
      <c r="D136" s="6"/>
      <c r="E136" s="6"/>
      <c r="F136" s="6"/>
      <c r="G136" s="6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5"/>
      <c r="B137" s="5"/>
      <c r="C137" s="6"/>
      <c r="D137" s="6"/>
      <c r="E137" s="6"/>
      <c r="F137" s="6"/>
      <c r="G137" s="6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5"/>
      <c r="B138" s="5"/>
      <c r="C138" s="6"/>
      <c r="D138" s="6"/>
      <c r="E138" s="6"/>
      <c r="F138" s="6"/>
      <c r="G138" s="6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5"/>
      <c r="B139" s="5"/>
      <c r="C139" s="6"/>
      <c r="D139" s="6"/>
      <c r="E139" s="6"/>
      <c r="F139" s="6"/>
      <c r="G139" s="6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5"/>
      <c r="B140" s="5"/>
      <c r="C140" s="6"/>
      <c r="D140" s="6"/>
      <c r="E140" s="6"/>
      <c r="F140" s="6"/>
      <c r="G140" s="6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5"/>
      <c r="B141" s="5"/>
      <c r="C141" s="6"/>
      <c r="D141" s="6"/>
      <c r="E141" s="6"/>
      <c r="F141" s="6"/>
      <c r="G141" s="6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5"/>
      <c r="B142" s="5"/>
      <c r="C142" s="6"/>
      <c r="D142" s="6"/>
      <c r="E142" s="6"/>
      <c r="F142" s="6"/>
      <c r="G142" s="6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5"/>
      <c r="B143" s="5"/>
      <c r="C143" s="6"/>
      <c r="D143" s="6"/>
      <c r="E143" s="6"/>
      <c r="F143" s="6"/>
      <c r="G143" s="6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5"/>
      <c r="B144" s="5"/>
      <c r="C144" s="6"/>
      <c r="D144" s="6"/>
      <c r="E144" s="6"/>
      <c r="F144" s="6"/>
      <c r="G144" s="6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5"/>
      <c r="B145" s="5"/>
      <c r="C145" s="6"/>
      <c r="D145" s="6"/>
      <c r="E145" s="6"/>
      <c r="F145" s="6"/>
      <c r="G145" s="6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5"/>
      <c r="B146" s="5"/>
      <c r="C146" s="6"/>
      <c r="D146" s="6"/>
      <c r="E146" s="6"/>
      <c r="F146" s="6"/>
      <c r="G146" s="6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5"/>
      <c r="B147" s="5"/>
      <c r="C147" s="6"/>
      <c r="D147" s="6"/>
      <c r="E147" s="6"/>
      <c r="F147" s="6"/>
      <c r="G147" s="6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5"/>
      <c r="B148" s="5"/>
      <c r="C148" s="6"/>
      <c r="D148" s="6"/>
      <c r="E148" s="6"/>
      <c r="F148" s="6"/>
      <c r="G148" s="6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5"/>
      <c r="B149" s="5"/>
      <c r="C149" s="6"/>
      <c r="D149" s="6"/>
      <c r="E149" s="6"/>
      <c r="F149" s="6"/>
      <c r="G149" s="6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5"/>
      <c r="B150" s="5"/>
      <c r="C150" s="6"/>
      <c r="D150" s="6"/>
      <c r="E150" s="6"/>
      <c r="F150" s="6"/>
      <c r="G150" s="6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5"/>
      <c r="B151" s="5"/>
      <c r="C151" s="6"/>
      <c r="D151" s="6"/>
      <c r="E151" s="6"/>
      <c r="F151" s="6"/>
      <c r="G151" s="6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5"/>
      <c r="B152" s="5"/>
      <c r="C152" s="6"/>
      <c r="D152" s="6"/>
      <c r="E152" s="6"/>
      <c r="F152" s="6"/>
      <c r="G152" s="6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5"/>
      <c r="B153" s="5"/>
      <c r="C153" s="6"/>
      <c r="D153" s="6"/>
      <c r="E153" s="6"/>
      <c r="F153" s="6"/>
      <c r="G153" s="6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5"/>
      <c r="B154" s="5"/>
      <c r="C154" s="6"/>
      <c r="D154" s="6"/>
      <c r="E154" s="6"/>
      <c r="F154" s="6"/>
      <c r="G154" s="6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5"/>
      <c r="B155" s="5"/>
      <c r="C155" s="6"/>
      <c r="D155" s="6"/>
      <c r="E155" s="6"/>
      <c r="F155" s="6"/>
      <c r="G155" s="6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5"/>
      <c r="B156" s="5"/>
      <c r="C156" s="6"/>
      <c r="D156" s="6"/>
      <c r="E156" s="6"/>
      <c r="F156" s="6"/>
      <c r="G156" s="6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5"/>
      <c r="B157" s="5"/>
      <c r="C157" s="6"/>
      <c r="D157" s="6"/>
      <c r="E157" s="6"/>
      <c r="F157" s="6"/>
      <c r="G157" s="6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5"/>
      <c r="B158" s="5"/>
      <c r="C158" s="6"/>
      <c r="D158" s="6"/>
      <c r="E158" s="6"/>
      <c r="F158" s="6"/>
      <c r="G158" s="6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5"/>
      <c r="B159" s="5"/>
      <c r="C159" s="6"/>
      <c r="D159" s="6"/>
      <c r="E159" s="6"/>
      <c r="F159" s="6"/>
      <c r="G159" s="6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5"/>
      <c r="B160" s="5"/>
      <c r="C160" s="6"/>
      <c r="D160" s="6"/>
      <c r="E160" s="6"/>
      <c r="F160" s="6"/>
      <c r="G160" s="6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5"/>
      <c r="B161" s="5"/>
      <c r="C161" s="6"/>
      <c r="D161" s="6"/>
      <c r="E161" s="6"/>
      <c r="F161" s="6"/>
      <c r="G161" s="6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5"/>
      <c r="B162" s="5"/>
      <c r="C162" s="6"/>
      <c r="D162" s="6"/>
      <c r="E162" s="6"/>
      <c r="F162" s="6"/>
      <c r="G162" s="6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5"/>
      <c r="B163" s="5"/>
      <c r="C163" s="6"/>
      <c r="D163" s="6"/>
      <c r="E163" s="6"/>
      <c r="F163" s="6"/>
      <c r="G163" s="6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5"/>
      <c r="B164" s="5"/>
      <c r="C164" s="6"/>
      <c r="D164" s="6"/>
      <c r="E164" s="6"/>
      <c r="F164" s="6"/>
      <c r="G164" s="6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5"/>
      <c r="B165" s="5"/>
      <c r="C165" s="6"/>
      <c r="D165" s="6"/>
      <c r="E165" s="6"/>
      <c r="F165" s="6"/>
      <c r="G165" s="6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5"/>
      <c r="B166" s="5"/>
      <c r="C166" s="6"/>
      <c r="D166" s="6"/>
      <c r="E166" s="6"/>
      <c r="F166" s="6"/>
      <c r="G166" s="6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5"/>
      <c r="B167" s="5"/>
      <c r="C167" s="6"/>
      <c r="D167" s="6"/>
      <c r="E167" s="6"/>
      <c r="F167" s="6"/>
      <c r="G167" s="6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5"/>
      <c r="B168" s="5"/>
      <c r="C168" s="6"/>
      <c r="D168" s="6"/>
      <c r="E168" s="6"/>
      <c r="F168" s="6"/>
      <c r="G168" s="6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5"/>
      <c r="B169" s="5"/>
      <c r="C169" s="6"/>
      <c r="D169" s="6"/>
      <c r="E169" s="6"/>
      <c r="F169" s="6"/>
      <c r="G169" s="6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5"/>
      <c r="B170" s="5"/>
      <c r="C170" s="6"/>
      <c r="D170" s="6"/>
      <c r="E170" s="6"/>
      <c r="F170" s="6"/>
      <c r="G170" s="6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5"/>
      <c r="B171" s="5"/>
      <c r="C171" s="6"/>
      <c r="D171" s="6"/>
      <c r="E171" s="6"/>
      <c r="F171" s="6"/>
      <c r="G171" s="6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5"/>
      <c r="B172" s="5"/>
      <c r="C172" s="6"/>
      <c r="D172" s="6"/>
      <c r="E172" s="6"/>
      <c r="F172" s="6"/>
      <c r="G172" s="6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5"/>
      <c r="B173" s="5"/>
      <c r="C173" s="6"/>
      <c r="D173" s="6"/>
      <c r="E173" s="6"/>
      <c r="F173" s="6"/>
      <c r="G173" s="6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5"/>
      <c r="B174" s="5"/>
      <c r="C174" s="6"/>
      <c r="D174" s="6"/>
      <c r="E174" s="6"/>
      <c r="F174" s="6"/>
      <c r="G174" s="6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5"/>
      <c r="B175" s="5"/>
      <c r="C175" s="6"/>
      <c r="D175" s="6"/>
      <c r="E175" s="6"/>
      <c r="F175" s="6"/>
      <c r="G175" s="6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5"/>
      <c r="B176" s="5"/>
      <c r="C176" s="6"/>
      <c r="D176" s="6"/>
      <c r="E176" s="6"/>
      <c r="F176" s="6"/>
      <c r="G176" s="6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5"/>
      <c r="B177" s="5"/>
      <c r="C177" s="6"/>
      <c r="D177" s="6"/>
      <c r="E177" s="6"/>
      <c r="F177" s="6"/>
      <c r="G177" s="6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5"/>
      <c r="B178" s="5"/>
      <c r="C178" s="6"/>
      <c r="D178" s="6"/>
      <c r="E178" s="6"/>
      <c r="F178" s="6"/>
      <c r="G178" s="6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5"/>
      <c r="B179" s="5"/>
      <c r="C179" s="6"/>
      <c r="D179" s="6"/>
      <c r="E179" s="6"/>
      <c r="F179" s="6"/>
      <c r="G179" s="6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5"/>
      <c r="B180" s="5"/>
      <c r="C180" s="6"/>
      <c r="D180" s="6"/>
      <c r="E180" s="6"/>
      <c r="F180" s="6"/>
      <c r="G180" s="6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5"/>
      <c r="B181" s="5"/>
      <c r="C181" s="6"/>
      <c r="D181" s="6"/>
      <c r="E181" s="6"/>
      <c r="F181" s="6"/>
      <c r="G181" s="6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5"/>
      <c r="B182" s="5"/>
      <c r="C182" s="6"/>
      <c r="D182" s="6"/>
      <c r="E182" s="6"/>
      <c r="F182" s="6"/>
      <c r="G182" s="6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5"/>
      <c r="B183" s="5"/>
      <c r="C183" s="6"/>
      <c r="D183" s="6"/>
      <c r="E183" s="6"/>
      <c r="F183" s="6"/>
      <c r="G183" s="6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5"/>
      <c r="B184" s="5"/>
      <c r="C184" s="6"/>
      <c r="D184" s="6"/>
      <c r="E184" s="6"/>
      <c r="F184" s="6"/>
      <c r="G184" s="6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5"/>
      <c r="B185" s="5"/>
      <c r="C185" s="6"/>
      <c r="D185" s="6"/>
      <c r="E185" s="6"/>
      <c r="F185" s="6"/>
      <c r="G185" s="6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5"/>
      <c r="B186" s="5"/>
      <c r="C186" s="6"/>
      <c r="D186" s="6"/>
      <c r="E186" s="6"/>
      <c r="F186" s="6"/>
      <c r="G186" s="6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5"/>
      <c r="B187" s="5"/>
      <c r="C187" s="6"/>
      <c r="D187" s="6"/>
      <c r="E187" s="6"/>
      <c r="F187" s="6"/>
      <c r="G187" s="6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5"/>
      <c r="B188" s="5"/>
      <c r="C188" s="6"/>
      <c r="D188" s="6"/>
      <c r="E188" s="6"/>
      <c r="F188" s="6"/>
      <c r="G188" s="6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5"/>
      <c r="B189" s="5"/>
      <c r="C189" s="6"/>
      <c r="D189" s="6"/>
      <c r="E189" s="6"/>
      <c r="F189" s="6"/>
      <c r="G189" s="6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5"/>
      <c r="B190" s="5"/>
      <c r="C190" s="6"/>
      <c r="D190" s="6"/>
      <c r="E190" s="6"/>
      <c r="F190" s="6"/>
      <c r="G190" s="6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5"/>
      <c r="B191" s="5"/>
      <c r="C191" s="6"/>
      <c r="D191" s="6"/>
      <c r="E191" s="6"/>
      <c r="F191" s="6"/>
      <c r="G191" s="6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5"/>
      <c r="B192" s="5"/>
      <c r="C192" s="6"/>
      <c r="D192" s="6"/>
      <c r="E192" s="6"/>
      <c r="F192" s="6"/>
      <c r="G192" s="6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5"/>
      <c r="B193" s="5"/>
      <c r="C193" s="6"/>
      <c r="D193" s="6"/>
      <c r="E193" s="6"/>
      <c r="F193" s="6"/>
      <c r="G193" s="6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5"/>
      <c r="B194" s="5"/>
      <c r="C194" s="6"/>
      <c r="D194" s="6"/>
      <c r="E194" s="6"/>
      <c r="F194" s="6"/>
      <c r="G194" s="6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5"/>
      <c r="B195" s="5"/>
      <c r="C195" s="6"/>
      <c r="D195" s="6"/>
      <c r="E195" s="6"/>
      <c r="F195" s="6"/>
      <c r="G195" s="6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5"/>
      <c r="B196" s="5"/>
      <c r="C196" s="6"/>
      <c r="D196" s="6"/>
      <c r="E196" s="6"/>
      <c r="F196" s="6"/>
      <c r="G196" s="6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5"/>
      <c r="B197" s="5"/>
      <c r="C197" s="6"/>
      <c r="D197" s="6"/>
      <c r="E197" s="6"/>
      <c r="F197" s="6"/>
      <c r="G197" s="6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5"/>
      <c r="B198" s="5"/>
      <c r="C198" s="6"/>
      <c r="D198" s="6"/>
      <c r="E198" s="6"/>
      <c r="F198" s="6"/>
      <c r="G198" s="6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5"/>
      <c r="B199" s="5"/>
      <c r="C199" s="6"/>
      <c r="D199" s="6"/>
      <c r="E199" s="6"/>
      <c r="F199" s="6"/>
      <c r="G199" s="6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5"/>
      <c r="B200" s="5"/>
      <c r="C200" s="6"/>
      <c r="D200" s="6"/>
      <c r="E200" s="6"/>
      <c r="F200" s="6"/>
      <c r="G200" s="6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5"/>
      <c r="B201" s="5"/>
      <c r="C201" s="6"/>
      <c r="D201" s="6"/>
      <c r="E201" s="6"/>
      <c r="F201" s="6"/>
      <c r="G201" s="6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5"/>
      <c r="B202" s="5"/>
      <c r="C202" s="6"/>
      <c r="D202" s="6"/>
      <c r="E202" s="6"/>
      <c r="F202" s="6"/>
      <c r="G202" s="6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5"/>
      <c r="B203" s="5"/>
      <c r="C203" s="6"/>
      <c r="D203" s="6"/>
      <c r="E203" s="6"/>
      <c r="F203" s="6"/>
      <c r="G203" s="6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5"/>
      <c r="B204" s="5"/>
      <c r="C204" s="6"/>
      <c r="D204" s="6"/>
      <c r="E204" s="6"/>
      <c r="F204" s="6"/>
      <c r="G204" s="6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5"/>
      <c r="B205" s="5"/>
      <c r="C205" s="6"/>
      <c r="D205" s="6"/>
      <c r="E205" s="6"/>
      <c r="F205" s="6"/>
      <c r="G205" s="6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5"/>
      <c r="B206" s="5"/>
      <c r="C206" s="6"/>
      <c r="D206" s="6"/>
      <c r="E206" s="6"/>
      <c r="F206" s="6"/>
      <c r="G206" s="6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5"/>
      <c r="B207" s="5"/>
      <c r="C207" s="6"/>
      <c r="D207" s="6"/>
      <c r="E207" s="6"/>
      <c r="F207" s="6"/>
      <c r="G207" s="6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Tyutyunnikova</dc:creator>
  <cp:lastModifiedBy>Жасмин Макульбекова</cp:lastModifiedBy>
  <dcterms:created xsi:type="dcterms:W3CDTF">2015-06-05T18:17:20Z</dcterms:created>
  <dcterms:modified xsi:type="dcterms:W3CDTF">2026-02-03T13:18:36Z</dcterms:modified>
</cp:coreProperties>
</file>