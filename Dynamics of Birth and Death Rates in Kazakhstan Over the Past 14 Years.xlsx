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sam\OneDrive\Desktop\Statistics\"/>
    </mc:Choice>
  </mc:AlternateContent>
  <xr:revisionPtr revIDLastSave="0" documentId="8_{9D910B42-78CB-4179-92DB-E8E98A4F5E72}" xr6:coauthVersionLast="47" xr6:coauthVersionMax="47" xr10:uidLastSave="{00000000-0000-0000-0000-000000000000}"/>
  <bookViews>
    <workbookView xWindow="-108" yWindow="-108" windowWidth="23256" windowHeight="12456" xr2:uid="{DAC594F9-731D-4247-9A0A-6773C1A30219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5" i="1" l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<sst xmlns="http://schemas.openxmlformats.org/spreadsheetml/2006/main" count="35" uniqueCount="10">
  <si>
    <t>year</t>
  </si>
  <si>
    <t>born</t>
  </si>
  <si>
    <t>population</t>
  </si>
  <si>
    <t>fertility rate</t>
  </si>
  <si>
    <t>dead</t>
  </si>
  <si>
    <t>mortality</t>
  </si>
  <si>
    <t>born girls</t>
  </si>
  <si>
    <t>born boys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</si>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</sst>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Roboto"/>
      <charset val="204"/>
    </font>
    <font>
      <sz val="10"/>
      <color theme="1"/>
      <name val="Roboto"/>
    </font>
    <font>
      <sz val="10"/>
      <name val="Roboto"/>
      <charset val="204"/>
    </font>
    <font>
      <sz val="10"/>
      <color rgb="FF000000"/>
      <name val="Roboto"/>
      <charset val="204"/>
    </font>
    <font>
      <sz val="10"/>
      <name val="Arial Cyr"/>
      <charset val="204"/>
    </font>
    <font>
      <sz val="10"/>
      <color indexed="8"/>
      <name val="Roboto"/>
      <charset val="204"/>
    </font>
    <font>
      <sz val="11"/>
      <color indexed="8"/>
      <name val="Calibri"/>
      <family val="2"/>
      <scheme val="minor"/>
    </font>
    <font>
      <b/>
      <sz val="10"/>
      <name val="Roboto"/>
      <charset val="204"/>
    </font>
    <font>
      <sz val="10"/>
      <name val="Roboto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8" fillId="0" borderId="0"/>
  </cellStyleXfs>
  <cellXfs count="37">
    <xf numFmtId="0" fontId="0" fillId="0" borderId="0" xfId="0"/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4" fillId="3" borderId="1" xfId="2" applyNumberFormat="1" applyFont="1" applyFill="1" applyBorder="1" applyAlignment="1">
      <alignment horizontal="right"/>
    </xf>
    <xf numFmtId="3" fontId="2" fillId="3" borderId="1" xfId="0" applyNumberFormat="1" applyFont="1" applyFill="1" applyBorder="1"/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/>
    <xf numFmtId="3" fontId="4" fillId="4" borderId="1" xfId="2" applyNumberFormat="1" applyFont="1" applyFill="1" applyBorder="1"/>
    <xf numFmtId="0" fontId="0" fillId="5" borderId="1" xfId="0" applyFill="1" applyBorder="1" applyAlignment="1">
      <alignment horizontal="left"/>
    </xf>
    <xf numFmtId="9" fontId="0" fillId="5" borderId="1" xfId="1" applyFont="1" applyFill="1" applyBorder="1"/>
    <xf numFmtId="0" fontId="0" fillId="6" borderId="1" xfId="0" applyFill="1" applyBorder="1"/>
    <xf numFmtId="3" fontId="2" fillId="6" borderId="1" xfId="0" applyNumberFormat="1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3" fontId="4" fillId="6" borderId="1" xfId="2" applyNumberFormat="1" applyFont="1" applyFill="1" applyBorder="1" applyAlignment="1">
      <alignment horizontal="right"/>
    </xf>
    <xf numFmtId="3" fontId="4" fillId="6" borderId="1" xfId="0" applyNumberFormat="1" applyFont="1" applyFill="1" applyBorder="1" applyAlignment="1">
      <alignment horizontal="right" wrapText="1"/>
    </xf>
    <xf numFmtId="3" fontId="4" fillId="6" borderId="1" xfId="2" applyNumberFormat="1" applyFont="1" applyFill="1" applyBorder="1" applyAlignment="1">
      <alignment horizontal="right" wrapText="1"/>
    </xf>
    <xf numFmtId="0" fontId="0" fillId="7" borderId="1" xfId="0" applyFill="1" applyBorder="1"/>
    <xf numFmtId="0" fontId="0" fillId="0" borderId="1" xfId="0" applyBorder="1"/>
    <xf numFmtId="3" fontId="2" fillId="0" borderId="1" xfId="0" applyNumberFormat="1" applyFont="1" applyBorder="1" applyAlignment="1">
      <alignment horizontal="right"/>
    </xf>
    <xf numFmtId="3" fontId="7" fillId="0" borderId="1" xfId="0" applyNumberFormat="1" applyFont="1" applyBorder="1"/>
    <xf numFmtId="3" fontId="7" fillId="0" borderId="1" xfId="3" applyNumberFormat="1" applyFont="1" applyBorder="1"/>
    <xf numFmtId="164" fontId="0" fillId="0" borderId="1" xfId="1" applyNumberFormat="1" applyFont="1" applyBorder="1"/>
    <xf numFmtId="0" fontId="9" fillId="0" borderId="1" xfId="0" applyFont="1" applyBorder="1" applyAlignment="1">
      <alignment horizontal="left"/>
    </xf>
    <xf numFmtId="164" fontId="2" fillId="0" borderId="1" xfId="1" applyNumberFormat="1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/>
    </xf>
    <xf numFmtId="3" fontId="10" fillId="0" borderId="1" xfId="2" applyNumberFormat="1" applyFont="1" applyBorder="1"/>
    <xf numFmtId="3" fontId="10" fillId="0" borderId="1" xfId="0" applyNumberFormat="1" applyFont="1" applyBorder="1"/>
    <xf numFmtId="9" fontId="0" fillId="0" borderId="1" xfId="1" applyFont="1" applyBorder="1"/>
    <xf numFmtId="3" fontId="4" fillId="0" borderId="1" xfId="2" applyNumberFormat="1" applyFont="1" applyBorder="1"/>
    <xf numFmtId="3" fontId="0" fillId="0" borderId="1" xfId="0" applyNumberFormat="1" applyBorder="1"/>
  </cellXfs>
  <cellStyles count="4">
    <cellStyle name="Обычный" xfId="0" builtinId="0"/>
    <cellStyle name="Обычный 2" xfId="2" xr:uid="{4BE46593-BEEE-4ADF-BB09-F59FA6801C31}"/>
    <cellStyle name="Обычный 3 3" xfId="3" xr:uid="{3148BE36-46E4-46AD-814B-A5B2CBB3F799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Dynamics</a:t>
            </a:r>
            <a:r>
              <a:rPr lang="en-US" baseline="0"/>
              <a:t> of boys being born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[1]Лист4!$C$2:$AA$2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[1]Лист4!$C$11:$AA$11</c:f>
              <c:numCache>
                <c:formatCode>General</c:formatCode>
                <c:ptCount val="25"/>
                <c:pt idx="0">
                  <c:v>7.6334545973829326E-3</c:v>
                </c:pt>
                <c:pt idx="1">
                  <c:v>7.670388231629916E-3</c:v>
                </c:pt>
                <c:pt idx="2">
                  <c:v>7.8153349198868578E-3</c:v>
                </c:pt>
                <c:pt idx="3">
                  <c:v>8.5836012058247493E-3</c:v>
                </c:pt>
                <c:pt idx="4">
                  <c:v>9.4005163465139922E-3</c:v>
                </c:pt>
                <c:pt idx="5">
                  <c:v>9.5188867595764493E-3</c:v>
                </c:pt>
                <c:pt idx="6">
                  <c:v>1.0191276321610513E-2</c:v>
                </c:pt>
                <c:pt idx="7">
                  <c:v>1.0751725122456644E-2</c:v>
                </c:pt>
                <c:pt idx="8">
                  <c:v>1.1803996350770439E-2</c:v>
                </c:pt>
                <c:pt idx="9">
                  <c:v>1.151032088393498E-2</c:v>
                </c:pt>
                <c:pt idx="10">
                  <c:v>1.1679070512917439E-2</c:v>
                </c:pt>
                <c:pt idx="11">
                  <c:v>1.1681388864186648E-2</c:v>
                </c:pt>
                <c:pt idx="12">
                  <c:v>1.1735707667484545E-2</c:v>
                </c:pt>
                <c:pt idx="13">
                  <c:v>1.1825628441828315E-2</c:v>
                </c:pt>
                <c:pt idx="14">
                  <c:v>1.1994018724701665E-2</c:v>
                </c:pt>
                <c:pt idx="15">
                  <c:v>1.1792037467713687E-2</c:v>
                </c:pt>
                <c:pt idx="16">
                  <c:v>1.1738824317777405E-2</c:v>
                </c:pt>
                <c:pt idx="17">
                  <c:v>1.1267301879377604E-2</c:v>
                </c:pt>
                <c:pt idx="18">
                  <c:v>1.1298192177992463E-2</c:v>
                </c:pt>
                <c:pt idx="19">
                  <c:v>1.1297909467332933E-2</c:v>
                </c:pt>
                <c:pt idx="20">
                  <c:v>1.1846757970084139E-2</c:v>
                </c:pt>
                <c:pt idx="21">
                  <c:v>1.2181440445414225E-2</c:v>
                </c:pt>
                <c:pt idx="22">
                  <c:v>1.0672168544593212E-2</c:v>
                </c:pt>
                <c:pt idx="23">
                  <c:v>1.0146251744148663E-2</c:v>
                </c:pt>
                <c:pt idx="24">
                  <c:v>9.4263995892550217E-3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5-4F7E-9BA6-7E930B129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256495"/>
        <c:axId val="646253999"/>
      </c:lineChart>
      <c:catAx>
        <c:axId val="64625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646253999"/>
        <c:crosses val="autoZero"/>
        <c:auto val="1"/>
        <c:lblAlgn val="ctr"/>
        <c:lblOffset val="100"/>
        <c:noMultiLvlLbl val="0"/>
      </c:catAx>
      <c:valAx>
        <c:axId val="6462539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6256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26</xdr:col>
      <xdr:colOff>828261</xdr:colOff>
      <xdr:row>32</xdr:row>
      <xdr:rowOff>30303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06A277-FFA1-415B-8D37-BADC27D6E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ZhasminBAandESeco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4"/>
    </sheetNames>
    <sheetDataSet>
      <sheetData sheetId="0"/>
      <sheetData sheetId="1"/>
      <sheetData sheetId="2">
        <row r="2">
          <cell r="C2">
            <v>2000</v>
          </cell>
          <cell r="D2">
            <v>2001</v>
          </cell>
          <cell r="E2">
            <v>2002</v>
          </cell>
          <cell r="F2">
            <v>2003</v>
          </cell>
          <cell r="G2">
            <v>2004</v>
          </cell>
          <cell r="H2">
            <v>2005</v>
          </cell>
          <cell r="I2">
            <v>2006</v>
          </cell>
          <cell r="J2">
            <v>2007</v>
          </cell>
          <cell r="K2">
            <v>2008</v>
          </cell>
          <cell r="L2">
            <v>2009</v>
          </cell>
          <cell r="M2">
            <v>2010</v>
          </cell>
          <cell r="N2">
            <v>2011</v>
          </cell>
          <cell r="O2">
            <v>2012</v>
          </cell>
          <cell r="P2">
            <v>2013</v>
          </cell>
          <cell r="Q2">
            <v>2014</v>
          </cell>
          <cell r="R2">
            <v>2015</v>
          </cell>
          <cell r="S2">
            <v>2016</v>
          </cell>
          <cell r="T2">
            <v>2017</v>
          </cell>
          <cell r="U2">
            <v>2018</v>
          </cell>
          <cell r="V2">
            <v>2019</v>
          </cell>
          <cell r="W2">
            <v>2020</v>
          </cell>
          <cell r="X2">
            <v>2021</v>
          </cell>
          <cell r="Y2">
            <v>2022</v>
          </cell>
          <cell r="Z2">
            <v>2023</v>
          </cell>
          <cell r="AA2">
            <v>2024</v>
          </cell>
        </row>
        <row r="11">
          <cell r="C11">
            <v>7.6334545973829326E-3</v>
          </cell>
          <cell r="D11">
            <v>7.670388231629916E-3</v>
          </cell>
          <cell r="E11">
            <v>7.8153349198868578E-3</v>
          </cell>
          <cell r="F11">
            <v>8.5836012058247493E-3</v>
          </cell>
          <cell r="G11">
            <v>9.4005163465139922E-3</v>
          </cell>
          <cell r="H11">
            <v>9.5188867595764493E-3</v>
          </cell>
          <cell r="I11">
            <v>1.0191276321610513E-2</v>
          </cell>
          <cell r="J11">
            <v>1.0751725122456644E-2</v>
          </cell>
          <cell r="K11">
            <v>1.1803996350770439E-2</v>
          </cell>
          <cell r="L11">
            <v>1.151032088393498E-2</v>
          </cell>
          <cell r="M11">
            <v>1.1679070512917439E-2</v>
          </cell>
          <cell r="N11">
            <v>1.1681388864186648E-2</v>
          </cell>
          <cell r="O11">
            <v>1.1735707667484545E-2</v>
          </cell>
          <cell r="P11">
            <v>1.1825628441828315E-2</v>
          </cell>
          <cell r="Q11">
            <v>1.1994018724701665E-2</v>
          </cell>
          <cell r="R11">
            <v>1.1792037467713687E-2</v>
          </cell>
          <cell r="S11">
            <v>1.1738824317777405E-2</v>
          </cell>
          <cell r="T11">
            <v>1.1267301879377604E-2</v>
          </cell>
          <cell r="U11">
            <v>1.1298192177992463E-2</v>
          </cell>
          <cell r="V11">
            <v>1.1297909467332933E-2</v>
          </cell>
          <cell r="W11">
            <v>1.1846757970084139E-2</v>
          </cell>
          <cell r="X11">
            <v>1.2181440445414225E-2</v>
          </cell>
          <cell r="Y11">
            <v>1.0672168544593212E-2</v>
          </cell>
          <cell r="Z11">
            <v>1.0146251744148663E-2</v>
          </cell>
          <cell r="AA11">
            <v>9.4263995892550217E-3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3B32-0976-44A6-A076-1E90E6F2BB13}">
  <dimension ref="B2:AA15"/>
  <sheetViews>
    <sheetView tabSelected="1" zoomScale="54" workbookViewId="0">
      <selection activeCell="B16" sqref="B16"/>
    </sheetView>
  </sheetViews>
  <sheetFormatPr defaultRowHeight="14.4" x14ac:dyDescent="0.3"/>
  <cols>
    <col min="1" max="1" width="8.88671875" customWidth="1"/>
    <col min="2" max="27" width="14.109375" customWidth="1"/>
  </cols>
  <sheetData>
    <row r="2" spans="2:27" x14ac:dyDescent="0.3">
      <c r="B2" s="1" t="s">
        <v>0</v>
      </c>
      <c r="C2" s="2">
        <v>2000</v>
      </c>
      <c r="D2" s="2">
        <v>2001</v>
      </c>
      <c r="E2" s="2">
        <v>2002</v>
      </c>
      <c r="F2" s="2">
        <v>2003</v>
      </c>
      <c r="G2" s="2">
        <v>2004</v>
      </c>
      <c r="H2" s="2">
        <v>2005</v>
      </c>
      <c r="I2" s="2">
        <v>2006</v>
      </c>
      <c r="J2" s="2">
        <v>2007</v>
      </c>
      <c r="K2" s="2">
        <v>2008</v>
      </c>
      <c r="L2" s="2">
        <v>2009</v>
      </c>
      <c r="M2" s="2">
        <v>2010</v>
      </c>
      <c r="N2" s="2">
        <v>2011</v>
      </c>
      <c r="O2" s="2">
        <v>2012</v>
      </c>
      <c r="P2" s="2">
        <v>2013</v>
      </c>
      <c r="Q2" s="2">
        <v>2014</v>
      </c>
      <c r="R2" s="2">
        <v>2015</v>
      </c>
      <c r="S2" s="2">
        <v>2016</v>
      </c>
      <c r="T2" s="2">
        <v>2017</v>
      </c>
      <c r="U2" s="2">
        <v>2018</v>
      </c>
      <c r="V2" s="2">
        <v>2019</v>
      </c>
      <c r="W2" s="2">
        <v>2020</v>
      </c>
      <c r="X2" s="2">
        <v>2021</v>
      </c>
      <c r="Y2" s="2">
        <v>2022</v>
      </c>
      <c r="Z2" s="3">
        <v>2023</v>
      </c>
      <c r="AA2" s="3">
        <v>2024</v>
      </c>
    </row>
    <row r="3" spans="2:27" x14ac:dyDescent="0.3">
      <c r="B3" s="4" t="s">
        <v>1</v>
      </c>
      <c r="C3" s="5">
        <v>222054</v>
      </c>
      <c r="D3" s="5">
        <v>221487</v>
      </c>
      <c r="E3" s="5">
        <v>227171</v>
      </c>
      <c r="F3" s="5">
        <v>247946</v>
      </c>
      <c r="G3" s="5">
        <v>273028</v>
      </c>
      <c r="H3" s="5">
        <v>278977</v>
      </c>
      <c r="I3" s="5">
        <v>301756</v>
      </c>
      <c r="J3" s="5">
        <v>321963</v>
      </c>
      <c r="K3" s="5">
        <v>357555</v>
      </c>
      <c r="L3" s="6">
        <v>356326</v>
      </c>
      <c r="M3" s="6">
        <v>367785</v>
      </c>
      <c r="N3" s="6">
        <v>372796</v>
      </c>
      <c r="O3" s="6">
        <v>381272</v>
      </c>
      <c r="P3" s="6">
        <v>387372</v>
      </c>
      <c r="Q3" s="5">
        <v>399448</v>
      </c>
      <c r="R3" s="5">
        <v>398591</v>
      </c>
      <c r="S3" s="5">
        <v>401031</v>
      </c>
      <c r="T3" s="6">
        <v>390505</v>
      </c>
      <c r="U3" s="5">
        <v>397618</v>
      </c>
      <c r="V3" s="6">
        <v>401869</v>
      </c>
      <c r="W3" s="5">
        <v>426726</v>
      </c>
      <c r="X3" s="7">
        <v>445875</v>
      </c>
      <c r="Y3" s="7">
        <v>403893</v>
      </c>
      <c r="Z3" s="7">
        <v>388428</v>
      </c>
      <c r="AA3" s="8">
        <v>365923</v>
      </c>
    </row>
    <row r="4" spans="2:27" x14ac:dyDescent="0.3">
      <c r="B4" s="9" t="s">
        <v>2</v>
      </c>
      <c r="C4" s="10">
        <v>14901641</v>
      </c>
      <c r="D4" s="10">
        <v>14865610</v>
      </c>
      <c r="E4" s="10">
        <v>14851059</v>
      </c>
      <c r="F4" s="10">
        <v>14866837</v>
      </c>
      <c r="G4" s="10">
        <v>14951200</v>
      </c>
      <c r="H4" s="10">
        <v>15074767</v>
      </c>
      <c r="I4" s="10">
        <v>15219291</v>
      </c>
      <c r="J4" s="10">
        <v>15396878</v>
      </c>
      <c r="K4" s="10">
        <v>15571506</v>
      </c>
      <c r="L4" s="11">
        <v>15982352</v>
      </c>
      <c r="M4" s="11">
        <v>16203173</v>
      </c>
      <c r="N4" s="11">
        <v>16440254</v>
      </c>
      <c r="O4" s="11">
        <v>16673643</v>
      </c>
      <c r="P4" s="12">
        <v>16909799</v>
      </c>
      <c r="Q4" s="13">
        <v>17160220</v>
      </c>
      <c r="R4" s="10">
        <v>17414887</v>
      </c>
      <c r="S4" s="10">
        <v>17668720</v>
      </c>
      <c r="T4" s="11">
        <v>17916623</v>
      </c>
      <c r="U4" s="12">
        <v>18155825</v>
      </c>
      <c r="V4" s="11">
        <v>18394642</v>
      </c>
      <c r="W4" s="10">
        <v>18630920</v>
      </c>
      <c r="X4" s="10">
        <v>18878966</v>
      </c>
      <c r="Y4" s="10">
        <v>19503159</v>
      </c>
      <c r="Z4" s="10">
        <v>19766807</v>
      </c>
      <c r="AA4" s="10">
        <v>20033842</v>
      </c>
    </row>
    <row r="5" spans="2:27" x14ac:dyDescent="0.3">
      <c r="B5" s="14" t="s">
        <v>3</v>
      </c>
      <c r="C5" s="15">
        <f>C3/C4</f>
        <v>1.4901311875651815E-2</v>
      </c>
      <c r="D5" s="15">
        <f t="shared" ref="D5:AA5" si="0">D3/D4</f>
        <v>1.4899287684797327E-2</v>
      </c>
      <c r="E5" s="15">
        <f t="shared" si="0"/>
        <v>1.5296619587869121E-2</v>
      </c>
      <c r="F5" s="15">
        <f t="shared" si="0"/>
        <v>1.6677790978672866E-2</v>
      </c>
      <c r="G5" s="15">
        <f t="shared" si="0"/>
        <v>1.8261276686821124E-2</v>
      </c>
      <c r="H5" s="15">
        <f t="shared" si="0"/>
        <v>1.8506223014922885E-2</v>
      </c>
      <c r="I5" s="15">
        <f t="shared" si="0"/>
        <v>1.9827204828398379E-2</v>
      </c>
      <c r="J5" s="15">
        <f t="shared" si="0"/>
        <v>2.0910927526996057E-2</v>
      </c>
      <c r="K5" s="15">
        <f t="shared" si="0"/>
        <v>2.2962133527739705E-2</v>
      </c>
      <c r="L5" s="15">
        <f t="shared" si="0"/>
        <v>2.2294966347881712E-2</v>
      </c>
      <c r="M5" s="15">
        <f t="shared" si="0"/>
        <v>2.2698331987197815E-2</v>
      </c>
      <c r="N5" s="15">
        <f t="shared" si="0"/>
        <v>2.2675805373809917E-2</v>
      </c>
      <c r="O5" s="15">
        <f t="shared" si="0"/>
        <v>2.2866748436439474E-2</v>
      </c>
      <c r="P5" s="15">
        <f t="shared" si="0"/>
        <v>2.2908137465146687E-2</v>
      </c>
      <c r="Q5" s="15">
        <f t="shared" si="0"/>
        <v>2.327755704763692E-2</v>
      </c>
      <c r="R5" s="15">
        <f t="shared" si="0"/>
        <v>2.2887946387478712E-2</v>
      </c>
      <c r="S5" s="15">
        <f t="shared" si="0"/>
        <v>2.2697229906863656E-2</v>
      </c>
      <c r="T5" s="15">
        <f t="shared" si="0"/>
        <v>2.1795681027613294E-2</v>
      </c>
      <c r="U5" s="15">
        <f t="shared" si="0"/>
        <v>2.1900299215265623E-2</v>
      </c>
      <c r="V5" s="15">
        <f t="shared" si="0"/>
        <v>2.1847068293038809E-2</v>
      </c>
      <c r="W5" s="15">
        <f t="shared" si="0"/>
        <v>2.2904182938899422E-2</v>
      </c>
      <c r="X5" s="15">
        <f t="shared" si="0"/>
        <v>2.3617554054602356E-2</v>
      </c>
      <c r="Y5" s="15">
        <f t="shared" si="0"/>
        <v>2.0709106663182104E-2</v>
      </c>
      <c r="Z5" s="15">
        <f t="shared" si="0"/>
        <v>1.9650518164112191E-2</v>
      </c>
      <c r="AA5" s="15">
        <f t="shared" si="0"/>
        <v>1.826524338167387E-2</v>
      </c>
    </row>
    <row r="6" spans="2:27" x14ac:dyDescent="0.3">
      <c r="B6" s="16" t="s">
        <v>4</v>
      </c>
      <c r="C6" s="17">
        <v>149778</v>
      </c>
      <c r="D6" s="17">
        <v>147876</v>
      </c>
      <c r="E6" s="17">
        <v>149381</v>
      </c>
      <c r="F6" s="17">
        <v>155277</v>
      </c>
      <c r="G6" s="17">
        <v>152250</v>
      </c>
      <c r="H6" s="17">
        <v>157121</v>
      </c>
      <c r="I6" s="17">
        <v>157210</v>
      </c>
      <c r="J6" s="17">
        <v>158297</v>
      </c>
      <c r="K6" s="17">
        <v>152878</v>
      </c>
      <c r="L6" s="18">
        <v>143031</v>
      </c>
      <c r="M6" s="18">
        <v>146220</v>
      </c>
      <c r="N6" s="18">
        <v>144503</v>
      </c>
      <c r="O6" s="18">
        <v>143690</v>
      </c>
      <c r="P6" s="18">
        <v>136672</v>
      </c>
      <c r="Q6" s="17">
        <v>132619</v>
      </c>
      <c r="R6" s="17">
        <v>131292</v>
      </c>
      <c r="S6" s="17">
        <v>131983</v>
      </c>
      <c r="T6" s="18">
        <v>129173</v>
      </c>
      <c r="U6" s="17">
        <v>129680</v>
      </c>
      <c r="V6" s="18">
        <v>132621</v>
      </c>
      <c r="W6" s="17">
        <v>160962</v>
      </c>
      <c r="X6" s="19">
        <v>181216</v>
      </c>
      <c r="Y6" s="20">
        <v>133523</v>
      </c>
      <c r="Z6" s="21">
        <v>130686</v>
      </c>
      <c r="AA6" s="21">
        <v>132916</v>
      </c>
    </row>
    <row r="7" spans="2:27" x14ac:dyDescent="0.3">
      <c r="B7" s="22" t="s">
        <v>5</v>
      </c>
      <c r="C7" s="22" t="s">
        <v>5</v>
      </c>
      <c r="D7" s="22" t="s">
        <v>5</v>
      </c>
      <c r="E7" s="22" t="s">
        <v>5</v>
      </c>
      <c r="F7" s="22" t="s">
        <v>5</v>
      </c>
      <c r="G7" s="22" t="s">
        <v>5</v>
      </c>
      <c r="H7" s="22" t="s">
        <v>5</v>
      </c>
      <c r="I7" s="22" t="s">
        <v>5</v>
      </c>
      <c r="J7" s="22" t="s">
        <v>5</v>
      </c>
      <c r="K7" s="22" t="s">
        <v>5</v>
      </c>
      <c r="L7" s="22" t="s">
        <v>5</v>
      </c>
      <c r="M7" s="22" t="s">
        <v>5</v>
      </c>
      <c r="N7" s="22" t="s">
        <v>5</v>
      </c>
      <c r="O7" s="22" t="s">
        <v>5</v>
      </c>
      <c r="P7" s="22" t="s">
        <v>5</v>
      </c>
      <c r="Q7" s="22" t="s">
        <v>5</v>
      </c>
      <c r="R7" s="22" t="s">
        <v>5</v>
      </c>
      <c r="S7" s="22" t="s">
        <v>5</v>
      </c>
      <c r="T7" s="22" t="s">
        <v>5</v>
      </c>
      <c r="U7" s="22" t="s">
        <v>5</v>
      </c>
      <c r="V7" s="22" t="s">
        <v>5</v>
      </c>
      <c r="W7" s="22" t="s">
        <v>5</v>
      </c>
      <c r="X7" s="22" t="s">
        <v>5</v>
      </c>
      <c r="Y7" s="22" t="s">
        <v>5</v>
      </c>
      <c r="Z7" s="22" t="s">
        <v>5</v>
      </c>
      <c r="AA7" s="22" t="s">
        <v>5</v>
      </c>
    </row>
    <row r="8" spans="2:27" x14ac:dyDescent="0.3">
      <c r="B8" s="23" t="s">
        <v>6</v>
      </c>
      <c r="C8" s="24">
        <v>108303</v>
      </c>
      <c r="D8" s="24">
        <v>107462</v>
      </c>
      <c r="E8" s="24">
        <v>111105</v>
      </c>
      <c r="F8" s="24">
        <v>120335</v>
      </c>
      <c r="G8" s="24">
        <v>132479</v>
      </c>
      <c r="H8" s="24">
        <v>135482</v>
      </c>
      <c r="I8" s="24">
        <v>146652</v>
      </c>
      <c r="J8" s="24">
        <v>156420</v>
      </c>
      <c r="K8" s="24">
        <v>173749</v>
      </c>
      <c r="L8" s="25">
        <v>172364</v>
      </c>
      <c r="M8" s="25">
        <v>178547</v>
      </c>
      <c r="N8" s="25">
        <v>180751</v>
      </c>
      <c r="O8" s="25">
        <v>185595</v>
      </c>
      <c r="P8" s="25">
        <v>187403</v>
      </c>
      <c r="Q8" s="25">
        <v>193628</v>
      </c>
      <c r="R8" s="25">
        <v>193234</v>
      </c>
      <c r="S8" s="25">
        <v>193621</v>
      </c>
      <c r="T8" s="25">
        <v>188633</v>
      </c>
      <c r="U8" s="25">
        <v>192490</v>
      </c>
      <c r="V8" s="25">
        <v>194048</v>
      </c>
      <c r="W8" s="25">
        <v>206010</v>
      </c>
      <c r="X8" s="25">
        <v>215902</v>
      </c>
      <c r="Y8" s="25">
        <v>195752</v>
      </c>
      <c r="Z8" s="25">
        <v>187869</v>
      </c>
      <c r="AA8" s="26">
        <v>177076</v>
      </c>
    </row>
    <row r="9" spans="2:27" x14ac:dyDescent="0.3">
      <c r="B9" s="23"/>
      <c r="C9" s="27">
        <f>C8/C4</f>
        <v>7.2678572782688836E-3</v>
      </c>
      <c r="D9" s="27">
        <f t="shared" ref="D9:AA9" si="1">D8/D4</f>
        <v>7.2288994531674112E-3</v>
      </c>
      <c r="E9" s="27">
        <f t="shared" si="1"/>
        <v>7.4812846679822628E-3</v>
      </c>
      <c r="F9" s="27">
        <f t="shared" si="1"/>
        <v>8.0941897728481187E-3</v>
      </c>
      <c r="G9" s="27">
        <f t="shared" si="1"/>
        <v>8.8607603403071319E-3</v>
      </c>
      <c r="H9" s="27">
        <f t="shared" si="1"/>
        <v>8.9873362553464335E-3</v>
      </c>
      <c r="I9" s="27">
        <f t="shared" si="1"/>
        <v>9.6359285067878653E-3</v>
      </c>
      <c r="J9" s="27">
        <f t="shared" si="1"/>
        <v>1.0159202404539413E-2</v>
      </c>
      <c r="K9" s="27">
        <f t="shared" si="1"/>
        <v>1.1158137176969268E-2</v>
      </c>
      <c r="L9" s="27">
        <f t="shared" si="1"/>
        <v>1.0784645463946732E-2</v>
      </c>
      <c r="M9" s="27">
        <f t="shared" si="1"/>
        <v>1.1019261474280378E-2</v>
      </c>
      <c r="N9" s="27">
        <f t="shared" si="1"/>
        <v>1.0994416509623271E-2</v>
      </c>
      <c r="O9" s="27">
        <f t="shared" si="1"/>
        <v>1.1131040768954931E-2</v>
      </c>
      <c r="P9" s="27">
        <f t="shared" si="1"/>
        <v>1.1082509023318372E-2</v>
      </c>
      <c r="Q9" s="27">
        <f t="shared" si="1"/>
        <v>1.1283538322935254E-2</v>
      </c>
      <c r="R9" s="27">
        <f t="shared" si="1"/>
        <v>1.1095908919765026E-2</v>
      </c>
      <c r="S9" s="27">
        <f t="shared" si="1"/>
        <v>1.0958405589086249E-2</v>
      </c>
      <c r="T9" s="27">
        <f t="shared" si="1"/>
        <v>1.0528379148235692E-2</v>
      </c>
      <c r="U9" s="27">
        <f t="shared" si="1"/>
        <v>1.0602107037273161E-2</v>
      </c>
      <c r="V9" s="27">
        <f t="shared" si="1"/>
        <v>1.0549158825705876E-2</v>
      </c>
      <c r="W9" s="27">
        <f t="shared" si="1"/>
        <v>1.1057424968815281E-2</v>
      </c>
      <c r="X9" s="27">
        <f t="shared" si="1"/>
        <v>1.143611360918813E-2</v>
      </c>
      <c r="Y9" s="27">
        <f t="shared" si="1"/>
        <v>1.0036938118588891E-2</v>
      </c>
      <c r="Z9" s="27">
        <f t="shared" si="1"/>
        <v>9.5042664199635283E-3</v>
      </c>
      <c r="AA9" s="27">
        <f t="shared" si="1"/>
        <v>8.8388437924188483E-3</v>
      </c>
    </row>
    <row r="10" spans="2:27" x14ac:dyDescent="0.3">
      <c r="B10" s="23" t="s">
        <v>7</v>
      </c>
      <c r="C10" s="24">
        <v>113751</v>
      </c>
      <c r="D10" s="24">
        <v>114025</v>
      </c>
      <c r="E10" s="24">
        <v>116066</v>
      </c>
      <c r="F10" s="24">
        <v>127611</v>
      </c>
      <c r="G10" s="24">
        <v>140549</v>
      </c>
      <c r="H10" s="24">
        <v>143495</v>
      </c>
      <c r="I10" s="24">
        <v>155104</v>
      </c>
      <c r="J10" s="24">
        <v>165543</v>
      </c>
      <c r="K10" s="24">
        <v>183806</v>
      </c>
      <c r="L10" s="25">
        <v>183962</v>
      </c>
      <c r="M10" s="25">
        <v>189238</v>
      </c>
      <c r="N10" s="25">
        <v>192045</v>
      </c>
      <c r="O10" s="25">
        <v>195677</v>
      </c>
      <c r="P10" s="25">
        <v>199969</v>
      </c>
      <c r="Q10" s="25">
        <v>205820</v>
      </c>
      <c r="R10" s="25">
        <v>205357</v>
      </c>
      <c r="S10" s="25">
        <v>207410</v>
      </c>
      <c r="T10" s="25">
        <v>201872</v>
      </c>
      <c r="U10" s="25">
        <v>205128</v>
      </c>
      <c r="V10" s="25">
        <v>207821</v>
      </c>
      <c r="W10" s="25">
        <v>220716</v>
      </c>
      <c r="X10" s="25">
        <v>229973</v>
      </c>
      <c r="Y10" s="25">
        <v>208141</v>
      </c>
      <c r="Z10" s="25">
        <v>200559</v>
      </c>
      <c r="AA10" s="25">
        <v>188847</v>
      </c>
    </row>
    <row r="11" spans="2:27" x14ac:dyDescent="0.3">
      <c r="B11" s="28"/>
      <c r="C11" s="29">
        <f>C10/C4</f>
        <v>7.6334545973829326E-3</v>
      </c>
      <c r="D11" s="29">
        <f t="shared" ref="D11:AA11" si="2">D10/D4</f>
        <v>7.670388231629916E-3</v>
      </c>
      <c r="E11" s="29">
        <f t="shared" si="2"/>
        <v>7.8153349198868578E-3</v>
      </c>
      <c r="F11" s="29">
        <f t="shared" si="2"/>
        <v>8.5836012058247493E-3</v>
      </c>
      <c r="G11" s="29">
        <f t="shared" si="2"/>
        <v>9.4005163465139922E-3</v>
      </c>
      <c r="H11" s="29">
        <f t="shared" si="2"/>
        <v>9.5188867595764493E-3</v>
      </c>
      <c r="I11" s="29">
        <f t="shared" si="2"/>
        <v>1.0191276321610513E-2</v>
      </c>
      <c r="J11" s="29">
        <f t="shared" si="2"/>
        <v>1.0751725122456644E-2</v>
      </c>
      <c r="K11" s="29">
        <f t="shared" si="2"/>
        <v>1.1803996350770439E-2</v>
      </c>
      <c r="L11" s="29">
        <f t="shared" si="2"/>
        <v>1.151032088393498E-2</v>
      </c>
      <c r="M11" s="29">
        <f t="shared" si="2"/>
        <v>1.1679070512917439E-2</v>
      </c>
      <c r="N11" s="29">
        <f t="shared" si="2"/>
        <v>1.1681388864186648E-2</v>
      </c>
      <c r="O11" s="29">
        <f t="shared" si="2"/>
        <v>1.1735707667484545E-2</v>
      </c>
      <c r="P11" s="29">
        <f t="shared" si="2"/>
        <v>1.1825628441828315E-2</v>
      </c>
      <c r="Q11" s="29">
        <f t="shared" si="2"/>
        <v>1.1994018724701665E-2</v>
      </c>
      <c r="R11" s="29">
        <f t="shared" si="2"/>
        <v>1.1792037467713687E-2</v>
      </c>
      <c r="S11" s="29">
        <f t="shared" si="2"/>
        <v>1.1738824317777405E-2</v>
      </c>
      <c r="T11" s="29">
        <f t="shared" si="2"/>
        <v>1.1267301879377604E-2</v>
      </c>
      <c r="U11" s="29">
        <f t="shared" si="2"/>
        <v>1.1298192177992463E-2</v>
      </c>
      <c r="V11" s="29">
        <f t="shared" si="2"/>
        <v>1.1297909467332933E-2</v>
      </c>
      <c r="W11" s="29">
        <f t="shared" si="2"/>
        <v>1.1846757970084139E-2</v>
      </c>
      <c r="X11" s="29">
        <f t="shared" si="2"/>
        <v>1.2181440445414225E-2</v>
      </c>
      <c r="Y11" s="29">
        <f t="shared" si="2"/>
        <v>1.0672168544593212E-2</v>
      </c>
      <c r="Z11" s="29">
        <f t="shared" si="2"/>
        <v>1.0146251744148663E-2</v>
      </c>
      <c r="AA11" s="29">
        <f t="shared" si="2"/>
        <v>9.4263995892550217E-3</v>
      </c>
    </row>
    <row r="12" spans="2:27" x14ac:dyDescent="0.3">
      <c r="B12" s="30" t="s">
        <v>8</v>
      </c>
      <c r="C12" s="24">
        <v>7177523</v>
      </c>
      <c r="D12" s="24">
        <v>7159703</v>
      </c>
      <c r="E12" s="24">
        <v>7153460</v>
      </c>
      <c r="F12" s="24">
        <v>7160173</v>
      </c>
      <c r="G12" s="24">
        <v>7198994</v>
      </c>
      <c r="H12" s="24">
        <v>7256924</v>
      </c>
      <c r="I12" s="24">
        <v>7324780</v>
      </c>
      <c r="J12" s="24">
        <v>7409284</v>
      </c>
      <c r="K12" s="24">
        <v>7491554</v>
      </c>
      <c r="L12" s="31">
        <v>7698869</v>
      </c>
      <c r="M12" s="31">
        <v>7807886</v>
      </c>
      <c r="N12" s="31">
        <v>7924789</v>
      </c>
      <c r="O12" s="31">
        <v>8041518</v>
      </c>
      <c r="P12" s="31">
        <v>8158507</v>
      </c>
      <c r="Q12" s="32">
        <v>8284052</v>
      </c>
      <c r="R12" s="24">
        <v>8412377</v>
      </c>
      <c r="S12" s="24">
        <v>8540810</v>
      </c>
      <c r="T12" s="31">
        <v>8667169</v>
      </c>
      <c r="U12" s="33">
        <v>8790014</v>
      </c>
      <c r="V12" s="24">
        <v>8912439</v>
      </c>
      <c r="W12" s="31">
        <v>9033482</v>
      </c>
      <c r="X12" s="31">
        <v>9159956</v>
      </c>
      <c r="Y12" s="31">
        <v>9513784</v>
      </c>
      <c r="Z12" s="31">
        <v>9647701</v>
      </c>
      <c r="AA12" s="31">
        <v>9783814</v>
      </c>
    </row>
    <row r="13" spans="2:27" x14ac:dyDescent="0.3">
      <c r="B13" s="23"/>
      <c r="C13" s="34">
        <f>C12/C4</f>
        <v>0.48165990577816231</v>
      </c>
      <c r="D13" s="34">
        <f t="shared" ref="D13:AA13" si="3">D12/D4</f>
        <v>0.481628604544314</v>
      </c>
      <c r="E13" s="34">
        <f t="shared" si="3"/>
        <v>0.48168012799625937</v>
      </c>
      <c r="F13" s="34">
        <f t="shared" si="3"/>
        <v>0.48162046842916217</v>
      </c>
      <c r="G13" s="34">
        <f t="shared" si="3"/>
        <v>0.48149941141848146</v>
      </c>
      <c r="H13" s="34">
        <f t="shared" si="3"/>
        <v>0.48139543383987293</v>
      </c>
      <c r="I13" s="34">
        <f t="shared" si="3"/>
        <v>0.48128260376912435</v>
      </c>
      <c r="J13" s="34">
        <f t="shared" si="3"/>
        <v>0.48121989405904236</v>
      </c>
      <c r="K13" s="34">
        <f t="shared" si="3"/>
        <v>0.4811065801856288</v>
      </c>
      <c r="L13" s="34">
        <f t="shared" si="3"/>
        <v>0.48171063933518671</v>
      </c>
      <c r="M13" s="34">
        <f t="shared" si="3"/>
        <v>0.48187388976220891</v>
      </c>
      <c r="N13" s="34">
        <f t="shared" si="3"/>
        <v>0.48203567901079875</v>
      </c>
      <c r="O13" s="34">
        <f t="shared" si="3"/>
        <v>0.482289203385247</v>
      </c>
      <c r="P13" s="34">
        <f t="shared" si="3"/>
        <v>0.48247214529279742</v>
      </c>
      <c r="Q13" s="34">
        <f t="shared" si="3"/>
        <v>0.48274742398407477</v>
      </c>
      <c r="R13" s="34">
        <f t="shared" si="3"/>
        <v>0.48305665147296106</v>
      </c>
      <c r="S13" s="34">
        <f t="shared" si="3"/>
        <v>0.48338589326221709</v>
      </c>
      <c r="T13" s="34">
        <f t="shared" si="3"/>
        <v>0.48375014644221737</v>
      </c>
      <c r="U13" s="34">
        <f t="shared" si="3"/>
        <v>0.48414291281172844</v>
      </c>
      <c r="V13" s="34">
        <f t="shared" si="3"/>
        <v>0.48451277279546945</v>
      </c>
      <c r="W13" s="34">
        <f t="shared" si="3"/>
        <v>0.48486505228941995</v>
      </c>
      <c r="X13" s="34">
        <f t="shared" si="3"/>
        <v>0.48519373359748624</v>
      </c>
      <c r="Y13" s="34">
        <f t="shared" si="3"/>
        <v>0.4878073341862208</v>
      </c>
      <c r="Z13" s="34">
        <f t="shared" si="3"/>
        <v>0.48807584350876698</v>
      </c>
      <c r="AA13" s="34">
        <f t="shared" si="3"/>
        <v>0.48836433870248153</v>
      </c>
    </row>
    <row r="14" spans="2:27" x14ac:dyDescent="0.3">
      <c r="B14" s="30" t="s">
        <v>9</v>
      </c>
      <c r="C14" s="24">
        <v>7724118</v>
      </c>
      <c r="D14" s="24">
        <v>7705907</v>
      </c>
      <c r="E14" s="24">
        <v>7697599</v>
      </c>
      <c r="F14" s="24">
        <v>7706664</v>
      </c>
      <c r="G14" s="24">
        <v>7752206</v>
      </c>
      <c r="H14" s="24">
        <v>7817843</v>
      </c>
      <c r="I14" s="24">
        <v>7894511</v>
      </c>
      <c r="J14" s="24">
        <v>7987594</v>
      </c>
      <c r="K14" s="24">
        <v>8079952</v>
      </c>
      <c r="L14" s="31">
        <v>8283483</v>
      </c>
      <c r="M14" s="31">
        <v>8395287</v>
      </c>
      <c r="N14" s="31">
        <v>8515465</v>
      </c>
      <c r="O14" s="31">
        <v>8632125</v>
      </c>
      <c r="P14" s="31">
        <v>8751292</v>
      </c>
      <c r="Q14" s="35">
        <v>8876168</v>
      </c>
      <c r="R14" s="24">
        <v>9002510</v>
      </c>
      <c r="S14" s="24">
        <v>9127910</v>
      </c>
      <c r="T14" s="31">
        <v>9249454</v>
      </c>
      <c r="U14" s="24">
        <v>9365811</v>
      </c>
      <c r="V14" s="24">
        <v>9482203</v>
      </c>
      <c r="W14" s="36">
        <v>9597438</v>
      </c>
      <c r="X14" s="36">
        <v>9719010</v>
      </c>
      <c r="Y14" s="36">
        <v>9989375</v>
      </c>
      <c r="Z14" s="36">
        <v>10119106</v>
      </c>
      <c r="AA14" s="36">
        <v>10250028</v>
      </c>
    </row>
    <row r="15" spans="2:27" x14ac:dyDescent="0.3">
      <c r="B15" s="23"/>
      <c r="C15" s="34">
        <f>C14/C4</f>
        <v>0.51834009422183769</v>
      </c>
      <c r="D15" s="34">
        <f t="shared" ref="D15:AA15" si="4">D14/D4</f>
        <v>0.518371395455686</v>
      </c>
      <c r="E15" s="34">
        <f t="shared" si="4"/>
        <v>0.51831987200374063</v>
      </c>
      <c r="F15" s="34">
        <f t="shared" si="4"/>
        <v>0.51837953157083783</v>
      </c>
      <c r="G15" s="34">
        <f t="shared" si="4"/>
        <v>0.5185005885815186</v>
      </c>
      <c r="H15" s="34">
        <f t="shared" si="4"/>
        <v>0.51860456616012707</v>
      </c>
      <c r="I15" s="34">
        <f t="shared" si="4"/>
        <v>0.51871739623087565</v>
      </c>
      <c r="J15" s="34">
        <f t="shared" si="4"/>
        <v>0.51878010594095769</v>
      </c>
      <c r="K15" s="34">
        <f t="shared" si="4"/>
        <v>0.5188934198143712</v>
      </c>
      <c r="L15" s="34">
        <f t="shared" si="4"/>
        <v>0.51828936066481324</v>
      </c>
      <c r="M15" s="34">
        <f t="shared" si="4"/>
        <v>0.51812611023779109</v>
      </c>
      <c r="N15" s="34">
        <f t="shared" si="4"/>
        <v>0.51796432098920131</v>
      </c>
      <c r="O15" s="34">
        <f t="shared" si="4"/>
        <v>0.51771079661475294</v>
      </c>
      <c r="P15" s="34">
        <f t="shared" si="4"/>
        <v>0.51752785470720264</v>
      </c>
      <c r="Q15" s="34">
        <f t="shared" si="4"/>
        <v>0.51725257601592523</v>
      </c>
      <c r="R15" s="34">
        <f t="shared" si="4"/>
        <v>0.51694334852703894</v>
      </c>
      <c r="S15" s="34">
        <f t="shared" si="4"/>
        <v>0.51661410673778296</v>
      </c>
      <c r="T15" s="34">
        <f t="shared" si="4"/>
        <v>0.51624985355778263</v>
      </c>
      <c r="U15" s="34">
        <f t="shared" si="4"/>
        <v>0.5158570871882715</v>
      </c>
      <c r="V15" s="34">
        <f t="shared" si="4"/>
        <v>0.51548722720453055</v>
      </c>
      <c r="W15" s="34">
        <f t="shared" si="4"/>
        <v>0.51513494771057999</v>
      </c>
      <c r="X15" s="34">
        <f t="shared" si="4"/>
        <v>0.51480626640251381</v>
      </c>
      <c r="Y15" s="34">
        <f t="shared" si="4"/>
        <v>0.5121926658137792</v>
      </c>
      <c r="Z15" s="34">
        <f t="shared" si="4"/>
        <v>0.51192415649123302</v>
      </c>
      <c r="AA15" s="34">
        <f t="shared" si="4"/>
        <v>0.51163566129751847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Жасмин Макульбекова</dc:creator>
  <cp:lastModifiedBy>Жасмин Макульбекова</cp:lastModifiedBy>
  <dcterms:created xsi:type="dcterms:W3CDTF">2025-10-27T16:51:51Z</dcterms:created>
  <dcterms:modified xsi:type="dcterms:W3CDTF">2025-10-27T17:12:17Z</dcterms:modified>
</cp:coreProperties>
</file>