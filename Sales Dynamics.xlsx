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sam\OneDrive\Desktop\Statistics\"/>
    </mc:Choice>
  </mc:AlternateContent>
  <xr:revisionPtr revIDLastSave="0" documentId="13_ncr:1_{74909B25-80F7-4E2F-A3B1-C13CFFE19A25}" xr6:coauthVersionLast="47" xr6:coauthVersionMax="47" xr10:uidLastSave="{00000000-0000-0000-0000-000000000000}"/>
  <bookViews>
    <workbookView xWindow="-108" yWindow="-108" windowWidth="23256" windowHeight="12456" xr2:uid="{E0FE6638-E346-4A2B-8C9E-EF66CFC7E34A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2" l="1"/>
  <c r="E24" i="2"/>
  <c r="E25" i="2"/>
  <c r="E26" i="2"/>
  <c r="E27" i="2"/>
  <c r="E28" i="2"/>
  <c r="E29" i="2"/>
  <c r="E30" i="2"/>
  <c r="E31" i="2"/>
  <c r="E32" i="2"/>
  <c r="E33" i="2"/>
  <c r="E34" i="2"/>
</calcChain>
</file>

<file path=xl/sharedStrings.xml><?xml version="1.0" encoding="utf-8"?>
<sst xmlns="http://schemas.openxmlformats.org/spreadsheetml/2006/main" count="18" uniqueCount="18">
  <si>
    <t>дек</t>
  </si>
  <si>
    <t>ноя</t>
  </si>
  <si>
    <t>окт</t>
  </si>
  <si>
    <t>сен</t>
  </si>
  <si>
    <t>авг</t>
  </si>
  <si>
    <t>июл</t>
  </si>
  <si>
    <t>июн</t>
  </si>
  <si>
    <t>май</t>
  </si>
  <si>
    <t>апр</t>
  </si>
  <si>
    <t>мар</t>
  </si>
  <si>
    <t>фев</t>
  </si>
  <si>
    <t>янв</t>
  </si>
  <si>
    <t>Разница</t>
  </si>
  <si>
    <t>Факт</t>
  </si>
  <si>
    <t>План</t>
  </si>
  <si>
    <t>Динамика продаж (план-факт)</t>
  </si>
  <si>
    <t>Время, ч</t>
  </si>
  <si>
    <t>Стаж,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</si>
</sst>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804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" fontId="2" fillId="0" borderId="1" xfId="1" applyNumberFormat="1" applyBorder="1"/>
    <xf numFmtId="0" fontId="2" fillId="2" borderId="1" xfId="1" applyFill="1" applyBorder="1"/>
    <xf numFmtId="0" fontId="2" fillId="2" borderId="2" xfId="1" applyFill="1" applyBorder="1"/>
    <xf numFmtId="0" fontId="2" fillId="3" borderId="2" xfId="1" applyFill="1" applyBorder="1"/>
    <xf numFmtId="0" fontId="2" fillId="4" borderId="2" xfId="1" applyFill="1" applyBorder="1"/>
    <xf numFmtId="0" fontId="2" fillId="0" borderId="0" xfId="1"/>
    <xf numFmtId="0" fontId="2" fillId="0" borderId="1" xfId="1" applyBorder="1"/>
    <xf numFmtId="0" fontId="1" fillId="5" borderId="1" xfId="1" applyFont="1" applyFill="1" applyBorder="1"/>
    <xf numFmtId="0" fontId="2" fillId="0" borderId="0" xfId="1" applyAlignment="1">
      <alignment horizontal="center"/>
    </xf>
  </cellXfs>
  <cellStyles count="2">
    <cellStyle name="Обычный" xfId="0" builtinId="0"/>
    <cellStyle name="Обычный 3" xfId="1" xr:uid="{B4F38561-1759-463E-B495-8F8C8A87F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выполнения задания от трудового стажа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Лист2!$C$4</c:f>
              <c:strCache>
                <c:ptCount val="1"/>
                <c:pt idx="0">
                  <c:v>Время, 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Лист2!$C$5:$C$10</c:f>
              <c:numCache>
                <c:formatCode>General</c:formatCode>
                <c:ptCount val="6"/>
                <c:pt idx="0">
                  <c:v>51</c:v>
                </c:pt>
                <c:pt idx="1">
                  <c:v>35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1-49DA-8871-43E817CCC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7413248"/>
        <c:axId val="1457414912"/>
      </c:barChart>
      <c:lineChart>
        <c:grouping val="standard"/>
        <c:varyColors val="0"/>
        <c:ser>
          <c:idx val="0"/>
          <c:order val="0"/>
          <c:tx>
            <c:strRef>
              <c:f>Лист2!$B$4</c:f>
              <c:strCache>
                <c:ptCount val="1"/>
                <c:pt idx="0">
                  <c:v>Стаж, лет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Лист2!$B$5:$B$10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40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1-49DA-8871-43E817CCC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7413248"/>
        <c:axId val="1457414912"/>
      </c:lineChart>
      <c:catAx>
        <c:axId val="14574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57414912"/>
        <c:crosses val="autoZero"/>
        <c:auto val="1"/>
        <c:lblAlgn val="ctr"/>
        <c:lblOffset val="100"/>
        <c:noMultiLvlLbl val="0"/>
      </c:catAx>
      <c:valAx>
        <c:axId val="14574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5741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 ( ПЛАН-ФАКТ)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Лист2!$C$22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rgbClr val="70AD47">
                <a:alpha val="0"/>
              </a:srgbClr>
            </a:solidFill>
            <a:ln>
              <a:noFill/>
            </a:ln>
            <a:effectLst/>
          </c:spPr>
          <c:cat>
            <c:strRef>
              <c:f>Лист2!$B$23:$B$34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Лист2!$C$23:$C$34</c:f>
              <c:numCache>
                <c:formatCode>0</c:formatCode>
                <c:ptCount val="12"/>
                <c:pt idx="0">
                  <c:v>75.5</c:v>
                </c:pt>
                <c:pt idx="1">
                  <c:v>80.599999999999994</c:v>
                </c:pt>
                <c:pt idx="2">
                  <c:v>77.3</c:v>
                </c:pt>
                <c:pt idx="3">
                  <c:v>53.9</c:v>
                </c:pt>
                <c:pt idx="4">
                  <c:v>50.1</c:v>
                </c:pt>
                <c:pt idx="5">
                  <c:v>71</c:v>
                </c:pt>
                <c:pt idx="6">
                  <c:v>67.599999999999994</c:v>
                </c:pt>
                <c:pt idx="7">
                  <c:v>91.8</c:v>
                </c:pt>
                <c:pt idx="8">
                  <c:v>91</c:v>
                </c:pt>
                <c:pt idx="9">
                  <c:v>68.3</c:v>
                </c:pt>
                <c:pt idx="10">
                  <c:v>95.1</c:v>
                </c:pt>
                <c:pt idx="11">
                  <c:v>79.900000000000006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2-4F5D-BD80-0AF74AE1808E}"/>
            </c:ext>
          </c:extLst>
        </c:ser>
        <c:ser>
          <c:idx val="1"/>
          <c:order val="1"/>
          <c:tx>
            <c:strRef>
              <c:f>Лист2!$E$22</c:f>
              <c:strCache>
                <c:ptCount val="1"/>
                <c:pt idx="0">
                  <c:v>Разница</c:v>
                </c:pt>
              </c:strCache>
            </c:strRef>
          </c:tx>
          <c:spPr>
            <a:pattFill prst="narHorz">
              <a:fgClr>
                <a:srgbClr val="70AD47"/>
              </a:fgClr>
              <a:bgClr>
                <a:schemeClr val="bg1"/>
              </a:bgClr>
            </a:patt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Лист2!$B$23:$B$34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Лист2!$E$23:$E$34</c:f>
              <c:numCache>
                <c:formatCode>0</c:formatCode>
                <c:ptCount val="12"/>
                <c:pt idx="0">
                  <c:v>-24.200000000000003</c:v>
                </c:pt>
                <c:pt idx="1">
                  <c:v>-16.099999999999994</c:v>
                </c:pt>
                <c:pt idx="2">
                  <c:v>-4.7000000000000028</c:v>
                </c:pt>
                <c:pt idx="3">
                  <c:v>11.100000000000001</c:v>
                </c:pt>
                <c:pt idx="4">
                  <c:v>24.9</c:v>
                </c:pt>
                <c:pt idx="5">
                  <c:v>25</c:v>
                </c:pt>
                <c:pt idx="6">
                  <c:v>6.4000000000000057</c:v>
                </c:pt>
                <c:pt idx="7">
                  <c:v>-28</c:v>
                </c:pt>
                <c:pt idx="8">
                  <c:v>-22.799999999999997</c:v>
                </c:pt>
                <c:pt idx="9">
                  <c:v>31.700000000000003</c:v>
                </c:pt>
                <c:pt idx="10">
                  <c:v>-6.5</c:v>
                </c:pt>
                <c:pt idx="11">
                  <c:v>-15.900000000000006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2-4F5D-BD80-0AF74AE1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893119"/>
        <c:axId val="1533889791"/>
      </c:areaChart>
      <c:lineChart>
        <c:grouping val="standard"/>
        <c:varyColors val="0"/>
        <c:ser>
          <c:idx val="2"/>
          <c:order val="2"/>
          <c:tx>
            <c:strRef>
              <c:f>Лист2!$C$22</c:f>
              <c:strCache>
                <c:ptCount val="1"/>
                <c:pt idx="0">
                  <c:v>План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2944444444444495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42-4F5D-BD80-0AF74AE1808E}"/>
                </c:ext>
              </c:extLst>
            </c:dLbl>
            <c:dLbl>
              <c:idx val="4"/>
              <c:layout>
                <c:manualLayout>
                  <c:x val="-2.5166666666666719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42-4F5D-BD80-0AF74AE1808E}"/>
                </c:ext>
              </c:extLst>
            </c:dLbl>
            <c:dLbl>
              <c:idx val="5"/>
              <c:layout>
                <c:manualLayout>
                  <c:x val="-2.2388888888888889E-2"/>
                  <c:y val="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42-4F5D-BD80-0AF74AE1808E}"/>
                </c:ext>
              </c:extLst>
            </c:dLbl>
            <c:dLbl>
              <c:idx val="6"/>
              <c:layout>
                <c:manualLayout>
                  <c:x val="-3.0722222222222224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42-4F5D-BD80-0AF74AE1808E}"/>
                </c:ext>
              </c:extLst>
            </c:dLbl>
            <c:dLbl>
              <c:idx val="9"/>
              <c:layout>
                <c:manualLayout>
                  <c:x val="-3.9055555555555656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42-4F5D-BD80-0AF74AE18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Лист2!$B$23:$B$34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Лист2!$C$23:$C$34</c:f>
              <c:numCache>
                <c:formatCode>0</c:formatCode>
                <c:ptCount val="12"/>
                <c:pt idx="0">
                  <c:v>75.5</c:v>
                </c:pt>
                <c:pt idx="1">
                  <c:v>80.599999999999994</c:v>
                </c:pt>
                <c:pt idx="2">
                  <c:v>77.3</c:v>
                </c:pt>
                <c:pt idx="3">
                  <c:v>53.9</c:v>
                </c:pt>
                <c:pt idx="4">
                  <c:v>50.1</c:v>
                </c:pt>
                <c:pt idx="5">
                  <c:v>71</c:v>
                </c:pt>
                <c:pt idx="6">
                  <c:v>67.599999999999994</c:v>
                </c:pt>
                <c:pt idx="7">
                  <c:v>91.8</c:v>
                </c:pt>
                <c:pt idx="8">
                  <c:v>91</c:v>
                </c:pt>
                <c:pt idx="9">
                  <c:v>68.3</c:v>
                </c:pt>
                <c:pt idx="10">
                  <c:v>95.1</c:v>
                </c:pt>
                <c:pt idx="11">
                  <c:v>79.900000000000006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42-4F5D-BD80-0AF74AE1808E}"/>
            </c:ext>
          </c:extLst>
        </c:ser>
        <c:ser>
          <c:idx val="3"/>
          <c:order val="3"/>
          <c:tx>
            <c:strRef>
              <c:f>Лист2!$D$22</c:f>
              <c:strCache>
                <c:ptCount val="1"/>
                <c:pt idx="0">
                  <c:v>Факт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4.738888888888889E-2"/>
                  <c:y val="-6.7164260717410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42-4F5D-BD80-0AF74AE1808E}"/>
                </c:ext>
              </c:extLst>
            </c:dLbl>
            <c:dLbl>
              <c:idx val="4"/>
              <c:layout>
                <c:manualLayout>
                  <c:x val="-6.1277777777777778E-2"/>
                  <c:y val="-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42-4F5D-BD80-0AF74AE1808E}"/>
                </c:ext>
              </c:extLst>
            </c:dLbl>
            <c:dLbl>
              <c:idx val="5"/>
              <c:layout>
                <c:manualLayout>
                  <c:x val="-4.738888888888889E-2"/>
                  <c:y val="-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42-4F5D-BD80-0AF74AE1808E}"/>
                </c:ext>
              </c:extLst>
            </c:dLbl>
            <c:dLbl>
              <c:idx val="6"/>
              <c:layout>
                <c:manualLayout>
                  <c:x val="-1.961111111111111E-2"/>
                  <c:y val="-6.7164260717410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42-4F5D-BD80-0AF74AE1808E}"/>
                </c:ext>
              </c:extLst>
            </c:dLbl>
            <c:dLbl>
              <c:idx val="9"/>
              <c:layout>
                <c:manualLayout>
                  <c:x val="-4.5388888888888888E-2"/>
                  <c:y val="-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42-4F5D-BD80-0AF74AE18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Лист2!$B$23:$B$34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Лист2!$D$23:$D$34</c:f>
              <c:numCache>
                <c:formatCode>0</c:formatCode>
                <c:ptCount val="12"/>
                <c:pt idx="0">
                  <c:v>51.3</c:v>
                </c:pt>
                <c:pt idx="1">
                  <c:v>64.5</c:v>
                </c:pt>
                <c:pt idx="2">
                  <c:v>72.599999999999994</c:v>
                </c:pt>
                <c:pt idx="3">
                  <c:v>65</c:v>
                </c:pt>
                <c:pt idx="4">
                  <c:v>75</c:v>
                </c:pt>
                <c:pt idx="5">
                  <c:v>96</c:v>
                </c:pt>
                <c:pt idx="6">
                  <c:v>74</c:v>
                </c:pt>
                <c:pt idx="7">
                  <c:v>63.8</c:v>
                </c:pt>
                <c:pt idx="8">
                  <c:v>68.2</c:v>
                </c:pt>
                <c:pt idx="9">
                  <c:v>100</c:v>
                </c:pt>
                <c:pt idx="10">
                  <c:v>88.6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42-4F5D-BD80-0AF74AE1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893119"/>
        <c:axId val="1533889791"/>
      </c:lineChart>
      <c:catAx>
        <c:axId val="153389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33889791"/>
        <c:crosses val="autoZero"/>
        <c:auto val="1"/>
        <c:lblAlgn val="ctr"/>
        <c:lblOffset val="100"/>
        <c:noMultiLvlLbl val="0"/>
      </c:catAx>
      <c:valAx>
        <c:axId val="15338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338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64770</xdr:rowOff>
    </xdr:from>
    <xdr:to>
      <xdr:col>11</xdr:col>
      <xdr:colOff>358140</xdr:colOff>
      <xdr:row>16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BF938C-7643-497B-83EE-1D15467F2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20</xdr:row>
      <xdr:rowOff>125730</xdr:rowOff>
    </xdr:from>
    <xdr:to>
      <xdr:col>13</xdr:col>
      <xdr:colOff>411480</xdr:colOff>
      <xdr:row>35</xdr:row>
      <xdr:rowOff>125730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C4D420-FADD-47F9-94D6-37F11CFD9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551C-3D64-49EB-B8DE-E7410ED657E9}">
  <dimension ref="B4:E34"/>
  <sheetViews>
    <sheetView tabSelected="1" workbookViewId="0">
      <selection activeCell="G17" sqref="G17"/>
    </sheetView>
  </sheetViews>
  <sheetFormatPr defaultRowHeight="14.4" x14ac:dyDescent="0.3"/>
  <sheetData>
    <row r="4" spans="2:3" x14ac:dyDescent="0.3">
      <c r="B4" s="8" t="s">
        <v>17</v>
      </c>
      <c r="C4" s="8" t="s">
        <v>16</v>
      </c>
    </row>
    <row r="5" spans="2:3" x14ac:dyDescent="0.3">
      <c r="B5" s="7">
        <v>2</v>
      </c>
      <c r="C5" s="7">
        <v>51</v>
      </c>
    </row>
    <row r="6" spans="2:3" x14ac:dyDescent="0.3">
      <c r="B6" s="7">
        <v>5</v>
      </c>
      <c r="C6" s="7">
        <v>35</v>
      </c>
    </row>
    <row r="7" spans="2:3" x14ac:dyDescent="0.3">
      <c r="B7" s="7">
        <v>10</v>
      </c>
      <c r="C7" s="7">
        <v>30</v>
      </c>
    </row>
    <row r="8" spans="2:3" x14ac:dyDescent="0.3">
      <c r="B8" s="7">
        <v>20</v>
      </c>
      <c r="C8" s="7">
        <v>25</v>
      </c>
    </row>
    <row r="9" spans="2:3" x14ac:dyDescent="0.3">
      <c r="B9" s="7">
        <v>40</v>
      </c>
      <c r="C9" s="7">
        <v>35</v>
      </c>
    </row>
    <row r="10" spans="2:3" x14ac:dyDescent="0.3">
      <c r="B10" s="7">
        <v>50</v>
      </c>
      <c r="C10" s="7">
        <v>40</v>
      </c>
    </row>
    <row r="21" spans="2:5" x14ac:dyDescent="0.3">
      <c r="B21" s="9" t="s">
        <v>15</v>
      </c>
      <c r="C21" s="9"/>
      <c r="D21" s="9"/>
      <c r="E21" s="9"/>
    </row>
    <row r="22" spans="2:5" x14ac:dyDescent="0.3">
      <c r="B22" s="6"/>
      <c r="C22" s="5" t="s">
        <v>14</v>
      </c>
      <c r="D22" s="4" t="s">
        <v>13</v>
      </c>
      <c r="E22" s="3" t="s">
        <v>12</v>
      </c>
    </row>
    <row r="23" spans="2:5" x14ac:dyDescent="0.3">
      <c r="B23" s="2" t="s">
        <v>11</v>
      </c>
      <c r="C23" s="1">
        <v>75.5</v>
      </c>
      <c r="D23" s="1">
        <v>51.3</v>
      </c>
      <c r="E23" s="1">
        <f t="shared" ref="E23:E34" si="0">D23-C23</f>
        <v>-24.200000000000003</v>
      </c>
    </row>
    <row r="24" spans="2:5" x14ac:dyDescent="0.3">
      <c r="B24" s="2" t="s">
        <v>10</v>
      </c>
      <c r="C24" s="1">
        <v>80.599999999999994</v>
      </c>
      <c r="D24" s="1">
        <v>64.5</v>
      </c>
      <c r="E24" s="1">
        <f t="shared" si="0"/>
        <v>-16.099999999999994</v>
      </c>
    </row>
    <row r="25" spans="2:5" x14ac:dyDescent="0.3">
      <c r="B25" s="2" t="s">
        <v>9</v>
      </c>
      <c r="C25" s="1">
        <v>77.3</v>
      </c>
      <c r="D25" s="1">
        <v>72.599999999999994</v>
      </c>
      <c r="E25" s="1">
        <f t="shared" si="0"/>
        <v>-4.7000000000000028</v>
      </c>
    </row>
    <row r="26" spans="2:5" x14ac:dyDescent="0.3">
      <c r="B26" s="2" t="s">
        <v>8</v>
      </c>
      <c r="C26" s="1">
        <v>53.9</v>
      </c>
      <c r="D26" s="1">
        <v>65</v>
      </c>
      <c r="E26" s="1">
        <f t="shared" si="0"/>
        <v>11.100000000000001</v>
      </c>
    </row>
    <row r="27" spans="2:5" x14ac:dyDescent="0.3">
      <c r="B27" s="2" t="s">
        <v>7</v>
      </c>
      <c r="C27" s="1">
        <v>50.1</v>
      </c>
      <c r="D27" s="1">
        <v>75</v>
      </c>
      <c r="E27" s="1">
        <f t="shared" si="0"/>
        <v>24.9</v>
      </c>
    </row>
    <row r="28" spans="2:5" x14ac:dyDescent="0.3">
      <c r="B28" s="2" t="s">
        <v>6</v>
      </c>
      <c r="C28" s="1">
        <v>71</v>
      </c>
      <c r="D28" s="1">
        <v>96</v>
      </c>
      <c r="E28" s="1">
        <f t="shared" si="0"/>
        <v>25</v>
      </c>
    </row>
    <row r="29" spans="2:5" x14ac:dyDescent="0.3">
      <c r="B29" s="2" t="s">
        <v>5</v>
      </c>
      <c r="C29" s="1">
        <v>67.599999999999994</v>
      </c>
      <c r="D29" s="1">
        <v>74</v>
      </c>
      <c r="E29" s="1">
        <f t="shared" si="0"/>
        <v>6.4000000000000057</v>
      </c>
    </row>
    <row r="30" spans="2:5" x14ac:dyDescent="0.3">
      <c r="B30" s="2" t="s">
        <v>4</v>
      </c>
      <c r="C30" s="1">
        <v>91.8</v>
      </c>
      <c r="D30" s="1">
        <v>63.8</v>
      </c>
      <c r="E30" s="1">
        <f t="shared" si="0"/>
        <v>-28</v>
      </c>
    </row>
    <row r="31" spans="2:5" x14ac:dyDescent="0.3">
      <c r="B31" s="2" t="s">
        <v>3</v>
      </c>
      <c r="C31" s="1">
        <v>91</v>
      </c>
      <c r="D31" s="1">
        <v>68.2</v>
      </c>
      <c r="E31" s="1">
        <f t="shared" si="0"/>
        <v>-22.799999999999997</v>
      </c>
    </row>
    <row r="32" spans="2:5" x14ac:dyDescent="0.3">
      <c r="B32" s="2" t="s">
        <v>2</v>
      </c>
      <c r="C32" s="1">
        <v>68.3</v>
      </c>
      <c r="D32" s="1">
        <v>100</v>
      </c>
      <c r="E32" s="1">
        <f t="shared" si="0"/>
        <v>31.700000000000003</v>
      </c>
    </row>
    <row r="33" spans="2:5" x14ac:dyDescent="0.3">
      <c r="B33" s="2" t="s">
        <v>1</v>
      </c>
      <c r="C33" s="1">
        <v>95.1</v>
      </c>
      <c r="D33" s="1">
        <v>88.6</v>
      </c>
      <c r="E33" s="1">
        <f t="shared" si="0"/>
        <v>-6.5</v>
      </c>
    </row>
    <row r="34" spans="2:5" x14ac:dyDescent="0.3">
      <c r="B34" s="2" t="s">
        <v>0</v>
      </c>
      <c r="C34" s="1">
        <v>79.900000000000006</v>
      </c>
      <c r="D34" s="1">
        <v>64</v>
      </c>
      <c r="E34" s="1">
        <f t="shared" si="0"/>
        <v>-15.900000000000006</v>
      </c>
    </row>
  </sheetData>
  <mergeCells count="1">
    <mergeCell ref="B21:E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Жасмин Макульбекова</dc:creator>
  <cp:lastModifiedBy>Жасмин Макульбекова</cp:lastModifiedBy>
  <dcterms:created xsi:type="dcterms:W3CDTF">2025-10-28T13:49:42Z</dcterms:created>
  <dcterms:modified xsi:type="dcterms:W3CDTF">2025-10-28T14:07:23Z</dcterms:modified>
</cp:coreProperties>
</file>