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sam\Downloads\"/>
    </mc:Choice>
  </mc:AlternateContent>
  <xr:revisionPtr revIDLastSave="0" documentId="13_ncr:1_{C0994E6D-39A1-48F0-8FB6-0C07C62D76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2" r:id="rId1"/>
    <sheet name="Лист3" sheetId="4" r:id="rId2"/>
  </sheets>
  <definedNames>
    <definedName name="solver_adj" localSheetId="0" hidden="1">Лист1!$X$13:$X$17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Лист1!$X$13:$X$17</definedName>
    <definedName name="solver_lhs2" localSheetId="0" hidden="1">Лист1!$X$18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Лист1!$S$19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2</definedName>
    <definedName name="solver_rhs1" localSheetId="0" hidden="1">0</definedName>
    <definedName name="solver_rhs2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23" i="2" l="1"/>
  <c r="S20" i="2"/>
  <c r="S19" i="2" a="1"/>
  <c r="S19" i="2" s="1"/>
  <c r="S7" i="2"/>
  <c r="W20" i="2" s="1"/>
  <c r="S6" i="2"/>
  <c r="S4" i="2"/>
  <c r="Y13" i="2" s="1"/>
  <c r="S5" i="2"/>
  <c r="T4" i="2"/>
  <c r="Y14" i="2" s="1"/>
  <c r="H3" i="2"/>
  <c r="F5" i="4"/>
  <c r="F4" i="4"/>
  <c r="F3" i="4"/>
  <c r="F2" i="4"/>
  <c r="E4" i="4"/>
  <c r="E3" i="4"/>
  <c r="E2" i="4"/>
  <c r="D3" i="4"/>
  <c r="D2" i="4"/>
  <c r="C2" i="4"/>
  <c r="F6" i="4"/>
  <c r="E5" i="4"/>
  <c r="D4" i="4"/>
  <c r="C3" i="4"/>
  <c r="B2" i="4"/>
  <c r="Y15" i="2"/>
  <c r="Y16" i="2"/>
  <c r="Y17" i="2"/>
  <c r="X18" i="2"/>
  <c r="S21" i="2" l="1"/>
  <c r="S22" i="2" s="1"/>
  <c r="L403" i="2" l="1"/>
  <c r="U4" i="2"/>
  <c r="V4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H1239" i="2"/>
  <c r="I3" i="2"/>
  <c r="J3" i="2"/>
  <c r="K3" i="2"/>
  <c r="L3" i="2"/>
  <c r="I4" i="2"/>
  <c r="J4" i="2"/>
  <c r="K4" i="2"/>
  <c r="L4" i="2"/>
  <c r="I5" i="2"/>
  <c r="J5" i="2"/>
  <c r="K5" i="2"/>
  <c r="L5" i="2"/>
  <c r="I6" i="2"/>
  <c r="J6" i="2"/>
  <c r="K6" i="2"/>
  <c r="L6" i="2"/>
  <c r="I7" i="2"/>
  <c r="J7" i="2"/>
  <c r="K7" i="2"/>
  <c r="L7" i="2"/>
  <c r="I8" i="2"/>
  <c r="J8" i="2"/>
  <c r="K8" i="2"/>
  <c r="L8" i="2"/>
  <c r="I9" i="2"/>
  <c r="J9" i="2"/>
  <c r="K9" i="2"/>
  <c r="L9" i="2"/>
  <c r="I10" i="2"/>
  <c r="J10" i="2"/>
  <c r="K10" i="2"/>
  <c r="L10" i="2"/>
  <c r="I11" i="2"/>
  <c r="J11" i="2"/>
  <c r="K11" i="2"/>
  <c r="L11" i="2"/>
  <c r="I12" i="2"/>
  <c r="J12" i="2"/>
  <c r="K12" i="2"/>
  <c r="L12" i="2"/>
  <c r="I13" i="2"/>
  <c r="J13" i="2"/>
  <c r="K13" i="2"/>
  <c r="L13" i="2"/>
  <c r="I14" i="2"/>
  <c r="J14" i="2"/>
  <c r="K14" i="2"/>
  <c r="L14" i="2"/>
  <c r="I15" i="2"/>
  <c r="J15" i="2"/>
  <c r="K15" i="2"/>
  <c r="L15" i="2"/>
  <c r="I16" i="2"/>
  <c r="J16" i="2"/>
  <c r="K16" i="2"/>
  <c r="L16" i="2"/>
  <c r="I17" i="2"/>
  <c r="J17" i="2"/>
  <c r="K17" i="2"/>
  <c r="L17" i="2"/>
  <c r="I18" i="2"/>
  <c r="J18" i="2"/>
  <c r="K18" i="2"/>
  <c r="L18" i="2"/>
  <c r="I19" i="2"/>
  <c r="J19" i="2"/>
  <c r="K19" i="2"/>
  <c r="L19" i="2"/>
  <c r="I20" i="2"/>
  <c r="J20" i="2"/>
  <c r="K20" i="2"/>
  <c r="L20" i="2"/>
  <c r="I21" i="2"/>
  <c r="J21" i="2"/>
  <c r="K21" i="2"/>
  <c r="L21" i="2"/>
  <c r="I22" i="2"/>
  <c r="J22" i="2"/>
  <c r="K22" i="2"/>
  <c r="L22" i="2"/>
  <c r="I23" i="2"/>
  <c r="J23" i="2"/>
  <c r="K23" i="2"/>
  <c r="L23" i="2"/>
  <c r="I24" i="2"/>
  <c r="J24" i="2"/>
  <c r="K24" i="2"/>
  <c r="L24" i="2"/>
  <c r="I25" i="2"/>
  <c r="J25" i="2"/>
  <c r="K25" i="2"/>
  <c r="L25" i="2"/>
  <c r="I26" i="2"/>
  <c r="J26" i="2"/>
  <c r="K26" i="2"/>
  <c r="L26" i="2"/>
  <c r="I27" i="2"/>
  <c r="J27" i="2"/>
  <c r="K27" i="2"/>
  <c r="L27" i="2"/>
  <c r="I28" i="2"/>
  <c r="J28" i="2"/>
  <c r="K28" i="2"/>
  <c r="L28" i="2"/>
  <c r="I29" i="2"/>
  <c r="J29" i="2"/>
  <c r="K29" i="2"/>
  <c r="L29" i="2"/>
  <c r="I30" i="2"/>
  <c r="J30" i="2"/>
  <c r="K30" i="2"/>
  <c r="L30" i="2"/>
  <c r="I31" i="2"/>
  <c r="J31" i="2"/>
  <c r="K31" i="2"/>
  <c r="L31" i="2"/>
  <c r="I32" i="2"/>
  <c r="J32" i="2"/>
  <c r="K32" i="2"/>
  <c r="L32" i="2"/>
  <c r="I33" i="2"/>
  <c r="J33" i="2"/>
  <c r="K33" i="2"/>
  <c r="L33" i="2"/>
  <c r="I34" i="2"/>
  <c r="J34" i="2"/>
  <c r="K34" i="2"/>
  <c r="L34" i="2"/>
  <c r="I35" i="2"/>
  <c r="J35" i="2"/>
  <c r="K35" i="2"/>
  <c r="L35" i="2"/>
  <c r="I36" i="2"/>
  <c r="J36" i="2"/>
  <c r="K36" i="2"/>
  <c r="L36" i="2"/>
  <c r="I37" i="2"/>
  <c r="J37" i="2"/>
  <c r="K37" i="2"/>
  <c r="L37" i="2"/>
  <c r="I38" i="2"/>
  <c r="J38" i="2"/>
  <c r="K38" i="2"/>
  <c r="L38" i="2"/>
  <c r="I39" i="2"/>
  <c r="J39" i="2"/>
  <c r="K39" i="2"/>
  <c r="L39" i="2"/>
  <c r="I40" i="2"/>
  <c r="J40" i="2"/>
  <c r="K40" i="2"/>
  <c r="L40" i="2"/>
  <c r="I41" i="2"/>
  <c r="J41" i="2"/>
  <c r="K41" i="2"/>
  <c r="L41" i="2"/>
  <c r="I42" i="2"/>
  <c r="J42" i="2"/>
  <c r="K42" i="2"/>
  <c r="L42" i="2"/>
  <c r="I43" i="2"/>
  <c r="J43" i="2"/>
  <c r="K43" i="2"/>
  <c r="L43" i="2"/>
  <c r="I44" i="2"/>
  <c r="J44" i="2"/>
  <c r="K44" i="2"/>
  <c r="L44" i="2"/>
  <c r="I45" i="2"/>
  <c r="J45" i="2"/>
  <c r="K45" i="2"/>
  <c r="L45" i="2"/>
  <c r="I46" i="2"/>
  <c r="J46" i="2"/>
  <c r="K46" i="2"/>
  <c r="L46" i="2"/>
  <c r="I47" i="2"/>
  <c r="J47" i="2"/>
  <c r="K47" i="2"/>
  <c r="L47" i="2"/>
  <c r="I48" i="2"/>
  <c r="J48" i="2"/>
  <c r="K48" i="2"/>
  <c r="L48" i="2"/>
  <c r="I49" i="2"/>
  <c r="J49" i="2"/>
  <c r="K49" i="2"/>
  <c r="L49" i="2"/>
  <c r="I50" i="2"/>
  <c r="J50" i="2"/>
  <c r="K50" i="2"/>
  <c r="L50" i="2"/>
  <c r="I51" i="2"/>
  <c r="J51" i="2"/>
  <c r="K51" i="2"/>
  <c r="L51" i="2"/>
  <c r="I52" i="2"/>
  <c r="J52" i="2"/>
  <c r="K52" i="2"/>
  <c r="L52" i="2"/>
  <c r="I53" i="2"/>
  <c r="J53" i="2"/>
  <c r="K53" i="2"/>
  <c r="L53" i="2"/>
  <c r="I54" i="2"/>
  <c r="J54" i="2"/>
  <c r="K54" i="2"/>
  <c r="L54" i="2"/>
  <c r="I55" i="2"/>
  <c r="J55" i="2"/>
  <c r="K55" i="2"/>
  <c r="L55" i="2"/>
  <c r="I56" i="2"/>
  <c r="J56" i="2"/>
  <c r="K56" i="2"/>
  <c r="L56" i="2"/>
  <c r="I57" i="2"/>
  <c r="J57" i="2"/>
  <c r="K57" i="2"/>
  <c r="L57" i="2"/>
  <c r="I58" i="2"/>
  <c r="J58" i="2"/>
  <c r="K58" i="2"/>
  <c r="L58" i="2"/>
  <c r="I59" i="2"/>
  <c r="J59" i="2"/>
  <c r="K59" i="2"/>
  <c r="L59" i="2"/>
  <c r="I60" i="2"/>
  <c r="J60" i="2"/>
  <c r="K60" i="2"/>
  <c r="L60" i="2"/>
  <c r="I61" i="2"/>
  <c r="J61" i="2"/>
  <c r="K61" i="2"/>
  <c r="L61" i="2"/>
  <c r="I62" i="2"/>
  <c r="J62" i="2"/>
  <c r="K62" i="2"/>
  <c r="L62" i="2"/>
  <c r="I63" i="2"/>
  <c r="J63" i="2"/>
  <c r="K63" i="2"/>
  <c r="L63" i="2"/>
  <c r="I64" i="2"/>
  <c r="J64" i="2"/>
  <c r="K64" i="2"/>
  <c r="L64" i="2"/>
  <c r="I65" i="2"/>
  <c r="J65" i="2"/>
  <c r="K65" i="2"/>
  <c r="L65" i="2"/>
  <c r="I66" i="2"/>
  <c r="J66" i="2"/>
  <c r="K66" i="2"/>
  <c r="L66" i="2"/>
  <c r="I67" i="2"/>
  <c r="J67" i="2"/>
  <c r="K67" i="2"/>
  <c r="L67" i="2"/>
  <c r="I68" i="2"/>
  <c r="J68" i="2"/>
  <c r="K68" i="2"/>
  <c r="L68" i="2"/>
  <c r="I69" i="2"/>
  <c r="J69" i="2"/>
  <c r="K69" i="2"/>
  <c r="L69" i="2"/>
  <c r="I70" i="2"/>
  <c r="J70" i="2"/>
  <c r="K70" i="2"/>
  <c r="L70" i="2"/>
  <c r="I71" i="2"/>
  <c r="J71" i="2"/>
  <c r="K71" i="2"/>
  <c r="L71" i="2"/>
  <c r="I72" i="2"/>
  <c r="J72" i="2"/>
  <c r="K72" i="2"/>
  <c r="L72" i="2"/>
  <c r="I73" i="2"/>
  <c r="J73" i="2"/>
  <c r="K73" i="2"/>
  <c r="L73" i="2"/>
  <c r="I74" i="2"/>
  <c r="J74" i="2"/>
  <c r="K74" i="2"/>
  <c r="L74" i="2"/>
  <c r="I75" i="2"/>
  <c r="J75" i="2"/>
  <c r="K75" i="2"/>
  <c r="L75" i="2"/>
  <c r="I76" i="2"/>
  <c r="J76" i="2"/>
  <c r="K76" i="2"/>
  <c r="L76" i="2"/>
  <c r="I77" i="2"/>
  <c r="J77" i="2"/>
  <c r="K77" i="2"/>
  <c r="L77" i="2"/>
  <c r="I78" i="2"/>
  <c r="J78" i="2"/>
  <c r="K78" i="2"/>
  <c r="L78" i="2"/>
  <c r="I79" i="2"/>
  <c r="J79" i="2"/>
  <c r="K79" i="2"/>
  <c r="L79" i="2"/>
  <c r="I80" i="2"/>
  <c r="J80" i="2"/>
  <c r="K80" i="2"/>
  <c r="L80" i="2"/>
  <c r="I81" i="2"/>
  <c r="J81" i="2"/>
  <c r="K81" i="2"/>
  <c r="L81" i="2"/>
  <c r="I82" i="2"/>
  <c r="J82" i="2"/>
  <c r="K82" i="2"/>
  <c r="L82" i="2"/>
  <c r="I83" i="2"/>
  <c r="J83" i="2"/>
  <c r="K83" i="2"/>
  <c r="L83" i="2"/>
  <c r="I84" i="2"/>
  <c r="J84" i="2"/>
  <c r="K84" i="2"/>
  <c r="L84" i="2"/>
  <c r="I85" i="2"/>
  <c r="J85" i="2"/>
  <c r="K85" i="2"/>
  <c r="L85" i="2"/>
  <c r="I86" i="2"/>
  <c r="J86" i="2"/>
  <c r="K86" i="2"/>
  <c r="L86" i="2"/>
  <c r="I87" i="2"/>
  <c r="J87" i="2"/>
  <c r="K87" i="2"/>
  <c r="L87" i="2"/>
  <c r="I88" i="2"/>
  <c r="J88" i="2"/>
  <c r="K88" i="2"/>
  <c r="L88" i="2"/>
  <c r="I89" i="2"/>
  <c r="J89" i="2"/>
  <c r="K89" i="2"/>
  <c r="L89" i="2"/>
  <c r="I90" i="2"/>
  <c r="J90" i="2"/>
  <c r="K90" i="2"/>
  <c r="L90" i="2"/>
  <c r="I91" i="2"/>
  <c r="J91" i="2"/>
  <c r="K91" i="2"/>
  <c r="L91" i="2"/>
  <c r="I92" i="2"/>
  <c r="J92" i="2"/>
  <c r="K92" i="2"/>
  <c r="L92" i="2"/>
  <c r="I93" i="2"/>
  <c r="J93" i="2"/>
  <c r="K93" i="2"/>
  <c r="L93" i="2"/>
  <c r="I94" i="2"/>
  <c r="J94" i="2"/>
  <c r="K94" i="2"/>
  <c r="L94" i="2"/>
  <c r="I95" i="2"/>
  <c r="J95" i="2"/>
  <c r="K95" i="2"/>
  <c r="L95" i="2"/>
  <c r="I96" i="2"/>
  <c r="J96" i="2"/>
  <c r="K96" i="2"/>
  <c r="L96" i="2"/>
  <c r="I97" i="2"/>
  <c r="J97" i="2"/>
  <c r="K97" i="2"/>
  <c r="L97" i="2"/>
  <c r="I98" i="2"/>
  <c r="J98" i="2"/>
  <c r="K98" i="2"/>
  <c r="L98" i="2"/>
  <c r="I99" i="2"/>
  <c r="J99" i="2"/>
  <c r="K99" i="2"/>
  <c r="L99" i="2"/>
  <c r="I100" i="2"/>
  <c r="J100" i="2"/>
  <c r="K100" i="2"/>
  <c r="L100" i="2"/>
  <c r="I101" i="2"/>
  <c r="J101" i="2"/>
  <c r="K101" i="2"/>
  <c r="L101" i="2"/>
  <c r="I102" i="2"/>
  <c r="J102" i="2"/>
  <c r="K102" i="2"/>
  <c r="L102" i="2"/>
  <c r="I103" i="2"/>
  <c r="J103" i="2"/>
  <c r="K103" i="2"/>
  <c r="L103" i="2"/>
  <c r="I104" i="2"/>
  <c r="J104" i="2"/>
  <c r="K104" i="2"/>
  <c r="L104" i="2"/>
  <c r="I105" i="2"/>
  <c r="J105" i="2"/>
  <c r="K105" i="2"/>
  <c r="L105" i="2"/>
  <c r="I106" i="2"/>
  <c r="J106" i="2"/>
  <c r="K106" i="2"/>
  <c r="L106" i="2"/>
  <c r="I107" i="2"/>
  <c r="J107" i="2"/>
  <c r="K107" i="2"/>
  <c r="L107" i="2"/>
  <c r="I108" i="2"/>
  <c r="J108" i="2"/>
  <c r="K108" i="2"/>
  <c r="L108" i="2"/>
  <c r="I109" i="2"/>
  <c r="J109" i="2"/>
  <c r="K109" i="2"/>
  <c r="L109" i="2"/>
  <c r="I110" i="2"/>
  <c r="J110" i="2"/>
  <c r="K110" i="2"/>
  <c r="L110" i="2"/>
  <c r="I111" i="2"/>
  <c r="J111" i="2"/>
  <c r="K111" i="2"/>
  <c r="L111" i="2"/>
  <c r="I112" i="2"/>
  <c r="J112" i="2"/>
  <c r="K112" i="2"/>
  <c r="L112" i="2"/>
  <c r="I113" i="2"/>
  <c r="J113" i="2"/>
  <c r="K113" i="2"/>
  <c r="L113" i="2"/>
  <c r="I114" i="2"/>
  <c r="J114" i="2"/>
  <c r="K114" i="2"/>
  <c r="L114" i="2"/>
  <c r="I115" i="2"/>
  <c r="J115" i="2"/>
  <c r="K115" i="2"/>
  <c r="L115" i="2"/>
  <c r="I116" i="2"/>
  <c r="J116" i="2"/>
  <c r="K116" i="2"/>
  <c r="L116" i="2"/>
  <c r="I117" i="2"/>
  <c r="J117" i="2"/>
  <c r="K117" i="2"/>
  <c r="L117" i="2"/>
  <c r="I118" i="2"/>
  <c r="J118" i="2"/>
  <c r="K118" i="2"/>
  <c r="L118" i="2"/>
  <c r="I119" i="2"/>
  <c r="J119" i="2"/>
  <c r="K119" i="2"/>
  <c r="L119" i="2"/>
  <c r="I120" i="2"/>
  <c r="J120" i="2"/>
  <c r="K120" i="2"/>
  <c r="L120" i="2"/>
  <c r="I121" i="2"/>
  <c r="J121" i="2"/>
  <c r="K121" i="2"/>
  <c r="L121" i="2"/>
  <c r="I122" i="2"/>
  <c r="J122" i="2"/>
  <c r="K122" i="2"/>
  <c r="L122" i="2"/>
  <c r="I123" i="2"/>
  <c r="J123" i="2"/>
  <c r="K123" i="2"/>
  <c r="L123" i="2"/>
  <c r="I124" i="2"/>
  <c r="J124" i="2"/>
  <c r="K124" i="2"/>
  <c r="L124" i="2"/>
  <c r="I125" i="2"/>
  <c r="J125" i="2"/>
  <c r="K125" i="2"/>
  <c r="L125" i="2"/>
  <c r="I126" i="2"/>
  <c r="J126" i="2"/>
  <c r="K126" i="2"/>
  <c r="L126" i="2"/>
  <c r="I127" i="2"/>
  <c r="J127" i="2"/>
  <c r="K127" i="2"/>
  <c r="L127" i="2"/>
  <c r="I128" i="2"/>
  <c r="J128" i="2"/>
  <c r="K128" i="2"/>
  <c r="L128" i="2"/>
  <c r="I129" i="2"/>
  <c r="J129" i="2"/>
  <c r="K129" i="2"/>
  <c r="L129" i="2"/>
  <c r="I130" i="2"/>
  <c r="J130" i="2"/>
  <c r="K130" i="2"/>
  <c r="L130" i="2"/>
  <c r="I131" i="2"/>
  <c r="J131" i="2"/>
  <c r="K131" i="2"/>
  <c r="L131" i="2"/>
  <c r="I132" i="2"/>
  <c r="J132" i="2"/>
  <c r="K132" i="2"/>
  <c r="L132" i="2"/>
  <c r="I133" i="2"/>
  <c r="J133" i="2"/>
  <c r="K133" i="2"/>
  <c r="L133" i="2"/>
  <c r="I134" i="2"/>
  <c r="J134" i="2"/>
  <c r="K134" i="2"/>
  <c r="L134" i="2"/>
  <c r="I135" i="2"/>
  <c r="J135" i="2"/>
  <c r="K135" i="2"/>
  <c r="L135" i="2"/>
  <c r="I136" i="2"/>
  <c r="J136" i="2"/>
  <c r="K136" i="2"/>
  <c r="L136" i="2"/>
  <c r="I137" i="2"/>
  <c r="J137" i="2"/>
  <c r="K137" i="2"/>
  <c r="L137" i="2"/>
  <c r="I138" i="2"/>
  <c r="J138" i="2"/>
  <c r="K138" i="2"/>
  <c r="L138" i="2"/>
  <c r="I139" i="2"/>
  <c r="J139" i="2"/>
  <c r="K139" i="2"/>
  <c r="L139" i="2"/>
  <c r="I140" i="2"/>
  <c r="J140" i="2"/>
  <c r="K140" i="2"/>
  <c r="L140" i="2"/>
  <c r="I141" i="2"/>
  <c r="J141" i="2"/>
  <c r="K141" i="2"/>
  <c r="L141" i="2"/>
  <c r="I142" i="2"/>
  <c r="J142" i="2"/>
  <c r="K142" i="2"/>
  <c r="L142" i="2"/>
  <c r="I143" i="2"/>
  <c r="J143" i="2"/>
  <c r="K143" i="2"/>
  <c r="L143" i="2"/>
  <c r="I144" i="2"/>
  <c r="J144" i="2"/>
  <c r="K144" i="2"/>
  <c r="L144" i="2"/>
  <c r="I145" i="2"/>
  <c r="J145" i="2"/>
  <c r="K145" i="2"/>
  <c r="L145" i="2"/>
  <c r="I146" i="2"/>
  <c r="J146" i="2"/>
  <c r="K146" i="2"/>
  <c r="L146" i="2"/>
  <c r="I147" i="2"/>
  <c r="J147" i="2"/>
  <c r="K147" i="2"/>
  <c r="L147" i="2"/>
  <c r="I148" i="2"/>
  <c r="J148" i="2"/>
  <c r="K148" i="2"/>
  <c r="L148" i="2"/>
  <c r="I149" i="2"/>
  <c r="J149" i="2"/>
  <c r="K149" i="2"/>
  <c r="L149" i="2"/>
  <c r="I150" i="2"/>
  <c r="J150" i="2"/>
  <c r="K150" i="2"/>
  <c r="L150" i="2"/>
  <c r="I151" i="2"/>
  <c r="J151" i="2"/>
  <c r="K151" i="2"/>
  <c r="L151" i="2"/>
  <c r="I152" i="2"/>
  <c r="J152" i="2"/>
  <c r="K152" i="2"/>
  <c r="L152" i="2"/>
  <c r="I153" i="2"/>
  <c r="J153" i="2"/>
  <c r="K153" i="2"/>
  <c r="L153" i="2"/>
  <c r="I154" i="2"/>
  <c r="J154" i="2"/>
  <c r="K154" i="2"/>
  <c r="L154" i="2"/>
  <c r="I155" i="2"/>
  <c r="J155" i="2"/>
  <c r="K155" i="2"/>
  <c r="L155" i="2"/>
  <c r="I156" i="2"/>
  <c r="J156" i="2"/>
  <c r="K156" i="2"/>
  <c r="L156" i="2"/>
  <c r="I157" i="2"/>
  <c r="J157" i="2"/>
  <c r="K157" i="2"/>
  <c r="L157" i="2"/>
  <c r="I158" i="2"/>
  <c r="J158" i="2"/>
  <c r="K158" i="2"/>
  <c r="L158" i="2"/>
  <c r="I159" i="2"/>
  <c r="J159" i="2"/>
  <c r="K159" i="2"/>
  <c r="L159" i="2"/>
  <c r="I160" i="2"/>
  <c r="J160" i="2"/>
  <c r="K160" i="2"/>
  <c r="L160" i="2"/>
  <c r="I161" i="2"/>
  <c r="J161" i="2"/>
  <c r="K161" i="2"/>
  <c r="L161" i="2"/>
  <c r="I162" i="2"/>
  <c r="J162" i="2"/>
  <c r="K162" i="2"/>
  <c r="L162" i="2"/>
  <c r="I163" i="2"/>
  <c r="J163" i="2"/>
  <c r="K163" i="2"/>
  <c r="L163" i="2"/>
  <c r="I164" i="2"/>
  <c r="J164" i="2"/>
  <c r="K164" i="2"/>
  <c r="L164" i="2"/>
  <c r="I165" i="2"/>
  <c r="J165" i="2"/>
  <c r="K165" i="2"/>
  <c r="L165" i="2"/>
  <c r="I166" i="2"/>
  <c r="J166" i="2"/>
  <c r="K166" i="2"/>
  <c r="L166" i="2"/>
  <c r="I167" i="2"/>
  <c r="J167" i="2"/>
  <c r="K167" i="2"/>
  <c r="L167" i="2"/>
  <c r="I168" i="2"/>
  <c r="J168" i="2"/>
  <c r="K168" i="2"/>
  <c r="L168" i="2"/>
  <c r="I169" i="2"/>
  <c r="J169" i="2"/>
  <c r="K169" i="2"/>
  <c r="L169" i="2"/>
  <c r="I170" i="2"/>
  <c r="J170" i="2"/>
  <c r="K170" i="2"/>
  <c r="L170" i="2"/>
  <c r="I171" i="2"/>
  <c r="J171" i="2"/>
  <c r="K171" i="2"/>
  <c r="L171" i="2"/>
  <c r="I172" i="2"/>
  <c r="J172" i="2"/>
  <c r="K172" i="2"/>
  <c r="L172" i="2"/>
  <c r="I173" i="2"/>
  <c r="J173" i="2"/>
  <c r="K173" i="2"/>
  <c r="L173" i="2"/>
  <c r="I174" i="2"/>
  <c r="J174" i="2"/>
  <c r="K174" i="2"/>
  <c r="L174" i="2"/>
  <c r="I175" i="2"/>
  <c r="J175" i="2"/>
  <c r="K175" i="2"/>
  <c r="L175" i="2"/>
  <c r="I176" i="2"/>
  <c r="J176" i="2"/>
  <c r="K176" i="2"/>
  <c r="L176" i="2"/>
  <c r="I177" i="2"/>
  <c r="J177" i="2"/>
  <c r="K177" i="2"/>
  <c r="L177" i="2"/>
  <c r="I178" i="2"/>
  <c r="J178" i="2"/>
  <c r="K178" i="2"/>
  <c r="L178" i="2"/>
  <c r="I179" i="2"/>
  <c r="J179" i="2"/>
  <c r="K179" i="2"/>
  <c r="L179" i="2"/>
  <c r="I180" i="2"/>
  <c r="J180" i="2"/>
  <c r="K180" i="2"/>
  <c r="L180" i="2"/>
  <c r="I181" i="2"/>
  <c r="J181" i="2"/>
  <c r="K181" i="2"/>
  <c r="L181" i="2"/>
  <c r="I182" i="2"/>
  <c r="J182" i="2"/>
  <c r="K182" i="2"/>
  <c r="L182" i="2"/>
  <c r="I183" i="2"/>
  <c r="J183" i="2"/>
  <c r="K183" i="2"/>
  <c r="L183" i="2"/>
  <c r="I184" i="2"/>
  <c r="J184" i="2"/>
  <c r="K184" i="2"/>
  <c r="L184" i="2"/>
  <c r="I185" i="2"/>
  <c r="J185" i="2"/>
  <c r="K185" i="2"/>
  <c r="L185" i="2"/>
  <c r="I186" i="2"/>
  <c r="J186" i="2"/>
  <c r="K186" i="2"/>
  <c r="L186" i="2"/>
  <c r="I187" i="2"/>
  <c r="J187" i="2"/>
  <c r="K187" i="2"/>
  <c r="L187" i="2"/>
  <c r="I188" i="2"/>
  <c r="J188" i="2"/>
  <c r="K188" i="2"/>
  <c r="L188" i="2"/>
  <c r="I189" i="2"/>
  <c r="J189" i="2"/>
  <c r="K189" i="2"/>
  <c r="L189" i="2"/>
  <c r="I190" i="2"/>
  <c r="J190" i="2"/>
  <c r="K190" i="2"/>
  <c r="L190" i="2"/>
  <c r="I191" i="2"/>
  <c r="J191" i="2"/>
  <c r="K191" i="2"/>
  <c r="L191" i="2"/>
  <c r="I192" i="2"/>
  <c r="J192" i="2"/>
  <c r="K192" i="2"/>
  <c r="L192" i="2"/>
  <c r="I193" i="2"/>
  <c r="J193" i="2"/>
  <c r="K193" i="2"/>
  <c r="L193" i="2"/>
  <c r="I194" i="2"/>
  <c r="J194" i="2"/>
  <c r="K194" i="2"/>
  <c r="L194" i="2"/>
  <c r="I195" i="2"/>
  <c r="J195" i="2"/>
  <c r="K195" i="2"/>
  <c r="L195" i="2"/>
  <c r="I196" i="2"/>
  <c r="J196" i="2"/>
  <c r="K196" i="2"/>
  <c r="L196" i="2"/>
  <c r="I197" i="2"/>
  <c r="J197" i="2"/>
  <c r="K197" i="2"/>
  <c r="L197" i="2"/>
  <c r="I198" i="2"/>
  <c r="J198" i="2"/>
  <c r="K198" i="2"/>
  <c r="L198" i="2"/>
  <c r="I199" i="2"/>
  <c r="J199" i="2"/>
  <c r="K199" i="2"/>
  <c r="L199" i="2"/>
  <c r="I200" i="2"/>
  <c r="J200" i="2"/>
  <c r="K200" i="2"/>
  <c r="L200" i="2"/>
  <c r="I201" i="2"/>
  <c r="J201" i="2"/>
  <c r="K201" i="2"/>
  <c r="L201" i="2"/>
  <c r="I202" i="2"/>
  <c r="J202" i="2"/>
  <c r="K202" i="2"/>
  <c r="L202" i="2"/>
  <c r="I203" i="2"/>
  <c r="J203" i="2"/>
  <c r="K203" i="2"/>
  <c r="L203" i="2"/>
  <c r="I204" i="2"/>
  <c r="J204" i="2"/>
  <c r="K204" i="2"/>
  <c r="L204" i="2"/>
  <c r="I205" i="2"/>
  <c r="J205" i="2"/>
  <c r="K205" i="2"/>
  <c r="L205" i="2"/>
  <c r="I206" i="2"/>
  <c r="J206" i="2"/>
  <c r="K206" i="2"/>
  <c r="L206" i="2"/>
  <c r="I207" i="2"/>
  <c r="J207" i="2"/>
  <c r="K207" i="2"/>
  <c r="L207" i="2"/>
  <c r="I208" i="2"/>
  <c r="J208" i="2"/>
  <c r="K208" i="2"/>
  <c r="L208" i="2"/>
  <c r="I209" i="2"/>
  <c r="J209" i="2"/>
  <c r="K209" i="2"/>
  <c r="L209" i="2"/>
  <c r="I210" i="2"/>
  <c r="J210" i="2"/>
  <c r="K210" i="2"/>
  <c r="L210" i="2"/>
  <c r="I211" i="2"/>
  <c r="J211" i="2"/>
  <c r="K211" i="2"/>
  <c r="L211" i="2"/>
  <c r="I212" i="2"/>
  <c r="J212" i="2"/>
  <c r="K212" i="2"/>
  <c r="L212" i="2"/>
  <c r="I213" i="2"/>
  <c r="J213" i="2"/>
  <c r="K213" i="2"/>
  <c r="L213" i="2"/>
  <c r="I214" i="2"/>
  <c r="J214" i="2"/>
  <c r="K214" i="2"/>
  <c r="L214" i="2"/>
  <c r="I215" i="2"/>
  <c r="J215" i="2"/>
  <c r="K215" i="2"/>
  <c r="L215" i="2"/>
  <c r="I216" i="2"/>
  <c r="J216" i="2"/>
  <c r="K216" i="2"/>
  <c r="L216" i="2"/>
  <c r="I217" i="2"/>
  <c r="J217" i="2"/>
  <c r="K217" i="2"/>
  <c r="L217" i="2"/>
  <c r="I218" i="2"/>
  <c r="J218" i="2"/>
  <c r="K218" i="2"/>
  <c r="L218" i="2"/>
  <c r="I219" i="2"/>
  <c r="J219" i="2"/>
  <c r="K219" i="2"/>
  <c r="L219" i="2"/>
  <c r="I220" i="2"/>
  <c r="J220" i="2"/>
  <c r="K220" i="2"/>
  <c r="L220" i="2"/>
  <c r="I221" i="2"/>
  <c r="J221" i="2"/>
  <c r="K221" i="2"/>
  <c r="L221" i="2"/>
  <c r="I222" i="2"/>
  <c r="J222" i="2"/>
  <c r="K222" i="2"/>
  <c r="L222" i="2"/>
  <c r="I223" i="2"/>
  <c r="J223" i="2"/>
  <c r="K223" i="2"/>
  <c r="L223" i="2"/>
  <c r="I224" i="2"/>
  <c r="J224" i="2"/>
  <c r="K224" i="2"/>
  <c r="L224" i="2"/>
  <c r="I225" i="2"/>
  <c r="J225" i="2"/>
  <c r="K225" i="2"/>
  <c r="L225" i="2"/>
  <c r="I226" i="2"/>
  <c r="J226" i="2"/>
  <c r="K226" i="2"/>
  <c r="L226" i="2"/>
  <c r="I227" i="2"/>
  <c r="J227" i="2"/>
  <c r="K227" i="2"/>
  <c r="L227" i="2"/>
  <c r="I228" i="2"/>
  <c r="J228" i="2"/>
  <c r="K228" i="2"/>
  <c r="L228" i="2"/>
  <c r="I229" i="2"/>
  <c r="J229" i="2"/>
  <c r="K229" i="2"/>
  <c r="L229" i="2"/>
  <c r="I230" i="2"/>
  <c r="J230" i="2"/>
  <c r="K230" i="2"/>
  <c r="L230" i="2"/>
  <c r="I231" i="2"/>
  <c r="J231" i="2"/>
  <c r="K231" i="2"/>
  <c r="L231" i="2"/>
  <c r="I232" i="2"/>
  <c r="J232" i="2"/>
  <c r="K232" i="2"/>
  <c r="L232" i="2"/>
  <c r="I233" i="2"/>
  <c r="J233" i="2"/>
  <c r="K233" i="2"/>
  <c r="L233" i="2"/>
  <c r="I234" i="2"/>
  <c r="J234" i="2"/>
  <c r="K234" i="2"/>
  <c r="L234" i="2"/>
  <c r="I235" i="2"/>
  <c r="J235" i="2"/>
  <c r="K235" i="2"/>
  <c r="L235" i="2"/>
  <c r="I236" i="2"/>
  <c r="J236" i="2"/>
  <c r="K236" i="2"/>
  <c r="L236" i="2"/>
  <c r="I237" i="2"/>
  <c r="J237" i="2"/>
  <c r="K237" i="2"/>
  <c r="L237" i="2"/>
  <c r="I238" i="2"/>
  <c r="J238" i="2"/>
  <c r="K238" i="2"/>
  <c r="L238" i="2"/>
  <c r="I239" i="2"/>
  <c r="J239" i="2"/>
  <c r="K239" i="2"/>
  <c r="L239" i="2"/>
  <c r="I240" i="2"/>
  <c r="J240" i="2"/>
  <c r="K240" i="2"/>
  <c r="L240" i="2"/>
  <c r="I241" i="2"/>
  <c r="J241" i="2"/>
  <c r="K241" i="2"/>
  <c r="L241" i="2"/>
  <c r="I242" i="2"/>
  <c r="J242" i="2"/>
  <c r="K242" i="2"/>
  <c r="L242" i="2"/>
  <c r="I243" i="2"/>
  <c r="J243" i="2"/>
  <c r="K243" i="2"/>
  <c r="L243" i="2"/>
  <c r="I244" i="2"/>
  <c r="J244" i="2"/>
  <c r="K244" i="2"/>
  <c r="L244" i="2"/>
  <c r="I245" i="2"/>
  <c r="J245" i="2"/>
  <c r="K245" i="2"/>
  <c r="L245" i="2"/>
  <c r="I246" i="2"/>
  <c r="J246" i="2"/>
  <c r="K246" i="2"/>
  <c r="L246" i="2"/>
  <c r="I247" i="2"/>
  <c r="J247" i="2"/>
  <c r="K247" i="2"/>
  <c r="L247" i="2"/>
  <c r="I248" i="2"/>
  <c r="J248" i="2"/>
  <c r="K248" i="2"/>
  <c r="L248" i="2"/>
  <c r="I249" i="2"/>
  <c r="J249" i="2"/>
  <c r="K249" i="2"/>
  <c r="L249" i="2"/>
  <c r="I250" i="2"/>
  <c r="J250" i="2"/>
  <c r="K250" i="2"/>
  <c r="L250" i="2"/>
  <c r="I251" i="2"/>
  <c r="J251" i="2"/>
  <c r="K251" i="2"/>
  <c r="L251" i="2"/>
  <c r="I252" i="2"/>
  <c r="J252" i="2"/>
  <c r="K252" i="2"/>
  <c r="L252" i="2"/>
  <c r="I253" i="2"/>
  <c r="J253" i="2"/>
  <c r="K253" i="2"/>
  <c r="L253" i="2"/>
  <c r="I254" i="2"/>
  <c r="J254" i="2"/>
  <c r="K254" i="2"/>
  <c r="L254" i="2"/>
  <c r="I255" i="2"/>
  <c r="J255" i="2"/>
  <c r="K255" i="2"/>
  <c r="L255" i="2"/>
  <c r="I256" i="2"/>
  <c r="J256" i="2"/>
  <c r="K256" i="2"/>
  <c r="L256" i="2"/>
  <c r="I257" i="2"/>
  <c r="J257" i="2"/>
  <c r="K257" i="2"/>
  <c r="L257" i="2"/>
  <c r="I258" i="2"/>
  <c r="J258" i="2"/>
  <c r="K258" i="2"/>
  <c r="L258" i="2"/>
  <c r="I259" i="2"/>
  <c r="J259" i="2"/>
  <c r="K259" i="2"/>
  <c r="L259" i="2"/>
  <c r="I260" i="2"/>
  <c r="J260" i="2"/>
  <c r="K260" i="2"/>
  <c r="L260" i="2"/>
  <c r="I261" i="2"/>
  <c r="J261" i="2"/>
  <c r="K261" i="2"/>
  <c r="L261" i="2"/>
  <c r="I262" i="2"/>
  <c r="J262" i="2"/>
  <c r="K262" i="2"/>
  <c r="L262" i="2"/>
  <c r="I263" i="2"/>
  <c r="J263" i="2"/>
  <c r="K263" i="2"/>
  <c r="L263" i="2"/>
  <c r="I264" i="2"/>
  <c r="J264" i="2"/>
  <c r="K264" i="2"/>
  <c r="L264" i="2"/>
  <c r="I265" i="2"/>
  <c r="J265" i="2"/>
  <c r="K265" i="2"/>
  <c r="L265" i="2"/>
  <c r="I266" i="2"/>
  <c r="J266" i="2"/>
  <c r="K266" i="2"/>
  <c r="L266" i="2"/>
  <c r="I267" i="2"/>
  <c r="J267" i="2"/>
  <c r="K267" i="2"/>
  <c r="L267" i="2"/>
  <c r="I268" i="2"/>
  <c r="J268" i="2"/>
  <c r="K268" i="2"/>
  <c r="L268" i="2"/>
  <c r="I269" i="2"/>
  <c r="J269" i="2"/>
  <c r="K269" i="2"/>
  <c r="L269" i="2"/>
  <c r="I270" i="2"/>
  <c r="J270" i="2"/>
  <c r="K270" i="2"/>
  <c r="L270" i="2"/>
  <c r="I271" i="2"/>
  <c r="J271" i="2"/>
  <c r="K271" i="2"/>
  <c r="L271" i="2"/>
  <c r="I272" i="2"/>
  <c r="J272" i="2"/>
  <c r="K272" i="2"/>
  <c r="L272" i="2"/>
  <c r="I273" i="2"/>
  <c r="J273" i="2"/>
  <c r="K273" i="2"/>
  <c r="L273" i="2"/>
  <c r="I274" i="2"/>
  <c r="J274" i="2"/>
  <c r="K274" i="2"/>
  <c r="L274" i="2"/>
  <c r="I275" i="2"/>
  <c r="J275" i="2"/>
  <c r="K275" i="2"/>
  <c r="L275" i="2"/>
  <c r="I276" i="2"/>
  <c r="J276" i="2"/>
  <c r="K276" i="2"/>
  <c r="L276" i="2"/>
  <c r="I277" i="2"/>
  <c r="J277" i="2"/>
  <c r="K277" i="2"/>
  <c r="L277" i="2"/>
  <c r="I278" i="2"/>
  <c r="J278" i="2"/>
  <c r="K278" i="2"/>
  <c r="L278" i="2"/>
  <c r="I279" i="2"/>
  <c r="J279" i="2"/>
  <c r="K279" i="2"/>
  <c r="L279" i="2"/>
  <c r="I280" i="2"/>
  <c r="J280" i="2"/>
  <c r="K280" i="2"/>
  <c r="L280" i="2"/>
  <c r="I281" i="2"/>
  <c r="J281" i="2"/>
  <c r="K281" i="2"/>
  <c r="L281" i="2"/>
  <c r="I282" i="2"/>
  <c r="J282" i="2"/>
  <c r="K282" i="2"/>
  <c r="L282" i="2"/>
  <c r="I283" i="2"/>
  <c r="J283" i="2"/>
  <c r="K283" i="2"/>
  <c r="L283" i="2"/>
  <c r="I284" i="2"/>
  <c r="J284" i="2"/>
  <c r="K284" i="2"/>
  <c r="L284" i="2"/>
  <c r="I285" i="2"/>
  <c r="J285" i="2"/>
  <c r="K285" i="2"/>
  <c r="L285" i="2"/>
  <c r="I286" i="2"/>
  <c r="J286" i="2"/>
  <c r="K286" i="2"/>
  <c r="L286" i="2"/>
  <c r="I287" i="2"/>
  <c r="J287" i="2"/>
  <c r="K287" i="2"/>
  <c r="L287" i="2"/>
  <c r="I288" i="2"/>
  <c r="J288" i="2"/>
  <c r="K288" i="2"/>
  <c r="L288" i="2"/>
  <c r="I289" i="2"/>
  <c r="J289" i="2"/>
  <c r="K289" i="2"/>
  <c r="L289" i="2"/>
  <c r="I290" i="2"/>
  <c r="J290" i="2"/>
  <c r="K290" i="2"/>
  <c r="L290" i="2"/>
  <c r="I291" i="2"/>
  <c r="J291" i="2"/>
  <c r="K291" i="2"/>
  <c r="L291" i="2"/>
  <c r="I292" i="2"/>
  <c r="J292" i="2"/>
  <c r="K292" i="2"/>
  <c r="L292" i="2"/>
  <c r="I293" i="2"/>
  <c r="J293" i="2"/>
  <c r="K293" i="2"/>
  <c r="L293" i="2"/>
  <c r="I294" i="2"/>
  <c r="J294" i="2"/>
  <c r="K294" i="2"/>
  <c r="L294" i="2"/>
  <c r="I295" i="2"/>
  <c r="J295" i="2"/>
  <c r="K295" i="2"/>
  <c r="L295" i="2"/>
  <c r="I296" i="2"/>
  <c r="J296" i="2"/>
  <c r="K296" i="2"/>
  <c r="L296" i="2"/>
  <c r="I297" i="2"/>
  <c r="J297" i="2"/>
  <c r="K297" i="2"/>
  <c r="L297" i="2"/>
  <c r="I298" i="2"/>
  <c r="J298" i="2"/>
  <c r="K298" i="2"/>
  <c r="L298" i="2"/>
  <c r="I299" i="2"/>
  <c r="J299" i="2"/>
  <c r="K299" i="2"/>
  <c r="L299" i="2"/>
  <c r="I300" i="2"/>
  <c r="J300" i="2"/>
  <c r="K300" i="2"/>
  <c r="L300" i="2"/>
  <c r="I301" i="2"/>
  <c r="J301" i="2"/>
  <c r="K301" i="2"/>
  <c r="L301" i="2"/>
  <c r="I302" i="2"/>
  <c r="J302" i="2"/>
  <c r="K302" i="2"/>
  <c r="L302" i="2"/>
  <c r="I303" i="2"/>
  <c r="J303" i="2"/>
  <c r="K303" i="2"/>
  <c r="L303" i="2"/>
  <c r="I304" i="2"/>
  <c r="J304" i="2"/>
  <c r="K304" i="2"/>
  <c r="L304" i="2"/>
  <c r="I305" i="2"/>
  <c r="J305" i="2"/>
  <c r="K305" i="2"/>
  <c r="L305" i="2"/>
  <c r="I306" i="2"/>
  <c r="J306" i="2"/>
  <c r="K306" i="2"/>
  <c r="L306" i="2"/>
  <c r="I307" i="2"/>
  <c r="J307" i="2"/>
  <c r="K307" i="2"/>
  <c r="L307" i="2"/>
  <c r="I308" i="2"/>
  <c r="J308" i="2"/>
  <c r="K308" i="2"/>
  <c r="L308" i="2"/>
  <c r="I309" i="2"/>
  <c r="J309" i="2"/>
  <c r="K309" i="2"/>
  <c r="L309" i="2"/>
  <c r="I310" i="2"/>
  <c r="J310" i="2"/>
  <c r="K310" i="2"/>
  <c r="L310" i="2"/>
  <c r="I311" i="2"/>
  <c r="J311" i="2"/>
  <c r="K311" i="2"/>
  <c r="L311" i="2"/>
  <c r="I312" i="2"/>
  <c r="J312" i="2"/>
  <c r="K312" i="2"/>
  <c r="L312" i="2"/>
  <c r="I313" i="2"/>
  <c r="J313" i="2"/>
  <c r="K313" i="2"/>
  <c r="L313" i="2"/>
  <c r="I314" i="2"/>
  <c r="J314" i="2"/>
  <c r="K314" i="2"/>
  <c r="L314" i="2"/>
  <c r="I315" i="2"/>
  <c r="J315" i="2"/>
  <c r="K315" i="2"/>
  <c r="L315" i="2"/>
  <c r="I316" i="2"/>
  <c r="J316" i="2"/>
  <c r="K316" i="2"/>
  <c r="L316" i="2"/>
  <c r="I317" i="2"/>
  <c r="J317" i="2"/>
  <c r="K317" i="2"/>
  <c r="L317" i="2"/>
  <c r="I318" i="2"/>
  <c r="J318" i="2"/>
  <c r="K318" i="2"/>
  <c r="L318" i="2"/>
  <c r="I319" i="2"/>
  <c r="J319" i="2"/>
  <c r="K319" i="2"/>
  <c r="L319" i="2"/>
  <c r="I320" i="2"/>
  <c r="J320" i="2"/>
  <c r="K320" i="2"/>
  <c r="L320" i="2"/>
  <c r="I321" i="2"/>
  <c r="J321" i="2"/>
  <c r="K321" i="2"/>
  <c r="L321" i="2"/>
  <c r="I322" i="2"/>
  <c r="J322" i="2"/>
  <c r="K322" i="2"/>
  <c r="L322" i="2"/>
  <c r="I323" i="2"/>
  <c r="J323" i="2"/>
  <c r="K323" i="2"/>
  <c r="L323" i="2"/>
  <c r="I324" i="2"/>
  <c r="J324" i="2"/>
  <c r="K324" i="2"/>
  <c r="L324" i="2"/>
  <c r="I325" i="2"/>
  <c r="J325" i="2"/>
  <c r="K325" i="2"/>
  <c r="L325" i="2"/>
  <c r="I326" i="2"/>
  <c r="J326" i="2"/>
  <c r="K326" i="2"/>
  <c r="L326" i="2"/>
  <c r="I327" i="2"/>
  <c r="J327" i="2"/>
  <c r="K327" i="2"/>
  <c r="L327" i="2"/>
  <c r="I328" i="2"/>
  <c r="J328" i="2"/>
  <c r="K328" i="2"/>
  <c r="L328" i="2"/>
  <c r="I329" i="2"/>
  <c r="J329" i="2"/>
  <c r="K329" i="2"/>
  <c r="L329" i="2"/>
  <c r="I330" i="2"/>
  <c r="J330" i="2"/>
  <c r="K330" i="2"/>
  <c r="L330" i="2"/>
  <c r="I331" i="2"/>
  <c r="J331" i="2"/>
  <c r="K331" i="2"/>
  <c r="L331" i="2"/>
  <c r="I332" i="2"/>
  <c r="J332" i="2"/>
  <c r="K332" i="2"/>
  <c r="L332" i="2"/>
  <c r="I333" i="2"/>
  <c r="J333" i="2"/>
  <c r="K333" i="2"/>
  <c r="L333" i="2"/>
  <c r="I334" i="2"/>
  <c r="J334" i="2"/>
  <c r="K334" i="2"/>
  <c r="L334" i="2"/>
  <c r="I335" i="2"/>
  <c r="J335" i="2"/>
  <c r="K335" i="2"/>
  <c r="L335" i="2"/>
  <c r="I336" i="2"/>
  <c r="J336" i="2"/>
  <c r="K336" i="2"/>
  <c r="L336" i="2"/>
  <c r="I337" i="2"/>
  <c r="J337" i="2"/>
  <c r="K337" i="2"/>
  <c r="L337" i="2"/>
  <c r="I338" i="2"/>
  <c r="J338" i="2"/>
  <c r="K338" i="2"/>
  <c r="L338" i="2"/>
  <c r="I339" i="2"/>
  <c r="J339" i="2"/>
  <c r="K339" i="2"/>
  <c r="L339" i="2"/>
  <c r="I340" i="2"/>
  <c r="J340" i="2"/>
  <c r="K340" i="2"/>
  <c r="L340" i="2"/>
  <c r="I341" i="2"/>
  <c r="J341" i="2"/>
  <c r="K341" i="2"/>
  <c r="L341" i="2"/>
  <c r="I342" i="2"/>
  <c r="J342" i="2"/>
  <c r="K342" i="2"/>
  <c r="L342" i="2"/>
  <c r="I343" i="2"/>
  <c r="J343" i="2"/>
  <c r="K343" i="2"/>
  <c r="L343" i="2"/>
  <c r="I344" i="2"/>
  <c r="J344" i="2"/>
  <c r="K344" i="2"/>
  <c r="L344" i="2"/>
  <c r="I345" i="2"/>
  <c r="J345" i="2"/>
  <c r="K345" i="2"/>
  <c r="L345" i="2"/>
  <c r="I346" i="2"/>
  <c r="J346" i="2"/>
  <c r="K346" i="2"/>
  <c r="L346" i="2"/>
  <c r="I347" i="2"/>
  <c r="J347" i="2"/>
  <c r="K347" i="2"/>
  <c r="L347" i="2"/>
  <c r="I348" i="2"/>
  <c r="J348" i="2"/>
  <c r="K348" i="2"/>
  <c r="L348" i="2"/>
  <c r="I349" i="2"/>
  <c r="J349" i="2"/>
  <c r="K349" i="2"/>
  <c r="L349" i="2"/>
  <c r="I350" i="2"/>
  <c r="J350" i="2"/>
  <c r="K350" i="2"/>
  <c r="L350" i="2"/>
  <c r="I351" i="2"/>
  <c r="J351" i="2"/>
  <c r="K351" i="2"/>
  <c r="L351" i="2"/>
  <c r="I352" i="2"/>
  <c r="J352" i="2"/>
  <c r="K352" i="2"/>
  <c r="L352" i="2"/>
  <c r="I353" i="2"/>
  <c r="J353" i="2"/>
  <c r="K353" i="2"/>
  <c r="L353" i="2"/>
  <c r="I354" i="2"/>
  <c r="J354" i="2"/>
  <c r="K354" i="2"/>
  <c r="L354" i="2"/>
  <c r="I355" i="2"/>
  <c r="J355" i="2"/>
  <c r="K355" i="2"/>
  <c r="L355" i="2"/>
  <c r="I356" i="2"/>
  <c r="J356" i="2"/>
  <c r="K356" i="2"/>
  <c r="L356" i="2"/>
  <c r="I357" i="2"/>
  <c r="J357" i="2"/>
  <c r="K357" i="2"/>
  <c r="L357" i="2"/>
  <c r="I358" i="2"/>
  <c r="J358" i="2"/>
  <c r="K358" i="2"/>
  <c r="L358" i="2"/>
  <c r="I359" i="2"/>
  <c r="J359" i="2"/>
  <c r="K359" i="2"/>
  <c r="L359" i="2"/>
  <c r="I360" i="2"/>
  <c r="J360" i="2"/>
  <c r="K360" i="2"/>
  <c r="L360" i="2"/>
  <c r="I361" i="2"/>
  <c r="J361" i="2"/>
  <c r="K361" i="2"/>
  <c r="L361" i="2"/>
  <c r="I362" i="2"/>
  <c r="J362" i="2"/>
  <c r="K362" i="2"/>
  <c r="L362" i="2"/>
  <c r="I363" i="2"/>
  <c r="J363" i="2"/>
  <c r="K363" i="2"/>
  <c r="L363" i="2"/>
  <c r="I364" i="2"/>
  <c r="J364" i="2"/>
  <c r="K364" i="2"/>
  <c r="L364" i="2"/>
  <c r="I365" i="2"/>
  <c r="J365" i="2"/>
  <c r="K365" i="2"/>
  <c r="L365" i="2"/>
  <c r="I366" i="2"/>
  <c r="J366" i="2"/>
  <c r="K366" i="2"/>
  <c r="L366" i="2"/>
  <c r="I367" i="2"/>
  <c r="J367" i="2"/>
  <c r="K367" i="2"/>
  <c r="L367" i="2"/>
  <c r="I368" i="2"/>
  <c r="J368" i="2"/>
  <c r="K368" i="2"/>
  <c r="L368" i="2"/>
  <c r="I369" i="2"/>
  <c r="J369" i="2"/>
  <c r="K369" i="2"/>
  <c r="L369" i="2"/>
  <c r="I370" i="2"/>
  <c r="J370" i="2"/>
  <c r="K370" i="2"/>
  <c r="L370" i="2"/>
  <c r="I371" i="2"/>
  <c r="J371" i="2"/>
  <c r="K371" i="2"/>
  <c r="L371" i="2"/>
  <c r="I372" i="2"/>
  <c r="J372" i="2"/>
  <c r="K372" i="2"/>
  <c r="L372" i="2"/>
  <c r="I373" i="2"/>
  <c r="J373" i="2"/>
  <c r="K373" i="2"/>
  <c r="L373" i="2"/>
  <c r="I374" i="2"/>
  <c r="J374" i="2"/>
  <c r="K374" i="2"/>
  <c r="L374" i="2"/>
  <c r="I375" i="2"/>
  <c r="J375" i="2"/>
  <c r="K375" i="2"/>
  <c r="L375" i="2"/>
  <c r="I376" i="2"/>
  <c r="J376" i="2"/>
  <c r="K376" i="2"/>
  <c r="L376" i="2"/>
  <c r="I377" i="2"/>
  <c r="J377" i="2"/>
  <c r="K377" i="2"/>
  <c r="L377" i="2"/>
  <c r="I378" i="2"/>
  <c r="J378" i="2"/>
  <c r="K378" i="2"/>
  <c r="L378" i="2"/>
  <c r="I379" i="2"/>
  <c r="J379" i="2"/>
  <c r="K379" i="2"/>
  <c r="L379" i="2"/>
  <c r="I380" i="2"/>
  <c r="J380" i="2"/>
  <c r="K380" i="2"/>
  <c r="L380" i="2"/>
  <c r="I381" i="2"/>
  <c r="J381" i="2"/>
  <c r="K381" i="2"/>
  <c r="L381" i="2"/>
  <c r="I382" i="2"/>
  <c r="J382" i="2"/>
  <c r="K382" i="2"/>
  <c r="L382" i="2"/>
  <c r="I383" i="2"/>
  <c r="J383" i="2"/>
  <c r="K383" i="2"/>
  <c r="L383" i="2"/>
  <c r="I384" i="2"/>
  <c r="J384" i="2"/>
  <c r="K384" i="2"/>
  <c r="L384" i="2"/>
  <c r="I385" i="2"/>
  <c r="J385" i="2"/>
  <c r="K385" i="2"/>
  <c r="L385" i="2"/>
  <c r="I386" i="2"/>
  <c r="J386" i="2"/>
  <c r="K386" i="2"/>
  <c r="L386" i="2"/>
  <c r="I387" i="2"/>
  <c r="J387" i="2"/>
  <c r="K387" i="2"/>
  <c r="L387" i="2"/>
  <c r="I388" i="2"/>
  <c r="J388" i="2"/>
  <c r="K388" i="2"/>
  <c r="L388" i="2"/>
  <c r="I389" i="2"/>
  <c r="J389" i="2"/>
  <c r="K389" i="2"/>
  <c r="L389" i="2"/>
  <c r="I390" i="2"/>
  <c r="J390" i="2"/>
  <c r="K390" i="2"/>
  <c r="L390" i="2"/>
  <c r="I391" i="2"/>
  <c r="J391" i="2"/>
  <c r="K391" i="2"/>
  <c r="L391" i="2"/>
  <c r="I392" i="2"/>
  <c r="J392" i="2"/>
  <c r="K392" i="2"/>
  <c r="L392" i="2"/>
  <c r="I393" i="2"/>
  <c r="J393" i="2"/>
  <c r="K393" i="2"/>
  <c r="L393" i="2"/>
  <c r="I394" i="2"/>
  <c r="J394" i="2"/>
  <c r="K394" i="2"/>
  <c r="L394" i="2"/>
  <c r="I395" i="2"/>
  <c r="J395" i="2"/>
  <c r="K395" i="2"/>
  <c r="L395" i="2"/>
  <c r="I396" i="2"/>
  <c r="J396" i="2"/>
  <c r="K396" i="2"/>
  <c r="L396" i="2"/>
  <c r="I397" i="2"/>
  <c r="J397" i="2"/>
  <c r="K397" i="2"/>
  <c r="L397" i="2"/>
  <c r="I398" i="2"/>
  <c r="J398" i="2"/>
  <c r="K398" i="2"/>
  <c r="L398" i="2"/>
  <c r="I399" i="2"/>
  <c r="J399" i="2"/>
  <c r="K399" i="2"/>
  <c r="L399" i="2"/>
  <c r="I400" i="2"/>
  <c r="J400" i="2"/>
  <c r="K400" i="2"/>
  <c r="L400" i="2"/>
  <c r="I401" i="2"/>
  <c r="J401" i="2"/>
  <c r="K401" i="2"/>
  <c r="L401" i="2"/>
  <c r="I402" i="2"/>
  <c r="J402" i="2"/>
  <c r="K402" i="2"/>
  <c r="L402" i="2"/>
  <c r="W4" i="2" s="1"/>
  <c r="I403" i="2"/>
  <c r="J403" i="2"/>
  <c r="K403" i="2"/>
  <c r="I404" i="2"/>
  <c r="J404" i="2"/>
  <c r="K404" i="2"/>
  <c r="L404" i="2"/>
  <c r="I405" i="2"/>
  <c r="J405" i="2"/>
  <c r="K405" i="2"/>
  <c r="L405" i="2"/>
  <c r="I406" i="2"/>
  <c r="J406" i="2"/>
  <c r="K406" i="2"/>
  <c r="L406" i="2"/>
  <c r="I407" i="2"/>
  <c r="J407" i="2"/>
  <c r="K407" i="2"/>
  <c r="L407" i="2"/>
  <c r="I408" i="2"/>
  <c r="J408" i="2"/>
  <c r="K408" i="2"/>
  <c r="L408" i="2"/>
  <c r="I409" i="2"/>
  <c r="J409" i="2"/>
  <c r="K409" i="2"/>
  <c r="L409" i="2"/>
  <c r="I410" i="2"/>
  <c r="J410" i="2"/>
  <c r="K410" i="2"/>
  <c r="L410" i="2"/>
  <c r="I411" i="2"/>
  <c r="J411" i="2"/>
  <c r="K411" i="2"/>
  <c r="L411" i="2"/>
  <c r="I412" i="2"/>
  <c r="J412" i="2"/>
  <c r="K412" i="2"/>
  <c r="L412" i="2"/>
  <c r="I413" i="2"/>
  <c r="J413" i="2"/>
  <c r="K413" i="2"/>
  <c r="L413" i="2"/>
  <c r="I414" i="2"/>
  <c r="J414" i="2"/>
  <c r="K414" i="2"/>
  <c r="L414" i="2"/>
  <c r="I415" i="2"/>
  <c r="J415" i="2"/>
  <c r="K415" i="2"/>
  <c r="L415" i="2"/>
  <c r="I416" i="2"/>
  <c r="J416" i="2"/>
  <c r="K416" i="2"/>
  <c r="L416" i="2"/>
  <c r="I417" i="2"/>
  <c r="J417" i="2"/>
  <c r="K417" i="2"/>
  <c r="L417" i="2"/>
  <c r="I418" i="2"/>
  <c r="J418" i="2"/>
  <c r="K418" i="2"/>
  <c r="L418" i="2"/>
  <c r="I419" i="2"/>
  <c r="J419" i="2"/>
  <c r="K419" i="2"/>
  <c r="L419" i="2"/>
  <c r="I420" i="2"/>
  <c r="J420" i="2"/>
  <c r="K420" i="2"/>
  <c r="L420" i="2"/>
  <c r="I421" i="2"/>
  <c r="J421" i="2"/>
  <c r="K421" i="2"/>
  <c r="L421" i="2"/>
  <c r="I422" i="2"/>
  <c r="J422" i="2"/>
  <c r="K422" i="2"/>
  <c r="L422" i="2"/>
  <c r="I423" i="2"/>
  <c r="J423" i="2"/>
  <c r="K423" i="2"/>
  <c r="L423" i="2"/>
  <c r="I424" i="2"/>
  <c r="J424" i="2"/>
  <c r="K424" i="2"/>
  <c r="L424" i="2"/>
  <c r="I425" i="2"/>
  <c r="J425" i="2"/>
  <c r="K425" i="2"/>
  <c r="L425" i="2"/>
  <c r="I426" i="2"/>
  <c r="J426" i="2"/>
  <c r="K426" i="2"/>
  <c r="L426" i="2"/>
  <c r="I427" i="2"/>
  <c r="J427" i="2"/>
  <c r="K427" i="2"/>
  <c r="L427" i="2"/>
  <c r="I428" i="2"/>
  <c r="J428" i="2"/>
  <c r="K428" i="2"/>
  <c r="L428" i="2"/>
  <c r="I429" i="2"/>
  <c r="J429" i="2"/>
  <c r="K429" i="2"/>
  <c r="L429" i="2"/>
  <c r="I430" i="2"/>
  <c r="J430" i="2"/>
  <c r="K430" i="2"/>
  <c r="L430" i="2"/>
  <c r="I431" i="2"/>
  <c r="J431" i="2"/>
  <c r="K431" i="2"/>
  <c r="L431" i="2"/>
  <c r="I432" i="2"/>
  <c r="J432" i="2"/>
  <c r="K432" i="2"/>
  <c r="L432" i="2"/>
  <c r="I433" i="2"/>
  <c r="J433" i="2"/>
  <c r="K433" i="2"/>
  <c r="L433" i="2"/>
  <c r="I434" i="2"/>
  <c r="J434" i="2"/>
  <c r="K434" i="2"/>
  <c r="L434" i="2"/>
  <c r="I435" i="2"/>
  <c r="J435" i="2"/>
  <c r="K435" i="2"/>
  <c r="L435" i="2"/>
  <c r="I436" i="2"/>
  <c r="J436" i="2"/>
  <c r="K436" i="2"/>
  <c r="L436" i="2"/>
  <c r="I437" i="2"/>
  <c r="J437" i="2"/>
  <c r="K437" i="2"/>
  <c r="L437" i="2"/>
  <c r="I438" i="2"/>
  <c r="J438" i="2"/>
  <c r="K438" i="2"/>
  <c r="L438" i="2"/>
  <c r="I439" i="2"/>
  <c r="J439" i="2"/>
  <c r="K439" i="2"/>
  <c r="L439" i="2"/>
  <c r="I440" i="2"/>
  <c r="J440" i="2"/>
  <c r="K440" i="2"/>
  <c r="L440" i="2"/>
  <c r="I441" i="2"/>
  <c r="J441" i="2"/>
  <c r="K441" i="2"/>
  <c r="L441" i="2"/>
  <c r="I442" i="2"/>
  <c r="J442" i="2"/>
  <c r="K442" i="2"/>
  <c r="L442" i="2"/>
  <c r="I443" i="2"/>
  <c r="J443" i="2"/>
  <c r="K443" i="2"/>
  <c r="L443" i="2"/>
  <c r="I444" i="2"/>
  <c r="J444" i="2"/>
  <c r="K444" i="2"/>
  <c r="L444" i="2"/>
  <c r="I445" i="2"/>
  <c r="J445" i="2"/>
  <c r="K445" i="2"/>
  <c r="L445" i="2"/>
  <c r="I446" i="2"/>
  <c r="J446" i="2"/>
  <c r="K446" i="2"/>
  <c r="L446" i="2"/>
  <c r="I447" i="2"/>
  <c r="J447" i="2"/>
  <c r="K447" i="2"/>
  <c r="L447" i="2"/>
  <c r="I448" i="2"/>
  <c r="J448" i="2"/>
  <c r="K448" i="2"/>
  <c r="L448" i="2"/>
  <c r="I449" i="2"/>
  <c r="J449" i="2"/>
  <c r="K449" i="2"/>
  <c r="L449" i="2"/>
  <c r="I450" i="2"/>
  <c r="J450" i="2"/>
  <c r="K450" i="2"/>
  <c r="L450" i="2"/>
  <c r="I451" i="2"/>
  <c r="J451" i="2"/>
  <c r="K451" i="2"/>
  <c r="L451" i="2"/>
  <c r="I452" i="2"/>
  <c r="J452" i="2"/>
  <c r="K452" i="2"/>
  <c r="L452" i="2"/>
  <c r="I453" i="2"/>
  <c r="J453" i="2"/>
  <c r="K453" i="2"/>
  <c r="L453" i="2"/>
  <c r="I454" i="2"/>
  <c r="J454" i="2"/>
  <c r="K454" i="2"/>
  <c r="L454" i="2"/>
  <c r="I455" i="2"/>
  <c r="J455" i="2"/>
  <c r="K455" i="2"/>
  <c r="L455" i="2"/>
  <c r="I456" i="2"/>
  <c r="J456" i="2"/>
  <c r="K456" i="2"/>
  <c r="L456" i="2"/>
  <c r="I457" i="2"/>
  <c r="J457" i="2"/>
  <c r="K457" i="2"/>
  <c r="L457" i="2"/>
  <c r="I458" i="2"/>
  <c r="J458" i="2"/>
  <c r="K458" i="2"/>
  <c r="L458" i="2"/>
  <c r="I459" i="2"/>
  <c r="J459" i="2"/>
  <c r="K459" i="2"/>
  <c r="L459" i="2"/>
  <c r="I460" i="2"/>
  <c r="J460" i="2"/>
  <c r="K460" i="2"/>
  <c r="L460" i="2"/>
  <c r="I461" i="2"/>
  <c r="J461" i="2"/>
  <c r="K461" i="2"/>
  <c r="L461" i="2"/>
  <c r="I462" i="2"/>
  <c r="J462" i="2"/>
  <c r="K462" i="2"/>
  <c r="L462" i="2"/>
  <c r="I463" i="2"/>
  <c r="J463" i="2"/>
  <c r="K463" i="2"/>
  <c r="L463" i="2"/>
  <c r="I464" i="2"/>
  <c r="J464" i="2"/>
  <c r="K464" i="2"/>
  <c r="L464" i="2"/>
  <c r="I465" i="2"/>
  <c r="J465" i="2"/>
  <c r="K465" i="2"/>
  <c r="L465" i="2"/>
  <c r="I466" i="2"/>
  <c r="J466" i="2"/>
  <c r="K466" i="2"/>
  <c r="L466" i="2"/>
  <c r="I467" i="2"/>
  <c r="J467" i="2"/>
  <c r="K467" i="2"/>
  <c r="L467" i="2"/>
  <c r="I468" i="2"/>
  <c r="J468" i="2"/>
  <c r="K468" i="2"/>
  <c r="L468" i="2"/>
  <c r="I469" i="2"/>
  <c r="J469" i="2"/>
  <c r="K469" i="2"/>
  <c r="L469" i="2"/>
  <c r="I470" i="2"/>
  <c r="J470" i="2"/>
  <c r="K470" i="2"/>
  <c r="L470" i="2"/>
  <c r="I471" i="2"/>
  <c r="J471" i="2"/>
  <c r="K471" i="2"/>
  <c r="L471" i="2"/>
  <c r="I472" i="2"/>
  <c r="J472" i="2"/>
  <c r="K472" i="2"/>
  <c r="L472" i="2"/>
  <c r="I473" i="2"/>
  <c r="J473" i="2"/>
  <c r="K473" i="2"/>
  <c r="L473" i="2"/>
  <c r="I474" i="2"/>
  <c r="J474" i="2"/>
  <c r="K474" i="2"/>
  <c r="L474" i="2"/>
  <c r="I475" i="2"/>
  <c r="J475" i="2"/>
  <c r="K475" i="2"/>
  <c r="L475" i="2"/>
  <c r="I476" i="2"/>
  <c r="J476" i="2"/>
  <c r="K476" i="2"/>
  <c r="L476" i="2"/>
  <c r="I477" i="2"/>
  <c r="J477" i="2"/>
  <c r="K477" i="2"/>
  <c r="L477" i="2"/>
  <c r="I478" i="2"/>
  <c r="J478" i="2"/>
  <c r="K478" i="2"/>
  <c r="L478" i="2"/>
  <c r="I479" i="2"/>
  <c r="J479" i="2"/>
  <c r="K479" i="2"/>
  <c r="L479" i="2"/>
  <c r="I480" i="2"/>
  <c r="J480" i="2"/>
  <c r="K480" i="2"/>
  <c r="L480" i="2"/>
  <c r="I481" i="2"/>
  <c r="J481" i="2"/>
  <c r="K481" i="2"/>
  <c r="L481" i="2"/>
  <c r="I482" i="2"/>
  <c r="J482" i="2"/>
  <c r="K482" i="2"/>
  <c r="L482" i="2"/>
  <c r="I483" i="2"/>
  <c r="J483" i="2"/>
  <c r="K483" i="2"/>
  <c r="L483" i="2"/>
  <c r="I484" i="2"/>
  <c r="J484" i="2"/>
  <c r="K484" i="2"/>
  <c r="L484" i="2"/>
  <c r="I485" i="2"/>
  <c r="J485" i="2"/>
  <c r="K485" i="2"/>
  <c r="L485" i="2"/>
  <c r="I486" i="2"/>
  <c r="J486" i="2"/>
  <c r="K486" i="2"/>
  <c r="L486" i="2"/>
  <c r="I487" i="2"/>
  <c r="J487" i="2"/>
  <c r="K487" i="2"/>
  <c r="L487" i="2"/>
  <c r="I488" i="2"/>
  <c r="J488" i="2"/>
  <c r="K488" i="2"/>
  <c r="L488" i="2"/>
  <c r="I489" i="2"/>
  <c r="J489" i="2"/>
  <c r="K489" i="2"/>
  <c r="L489" i="2"/>
  <c r="I490" i="2"/>
  <c r="J490" i="2"/>
  <c r="K490" i="2"/>
  <c r="L490" i="2"/>
  <c r="I491" i="2"/>
  <c r="J491" i="2"/>
  <c r="K491" i="2"/>
  <c r="L491" i="2"/>
  <c r="I492" i="2"/>
  <c r="J492" i="2"/>
  <c r="K492" i="2"/>
  <c r="L492" i="2"/>
  <c r="I493" i="2"/>
  <c r="J493" i="2"/>
  <c r="K493" i="2"/>
  <c r="L493" i="2"/>
  <c r="I494" i="2"/>
  <c r="J494" i="2"/>
  <c r="K494" i="2"/>
  <c r="L494" i="2"/>
  <c r="I495" i="2"/>
  <c r="J495" i="2"/>
  <c r="K495" i="2"/>
  <c r="L495" i="2"/>
  <c r="I496" i="2"/>
  <c r="J496" i="2"/>
  <c r="K496" i="2"/>
  <c r="L496" i="2"/>
  <c r="I497" i="2"/>
  <c r="J497" i="2"/>
  <c r="K497" i="2"/>
  <c r="L497" i="2"/>
  <c r="I498" i="2"/>
  <c r="J498" i="2"/>
  <c r="K498" i="2"/>
  <c r="L498" i="2"/>
  <c r="I499" i="2"/>
  <c r="J499" i="2"/>
  <c r="K499" i="2"/>
  <c r="L499" i="2"/>
  <c r="I500" i="2"/>
  <c r="J500" i="2"/>
  <c r="K500" i="2"/>
  <c r="L500" i="2"/>
  <c r="I501" i="2"/>
  <c r="J501" i="2"/>
  <c r="K501" i="2"/>
  <c r="L501" i="2"/>
  <c r="I502" i="2"/>
  <c r="J502" i="2"/>
  <c r="K502" i="2"/>
  <c r="L502" i="2"/>
  <c r="I503" i="2"/>
  <c r="J503" i="2"/>
  <c r="K503" i="2"/>
  <c r="L503" i="2"/>
  <c r="I504" i="2"/>
  <c r="J504" i="2"/>
  <c r="K504" i="2"/>
  <c r="L504" i="2"/>
  <c r="I505" i="2"/>
  <c r="J505" i="2"/>
  <c r="K505" i="2"/>
  <c r="L505" i="2"/>
  <c r="I506" i="2"/>
  <c r="J506" i="2"/>
  <c r="K506" i="2"/>
  <c r="L506" i="2"/>
  <c r="I507" i="2"/>
  <c r="J507" i="2"/>
  <c r="K507" i="2"/>
  <c r="L507" i="2"/>
  <c r="I508" i="2"/>
  <c r="J508" i="2"/>
  <c r="K508" i="2"/>
  <c r="L508" i="2"/>
  <c r="I509" i="2"/>
  <c r="J509" i="2"/>
  <c r="K509" i="2"/>
  <c r="L509" i="2"/>
  <c r="I510" i="2"/>
  <c r="J510" i="2"/>
  <c r="K510" i="2"/>
  <c r="L510" i="2"/>
  <c r="I511" i="2"/>
  <c r="J511" i="2"/>
  <c r="K511" i="2"/>
  <c r="L511" i="2"/>
  <c r="I512" i="2"/>
  <c r="J512" i="2"/>
  <c r="K512" i="2"/>
  <c r="L512" i="2"/>
  <c r="I513" i="2"/>
  <c r="J513" i="2"/>
  <c r="K513" i="2"/>
  <c r="L513" i="2"/>
  <c r="I514" i="2"/>
  <c r="J514" i="2"/>
  <c r="K514" i="2"/>
  <c r="L514" i="2"/>
  <c r="I515" i="2"/>
  <c r="J515" i="2"/>
  <c r="K515" i="2"/>
  <c r="L515" i="2"/>
  <c r="I516" i="2"/>
  <c r="J516" i="2"/>
  <c r="K516" i="2"/>
  <c r="L516" i="2"/>
  <c r="I517" i="2"/>
  <c r="J517" i="2"/>
  <c r="K517" i="2"/>
  <c r="L517" i="2"/>
  <c r="I518" i="2"/>
  <c r="J518" i="2"/>
  <c r="K518" i="2"/>
  <c r="L518" i="2"/>
  <c r="I519" i="2"/>
  <c r="J519" i="2"/>
  <c r="K519" i="2"/>
  <c r="L519" i="2"/>
  <c r="I520" i="2"/>
  <c r="J520" i="2"/>
  <c r="K520" i="2"/>
  <c r="L520" i="2"/>
  <c r="I521" i="2"/>
  <c r="J521" i="2"/>
  <c r="K521" i="2"/>
  <c r="L521" i="2"/>
  <c r="I522" i="2"/>
  <c r="J522" i="2"/>
  <c r="K522" i="2"/>
  <c r="L522" i="2"/>
  <c r="I523" i="2"/>
  <c r="J523" i="2"/>
  <c r="K523" i="2"/>
  <c r="L523" i="2"/>
  <c r="I524" i="2"/>
  <c r="J524" i="2"/>
  <c r="K524" i="2"/>
  <c r="L524" i="2"/>
  <c r="I525" i="2"/>
  <c r="J525" i="2"/>
  <c r="K525" i="2"/>
  <c r="L525" i="2"/>
  <c r="I526" i="2"/>
  <c r="J526" i="2"/>
  <c r="K526" i="2"/>
  <c r="L526" i="2"/>
  <c r="I527" i="2"/>
  <c r="J527" i="2"/>
  <c r="K527" i="2"/>
  <c r="L527" i="2"/>
  <c r="I528" i="2"/>
  <c r="J528" i="2"/>
  <c r="K528" i="2"/>
  <c r="L528" i="2"/>
  <c r="I529" i="2"/>
  <c r="J529" i="2"/>
  <c r="K529" i="2"/>
  <c r="L529" i="2"/>
  <c r="I530" i="2"/>
  <c r="J530" i="2"/>
  <c r="K530" i="2"/>
  <c r="L530" i="2"/>
  <c r="I531" i="2"/>
  <c r="J531" i="2"/>
  <c r="K531" i="2"/>
  <c r="L531" i="2"/>
  <c r="I532" i="2"/>
  <c r="J532" i="2"/>
  <c r="K532" i="2"/>
  <c r="L532" i="2"/>
  <c r="I533" i="2"/>
  <c r="J533" i="2"/>
  <c r="K533" i="2"/>
  <c r="L533" i="2"/>
  <c r="I534" i="2"/>
  <c r="J534" i="2"/>
  <c r="K534" i="2"/>
  <c r="L534" i="2"/>
  <c r="I535" i="2"/>
  <c r="J535" i="2"/>
  <c r="K535" i="2"/>
  <c r="L535" i="2"/>
  <c r="I536" i="2"/>
  <c r="J536" i="2"/>
  <c r="K536" i="2"/>
  <c r="L536" i="2"/>
  <c r="I537" i="2"/>
  <c r="J537" i="2"/>
  <c r="K537" i="2"/>
  <c r="L537" i="2"/>
  <c r="I538" i="2"/>
  <c r="J538" i="2"/>
  <c r="K538" i="2"/>
  <c r="L538" i="2"/>
  <c r="I539" i="2"/>
  <c r="J539" i="2"/>
  <c r="K539" i="2"/>
  <c r="L539" i="2"/>
  <c r="I540" i="2"/>
  <c r="J540" i="2"/>
  <c r="K540" i="2"/>
  <c r="L540" i="2"/>
  <c r="I541" i="2"/>
  <c r="J541" i="2"/>
  <c r="K541" i="2"/>
  <c r="L541" i="2"/>
  <c r="I542" i="2"/>
  <c r="J542" i="2"/>
  <c r="K542" i="2"/>
  <c r="L542" i="2"/>
  <c r="I543" i="2"/>
  <c r="J543" i="2"/>
  <c r="K543" i="2"/>
  <c r="L543" i="2"/>
  <c r="I544" i="2"/>
  <c r="J544" i="2"/>
  <c r="K544" i="2"/>
  <c r="L544" i="2"/>
  <c r="I545" i="2"/>
  <c r="J545" i="2"/>
  <c r="K545" i="2"/>
  <c r="L545" i="2"/>
  <c r="I546" i="2"/>
  <c r="J546" i="2"/>
  <c r="K546" i="2"/>
  <c r="L546" i="2"/>
  <c r="I547" i="2"/>
  <c r="J547" i="2"/>
  <c r="K547" i="2"/>
  <c r="L547" i="2"/>
  <c r="I548" i="2"/>
  <c r="J548" i="2"/>
  <c r="K548" i="2"/>
  <c r="L548" i="2"/>
  <c r="I549" i="2"/>
  <c r="J549" i="2"/>
  <c r="K549" i="2"/>
  <c r="L549" i="2"/>
  <c r="I550" i="2"/>
  <c r="J550" i="2"/>
  <c r="K550" i="2"/>
  <c r="L550" i="2"/>
  <c r="I551" i="2"/>
  <c r="J551" i="2"/>
  <c r="K551" i="2"/>
  <c r="L551" i="2"/>
  <c r="I552" i="2"/>
  <c r="J552" i="2"/>
  <c r="K552" i="2"/>
  <c r="L552" i="2"/>
  <c r="I553" i="2"/>
  <c r="J553" i="2"/>
  <c r="K553" i="2"/>
  <c r="L553" i="2"/>
  <c r="I554" i="2"/>
  <c r="J554" i="2"/>
  <c r="K554" i="2"/>
  <c r="L554" i="2"/>
  <c r="I555" i="2"/>
  <c r="J555" i="2"/>
  <c r="K555" i="2"/>
  <c r="L555" i="2"/>
  <c r="I556" i="2"/>
  <c r="J556" i="2"/>
  <c r="K556" i="2"/>
  <c r="L556" i="2"/>
  <c r="I557" i="2"/>
  <c r="J557" i="2"/>
  <c r="K557" i="2"/>
  <c r="L557" i="2"/>
  <c r="I558" i="2"/>
  <c r="J558" i="2"/>
  <c r="K558" i="2"/>
  <c r="L558" i="2"/>
  <c r="I559" i="2"/>
  <c r="J559" i="2"/>
  <c r="K559" i="2"/>
  <c r="L559" i="2"/>
  <c r="I560" i="2"/>
  <c r="J560" i="2"/>
  <c r="K560" i="2"/>
  <c r="L560" i="2"/>
  <c r="I561" i="2"/>
  <c r="J561" i="2"/>
  <c r="K561" i="2"/>
  <c r="L561" i="2"/>
  <c r="I562" i="2"/>
  <c r="J562" i="2"/>
  <c r="K562" i="2"/>
  <c r="L562" i="2"/>
  <c r="I563" i="2"/>
  <c r="J563" i="2"/>
  <c r="K563" i="2"/>
  <c r="L563" i="2"/>
  <c r="I564" i="2"/>
  <c r="J564" i="2"/>
  <c r="K564" i="2"/>
  <c r="L564" i="2"/>
  <c r="I565" i="2"/>
  <c r="J565" i="2"/>
  <c r="K565" i="2"/>
  <c r="L565" i="2"/>
  <c r="I566" i="2"/>
  <c r="J566" i="2"/>
  <c r="K566" i="2"/>
  <c r="L566" i="2"/>
  <c r="I567" i="2"/>
  <c r="J567" i="2"/>
  <c r="K567" i="2"/>
  <c r="L567" i="2"/>
  <c r="I568" i="2"/>
  <c r="J568" i="2"/>
  <c r="K568" i="2"/>
  <c r="L568" i="2"/>
  <c r="I569" i="2"/>
  <c r="J569" i="2"/>
  <c r="K569" i="2"/>
  <c r="L569" i="2"/>
  <c r="I570" i="2"/>
  <c r="J570" i="2"/>
  <c r="K570" i="2"/>
  <c r="L570" i="2"/>
  <c r="I571" i="2"/>
  <c r="J571" i="2"/>
  <c r="K571" i="2"/>
  <c r="L571" i="2"/>
  <c r="I572" i="2"/>
  <c r="J572" i="2"/>
  <c r="K572" i="2"/>
  <c r="L572" i="2"/>
  <c r="I573" i="2"/>
  <c r="J573" i="2"/>
  <c r="K573" i="2"/>
  <c r="L573" i="2"/>
  <c r="I574" i="2"/>
  <c r="J574" i="2"/>
  <c r="K574" i="2"/>
  <c r="L574" i="2"/>
  <c r="I575" i="2"/>
  <c r="J575" i="2"/>
  <c r="K575" i="2"/>
  <c r="L575" i="2"/>
  <c r="I576" i="2"/>
  <c r="J576" i="2"/>
  <c r="K576" i="2"/>
  <c r="L576" i="2"/>
  <c r="I577" i="2"/>
  <c r="J577" i="2"/>
  <c r="K577" i="2"/>
  <c r="L577" i="2"/>
  <c r="I578" i="2"/>
  <c r="J578" i="2"/>
  <c r="K578" i="2"/>
  <c r="L578" i="2"/>
  <c r="I579" i="2"/>
  <c r="J579" i="2"/>
  <c r="K579" i="2"/>
  <c r="L579" i="2"/>
  <c r="I580" i="2"/>
  <c r="J580" i="2"/>
  <c r="K580" i="2"/>
  <c r="L580" i="2"/>
  <c r="I581" i="2"/>
  <c r="J581" i="2"/>
  <c r="K581" i="2"/>
  <c r="L581" i="2"/>
  <c r="I582" i="2"/>
  <c r="J582" i="2"/>
  <c r="K582" i="2"/>
  <c r="L582" i="2"/>
  <c r="I583" i="2"/>
  <c r="J583" i="2"/>
  <c r="K583" i="2"/>
  <c r="L583" i="2"/>
  <c r="I584" i="2"/>
  <c r="J584" i="2"/>
  <c r="K584" i="2"/>
  <c r="L584" i="2"/>
  <c r="I585" i="2"/>
  <c r="J585" i="2"/>
  <c r="K585" i="2"/>
  <c r="L585" i="2"/>
  <c r="I586" i="2"/>
  <c r="J586" i="2"/>
  <c r="K586" i="2"/>
  <c r="L586" i="2"/>
  <c r="I587" i="2"/>
  <c r="J587" i="2"/>
  <c r="K587" i="2"/>
  <c r="L587" i="2"/>
  <c r="I588" i="2"/>
  <c r="J588" i="2"/>
  <c r="K588" i="2"/>
  <c r="L588" i="2"/>
  <c r="I589" i="2"/>
  <c r="J589" i="2"/>
  <c r="K589" i="2"/>
  <c r="L589" i="2"/>
  <c r="I590" i="2"/>
  <c r="J590" i="2"/>
  <c r="K590" i="2"/>
  <c r="L590" i="2"/>
  <c r="I591" i="2"/>
  <c r="J591" i="2"/>
  <c r="K591" i="2"/>
  <c r="L591" i="2"/>
  <c r="I592" i="2"/>
  <c r="J592" i="2"/>
  <c r="K592" i="2"/>
  <c r="L592" i="2"/>
  <c r="I593" i="2"/>
  <c r="J593" i="2"/>
  <c r="K593" i="2"/>
  <c r="L593" i="2"/>
  <c r="I594" i="2"/>
  <c r="J594" i="2"/>
  <c r="K594" i="2"/>
  <c r="L594" i="2"/>
  <c r="I595" i="2"/>
  <c r="J595" i="2"/>
  <c r="K595" i="2"/>
  <c r="L595" i="2"/>
  <c r="I596" i="2"/>
  <c r="J596" i="2"/>
  <c r="K596" i="2"/>
  <c r="L596" i="2"/>
  <c r="I597" i="2"/>
  <c r="J597" i="2"/>
  <c r="K597" i="2"/>
  <c r="L597" i="2"/>
  <c r="I598" i="2"/>
  <c r="J598" i="2"/>
  <c r="K598" i="2"/>
  <c r="L598" i="2"/>
  <c r="I599" i="2"/>
  <c r="J599" i="2"/>
  <c r="K599" i="2"/>
  <c r="L599" i="2"/>
  <c r="I600" i="2"/>
  <c r="J600" i="2"/>
  <c r="K600" i="2"/>
  <c r="L600" i="2"/>
  <c r="I601" i="2"/>
  <c r="J601" i="2"/>
  <c r="K601" i="2"/>
  <c r="L601" i="2"/>
  <c r="I602" i="2"/>
  <c r="J602" i="2"/>
  <c r="K602" i="2"/>
  <c r="L602" i="2"/>
  <c r="I603" i="2"/>
  <c r="J603" i="2"/>
  <c r="K603" i="2"/>
  <c r="L603" i="2"/>
  <c r="I604" i="2"/>
  <c r="J604" i="2"/>
  <c r="K604" i="2"/>
  <c r="L604" i="2"/>
  <c r="I605" i="2"/>
  <c r="J605" i="2"/>
  <c r="K605" i="2"/>
  <c r="L605" i="2"/>
  <c r="I606" i="2"/>
  <c r="J606" i="2"/>
  <c r="K606" i="2"/>
  <c r="L606" i="2"/>
  <c r="I607" i="2"/>
  <c r="J607" i="2"/>
  <c r="K607" i="2"/>
  <c r="L607" i="2"/>
  <c r="I608" i="2"/>
  <c r="J608" i="2"/>
  <c r="K608" i="2"/>
  <c r="L608" i="2"/>
  <c r="I609" i="2"/>
  <c r="J609" i="2"/>
  <c r="K609" i="2"/>
  <c r="L609" i="2"/>
  <c r="I610" i="2"/>
  <c r="J610" i="2"/>
  <c r="K610" i="2"/>
  <c r="L610" i="2"/>
  <c r="I611" i="2"/>
  <c r="J611" i="2"/>
  <c r="K611" i="2"/>
  <c r="L611" i="2"/>
  <c r="I612" i="2"/>
  <c r="J612" i="2"/>
  <c r="K612" i="2"/>
  <c r="L612" i="2"/>
  <c r="I613" i="2"/>
  <c r="J613" i="2"/>
  <c r="K613" i="2"/>
  <c r="L613" i="2"/>
  <c r="I614" i="2"/>
  <c r="J614" i="2"/>
  <c r="K614" i="2"/>
  <c r="L614" i="2"/>
  <c r="I615" i="2"/>
  <c r="J615" i="2"/>
  <c r="K615" i="2"/>
  <c r="L615" i="2"/>
  <c r="I616" i="2"/>
  <c r="J616" i="2"/>
  <c r="K616" i="2"/>
  <c r="L616" i="2"/>
  <c r="I617" i="2"/>
  <c r="J617" i="2"/>
  <c r="K617" i="2"/>
  <c r="L617" i="2"/>
  <c r="I618" i="2"/>
  <c r="J618" i="2"/>
  <c r="K618" i="2"/>
  <c r="L618" i="2"/>
  <c r="I619" i="2"/>
  <c r="J619" i="2"/>
  <c r="K619" i="2"/>
  <c r="L619" i="2"/>
  <c r="I620" i="2"/>
  <c r="J620" i="2"/>
  <c r="K620" i="2"/>
  <c r="L620" i="2"/>
  <c r="I621" i="2"/>
  <c r="J621" i="2"/>
  <c r="K621" i="2"/>
  <c r="L621" i="2"/>
  <c r="I622" i="2"/>
  <c r="J622" i="2"/>
  <c r="K622" i="2"/>
  <c r="L622" i="2"/>
  <c r="I623" i="2"/>
  <c r="J623" i="2"/>
  <c r="K623" i="2"/>
  <c r="L623" i="2"/>
  <c r="I624" i="2"/>
  <c r="J624" i="2"/>
  <c r="K624" i="2"/>
  <c r="L624" i="2"/>
  <c r="I625" i="2"/>
  <c r="J625" i="2"/>
  <c r="K625" i="2"/>
  <c r="L625" i="2"/>
  <c r="I626" i="2"/>
  <c r="J626" i="2"/>
  <c r="K626" i="2"/>
  <c r="L626" i="2"/>
  <c r="I627" i="2"/>
  <c r="J627" i="2"/>
  <c r="K627" i="2"/>
  <c r="L627" i="2"/>
  <c r="I628" i="2"/>
  <c r="J628" i="2"/>
  <c r="K628" i="2"/>
  <c r="L628" i="2"/>
  <c r="I629" i="2"/>
  <c r="J629" i="2"/>
  <c r="K629" i="2"/>
  <c r="L629" i="2"/>
  <c r="I630" i="2"/>
  <c r="J630" i="2"/>
  <c r="K630" i="2"/>
  <c r="L630" i="2"/>
  <c r="I631" i="2"/>
  <c r="J631" i="2"/>
  <c r="K631" i="2"/>
  <c r="L631" i="2"/>
  <c r="I632" i="2"/>
  <c r="J632" i="2"/>
  <c r="K632" i="2"/>
  <c r="L632" i="2"/>
  <c r="I633" i="2"/>
  <c r="J633" i="2"/>
  <c r="K633" i="2"/>
  <c r="L633" i="2"/>
  <c r="I634" i="2"/>
  <c r="J634" i="2"/>
  <c r="K634" i="2"/>
  <c r="L634" i="2"/>
  <c r="I635" i="2"/>
  <c r="J635" i="2"/>
  <c r="K635" i="2"/>
  <c r="L635" i="2"/>
  <c r="I636" i="2"/>
  <c r="J636" i="2"/>
  <c r="K636" i="2"/>
  <c r="L636" i="2"/>
  <c r="I637" i="2"/>
  <c r="J637" i="2"/>
  <c r="K637" i="2"/>
  <c r="L637" i="2"/>
  <c r="I638" i="2"/>
  <c r="J638" i="2"/>
  <c r="K638" i="2"/>
  <c r="L638" i="2"/>
  <c r="I639" i="2"/>
  <c r="J639" i="2"/>
  <c r="K639" i="2"/>
  <c r="L639" i="2"/>
  <c r="I640" i="2"/>
  <c r="J640" i="2"/>
  <c r="K640" i="2"/>
  <c r="L640" i="2"/>
  <c r="I641" i="2"/>
  <c r="J641" i="2"/>
  <c r="K641" i="2"/>
  <c r="L641" i="2"/>
  <c r="I642" i="2"/>
  <c r="J642" i="2"/>
  <c r="K642" i="2"/>
  <c r="L642" i="2"/>
  <c r="I643" i="2"/>
  <c r="J643" i="2"/>
  <c r="K643" i="2"/>
  <c r="L643" i="2"/>
  <c r="I644" i="2"/>
  <c r="J644" i="2"/>
  <c r="K644" i="2"/>
  <c r="L644" i="2"/>
  <c r="I645" i="2"/>
  <c r="J645" i="2"/>
  <c r="K645" i="2"/>
  <c r="L645" i="2"/>
  <c r="I646" i="2"/>
  <c r="J646" i="2"/>
  <c r="K646" i="2"/>
  <c r="L646" i="2"/>
  <c r="I647" i="2"/>
  <c r="J647" i="2"/>
  <c r="K647" i="2"/>
  <c r="L647" i="2"/>
  <c r="I648" i="2"/>
  <c r="J648" i="2"/>
  <c r="K648" i="2"/>
  <c r="L648" i="2"/>
  <c r="I649" i="2"/>
  <c r="J649" i="2"/>
  <c r="K649" i="2"/>
  <c r="L649" i="2"/>
  <c r="I650" i="2"/>
  <c r="J650" i="2"/>
  <c r="K650" i="2"/>
  <c r="L650" i="2"/>
  <c r="I651" i="2"/>
  <c r="J651" i="2"/>
  <c r="K651" i="2"/>
  <c r="L651" i="2"/>
  <c r="I652" i="2"/>
  <c r="J652" i="2"/>
  <c r="K652" i="2"/>
  <c r="L652" i="2"/>
  <c r="I653" i="2"/>
  <c r="J653" i="2"/>
  <c r="K653" i="2"/>
  <c r="L653" i="2"/>
  <c r="I654" i="2"/>
  <c r="J654" i="2"/>
  <c r="K654" i="2"/>
  <c r="L654" i="2"/>
  <c r="I655" i="2"/>
  <c r="J655" i="2"/>
  <c r="K655" i="2"/>
  <c r="L655" i="2"/>
  <c r="I656" i="2"/>
  <c r="J656" i="2"/>
  <c r="K656" i="2"/>
  <c r="L656" i="2"/>
  <c r="I657" i="2"/>
  <c r="J657" i="2"/>
  <c r="K657" i="2"/>
  <c r="L657" i="2"/>
  <c r="I658" i="2"/>
  <c r="J658" i="2"/>
  <c r="K658" i="2"/>
  <c r="L658" i="2"/>
  <c r="I659" i="2"/>
  <c r="J659" i="2"/>
  <c r="K659" i="2"/>
  <c r="L659" i="2"/>
  <c r="I660" i="2"/>
  <c r="J660" i="2"/>
  <c r="K660" i="2"/>
  <c r="L660" i="2"/>
  <c r="I661" i="2"/>
  <c r="J661" i="2"/>
  <c r="K661" i="2"/>
  <c r="L661" i="2"/>
  <c r="I662" i="2"/>
  <c r="J662" i="2"/>
  <c r="K662" i="2"/>
  <c r="L662" i="2"/>
  <c r="I663" i="2"/>
  <c r="J663" i="2"/>
  <c r="K663" i="2"/>
  <c r="L663" i="2"/>
  <c r="I664" i="2"/>
  <c r="J664" i="2"/>
  <c r="K664" i="2"/>
  <c r="L664" i="2"/>
  <c r="I665" i="2"/>
  <c r="J665" i="2"/>
  <c r="K665" i="2"/>
  <c r="L665" i="2"/>
  <c r="I666" i="2"/>
  <c r="J666" i="2"/>
  <c r="K666" i="2"/>
  <c r="L666" i="2"/>
  <c r="I667" i="2"/>
  <c r="J667" i="2"/>
  <c r="K667" i="2"/>
  <c r="L667" i="2"/>
  <c r="I668" i="2"/>
  <c r="J668" i="2"/>
  <c r="K668" i="2"/>
  <c r="L668" i="2"/>
  <c r="I669" i="2"/>
  <c r="J669" i="2"/>
  <c r="K669" i="2"/>
  <c r="L669" i="2"/>
  <c r="I670" i="2"/>
  <c r="J670" i="2"/>
  <c r="K670" i="2"/>
  <c r="L670" i="2"/>
  <c r="I671" i="2"/>
  <c r="J671" i="2"/>
  <c r="K671" i="2"/>
  <c r="L671" i="2"/>
  <c r="I672" i="2"/>
  <c r="J672" i="2"/>
  <c r="K672" i="2"/>
  <c r="L672" i="2"/>
  <c r="I673" i="2"/>
  <c r="J673" i="2"/>
  <c r="K673" i="2"/>
  <c r="L673" i="2"/>
  <c r="I674" i="2"/>
  <c r="J674" i="2"/>
  <c r="K674" i="2"/>
  <c r="L674" i="2"/>
  <c r="I675" i="2"/>
  <c r="J675" i="2"/>
  <c r="K675" i="2"/>
  <c r="L675" i="2"/>
  <c r="I676" i="2"/>
  <c r="J676" i="2"/>
  <c r="K676" i="2"/>
  <c r="L676" i="2"/>
  <c r="I677" i="2"/>
  <c r="J677" i="2"/>
  <c r="K677" i="2"/>
  <c r="L677" i="2"/>
  <c r="I678" i="2"/>
  <c r="J678" i="2"/>
  <c r="K678" i="2"/>
  <c r="L678" i="2"/>
  <c r="I679" i="2"/>
  <c r="J679" i="2"/>
  <c r="K679" i="2"/>
  <c r="L679" i="2"/>
  <c r="I680" i="2"/>
  <c r="J680" i="2"/>
  <c r="K680" i="2"/>
  <c r="L680" i="2"/>
  <c r="I681" i="2"/>
  <c r="J681" i="2"/>
  <c r="K681" i="2"/>
  <c r="L681" i="2"/>
  <c r="I682" i="2"/>
  <c r="J682" i="2"/>
  <c r="K682" i="2"/>
  <c r="L682" i="2"/>
  <c r="I683" i="2"/>
  <c r="J683" i="2"/>
  <c r="K683" i="2"/>
  <c r="L683" i="2"/>
  <c r="I684" i="2"/>
  <c r="J684" i="2"/>
  <c r="K684" i="2"/>
  <c r="L684" i="2"/>
  <c r="I685" i="2"/>
  <c r="J685" i="2"/>
  <c r="K685" i="2"/>
  <c r="L685" i="2"/>
  <c r="I686" i="2"/>
  <c r="J686" i="2"/>
  <c r="K686" i="2"/>
  <c r="L686" i="2"/>
  <c r="I687" i="2"/>
  <c r="J687" i="2"/>
  <c r="K687" i="2"/>
  <c r="L687" i="2"/>
  <c r="I688" i="2"/>
  <c r="J688" i="2"/>
  <c r="K688" i="2"/>
  <c r="L688" i="2"/>
  <c r="I689" i="2"/>
  <c r="J689" i="2"/>
  <c r="K689" i="2"/>
  <c r="L689" i="2"/>
  <c r="I690" i="2"/>
  <c r="J690" i="2"/>
  <c r="K690" i="2"/>
  <c r="L690" i="2"/>
  <c r="I691" i="2"/>
  <c r="J691" i="2"/>
  <c r="K691" i="2"/>
  <c r="L691" i="2"/>
  <c r="I692" i="2"/>
  <c r="J692" i="2"/>
  <c r="K692" i="2"/>
  <c r="L692" i="2"/>
  <c r="I693" i="2"/>
  <c r="J693" i="2"/>
  <c r="K693" i="2"/>
  <c r="L693" i="2"/>
  <c r="I694" i="2"/>
  <c r="J694" i="2"/>
  <c r="K694" i="2"/>
  <c r="L694" i="2"/>
  <c r="I695" i="2"/>
  <c r="J695" i="2"/>
  <c r="K695" i="2"/>
  <c r="L695" i="2"/>
  <c r="I696" i="2"/>
  <c r="J696" i="2"/>
  <c r="K696" i="2"/>
  <c r="L696" i="2"/>
  <c r="I697" i="2"/>
  <c r="J697" i="2"/>
  <c r="K697" i="2"/>
  <c r="L697" i="2"/>
  <c r="I698" i="2"/>
  <c r="J698" i="2"/>
  <c r="K698" i="2"/>
  <c r="L698" i="2"/>
  <c r="I699" i="2"/>
  <c r="J699" i="2"/>
  <c r="K699" i="2"/>
  <c r="L699" i="2"/>
  <c r="I700" i="2"/>
  <c r="J700" i="2"/>
  <c r="K700" i="2"/>
  <c r="L700" i="2"/>
  <c r="I701" i="2"/>
  <c r="J701" i="2"/>
  <c r="K701" i="2"/>
  <c r="L701" i="2"/>
  <c r="I702" i="2"/>
  <c r="J702" i="2"/>
  <c r="K702" i="2"/>
  <c r="L702" i="2"/>
  <c r="I703" i="2"/>
  <c r="J703" i="2"/>
  <c r="K703" i="2"/>
  <c r="L703" i="2"/>
  <c r="I704" i="2"/>
  <c r="J704" i="2"/>
  <c r="K704" i="2"/>
  <c r="L704" i="2"/>
  <c r="I705" i="2"/>
  <c r="J705" i="2"/>
  <c r="K705" i="2"/>
  <c r="L705" i="2"/>
  <c r="I706" i="2"/>
  <c r="J706" i="2"/>
  <c r="K706" i="2"/>
  <c r="L706" i="2"/>
  <c r="I707" i="2"/>
  <c r="J707" i="2"/>
  <c r="K707" i="2"/>
  <c r="L707" i="2"/>
  <c r="I708" i="2"/>
  <c r="J708" i="2"/>
  <c r="K708" i="2"/>
  <c r="L708" i="2"/>
  <c r="I709" i="2"/>
  <c r="J709" i="2"/>
  <c r="K709" i="2"/>
  <c r="L709" i="2"/>
  <c r="I710" i="2"/>
  <c r="J710" i="2"/>
  <c r="K710" i="2"/>
  <c r="L710" i="2"/>
  <c r="I711" i="2"/>
  <c r="J711" i="2"/>
  <c r="K711" i="2"/>
  <c r="L711" i="2"/>
  <c r="I712" i="2"/>
  <c r="J712" i="2"/>
  <c r="K712" i="2"/>
  <c r="L712" i="2"/>
  <c r="I713" i="2"/>
  <c r="J713" i="2"/>
  <c r="K713" i="2"/>
  <c r="L713" i="2"/>
  <c r="I714" i="2"/>
  <c r="J714" i="2"/>
  <c r="K714" i="2"/>
  <c r="L714" i="2"/>
  <c r="I715" i="2"/>
  <c r="J715" i="2"/>
  <c r="K715" i="2"/>
  <c r="L715" i="2"/>
  <c r="I716" i="2"/>
  <c r="J716" i="2"/>
  <c r="K716" i="2"/>
  <c r="L716" i="2"/>
  <c r="I717" i="2"/>
  <c r="J717" i="2"/>
  <c r="K717" i="2"/>
  <c r="L717" i="2"/>
  <c r="I718" i="2"/>
  <c r="J718" i="2"/>
  <c r="K718" i="2"/>
  <c r="L718" i="2"/>
  <c r="I719" i="2"/>
  <c r="J719" i="2"/>
  <c r="K719" i="2"/>
  <c r="L719" i="2"/>
  <c r="I720" i="2"/>
  <c r="J720" i="2"/>
  <c r="K720" i="2"/>
  <c r="L720" i="2"/>
  <c r="I721" i="2"/>
  <c r="J721" i="2"/>
  <c r="K721" i="2"/>
  <c r="L721" i="2"/>
  <c r="I722" i="2"/>
  <c r="J722" i="2"/>
  <c r="K722" i="2"/>
  <c r="L722" i="2"/>
  <c r="I723" i="2"/>
  <c r="J723" i="2"/>
  <c r="K723" i="2"/>
  <c r="L723" i="2"/>
  <c r="I724" i="2"/>
  <c r="J724" i="2"/>
  <c r="K724" i="2"/>
  <c r="L724" i="2"/>
  <c r="I725" i="2"/>
  <c r="J725" i="2"/>
  <c r="K725" i="2"/>
  <c r="L725" i="2"/>
  <c r="I726" i="2"/>
  <c r="J726" i="2"/>
  <c r="K726" i="2"/>
  <c r="L726" i="2"/>
  <c r="I727" i="2"/>
  <c r="J727" i="2"/>
  <c r="K727" i="2"/>
  <c r="L727" i="2"/>
  <c r="I728" i="2"/>
  <c r="J728" i="2"/>
  <c r="K728" i="2"/>
  <c r="L728" i="2"/>
  <c r="I729" i="2"/>
  <c r="J729" i="2"/>
  <c r="K729" i="2"/>
  <c r="L729" i="2"/>
  <c r="I730" i="2"/>
  <c r="J730" i="2"/>
  <c r="K730" i="2"/>
  <c r="L730" i="2"/>
  <c r="I731" i="2"/>
  <c r="J731" i="2"/>
  <c r="K731" i="2"/>
  <c r="L731" i="2"/>
  <c r="I732" i="2"/>
  <c r="J732" i="2"/>
  <c r="K732" i="2"/>
  <c r="L732" i="2"/>
  <c r="I733" i="2"/>
  <c r="J733" i="2"/>
  <c r="K733" i="2"/>
  <c r="L733" i="2"/>
  <c r="I734" i="2"/>
  <c r="J734" i="2"/>
  <c r="K734" i="2"/>
  <c r="L734" i="2"/>
  <c r="I735" i="2"/>
  <c r="J735" i="2"/>
  <c r="K735" i="2"/>
  <c r="L735" i="2"/>
  <c r="I736" i="2"/>
  <c r="J736" i="2"/>
  <c r="K736" i="2"/>
  <c r="L736" i="2"/>
  <c r="I737" i="2"/>
  <c r="J737" i="2"/>
  <c r="K737" i="2"/>
  <c r="L737" i="2"/>
  <c r="I738" i="2"/>
  <c r="J738" i="2"/>
  <c r="K738" i="2"/>
  <c r="L738" i="2"/>
  <c r="I739" i="2"/>
  <c r="J739" i="2"/>
  <c r="K739" i="2"/>
  <c r="L739" i="2"/>
  <c r="I740" i="2"/>
  <c r="J740" i="2"/>
  <c r="K740" i="2"/>
  <c r="L740" i="2"/>
  <c r="I741" i="2"/>
  <c r="J741" i="2"/>
  <c r="K741" i="2"/>
  <c r="L741" i="2"/>
  <c r="I742" i="2"/>
  <c r="J742" i="2"/>
  <c r="K742" i="2"/>
  <c r="L742" i="2"/>
  <c r="I743" i="2"/>
  <c r="J743" i="2"/>
  <c r="K743" i="2"/>
  <c r="L743" i="2"/>
  <c r="I744" i="2"/>
  <c r="J744" i="2"/>
  <c r="K744" i="2"/>
  <c r="L744" i="2"/>
  <c r="I745" i="2"/>
  <c r="J745" i="2"/>
  <c r="K745" i="2"/>
  <c r="L745" i="2"/>
  <c r="I746" i="2"/>
  <c r="J746" i="2"/>
  <c r="K746" i="2"/>
  <c r="L746" i="2"/>
  <c r="I747" i="2"/>
  <c r="J747" i="2"/>
  <c r="K747" i="2"/>
  <c r="L747" i="2"/>
  <c r="I748" i="2"/>
  <c r="J748" i="2"/>
  <c r="K748" i="2"/>
  <c r="L748" i="2"/>
  <c r="I749" i="2"/>
  <c r="J749" i="2"/>
  <c r="K749" i="2"/>
  <c r="L749" i="2"/>
  <c r="I750" i="2"/>
  <c r="J750" i="2"/>
  <c r="K750" i="2"/>
  <c r="L750" i="2"/>
  <c r="I751" i="2"/>
  <c r="J751" i="2"/>
  <c r="K751" i="2"/>
  <c r="L751" i="2"/>
  <c r="I752" i="2"/>
  <c r="J752" i="2"/>
  <c r="K752" i="2"/>
  <c r="L752" i="2"/>
  <c r="I753" i="2"/>
  <c r="J753" i="2"/>
  <c r="K753" i="2"/>
  <c r="L753" i="2"/>
  <c r="I754" i="2"/>
  <c r="J754" i="2"/>
  <c r="K754" i="2"/>
  <c r="L754" i="2"/>
  <c r="I755" i="2"/>
  <c r="J755" i="2"/>
  <c r="K755" i="2"/>
  <c r="L755" i="2"/>
  <c r="I756" i="2"/>
  <c r="J756" i="2"/>
  <c r="K756" i="2"/>
  <c r="L756" i="2"/>
  <c r="I757" i="2"/>
  <c r="J757" i="2"/>
  <c r="K757" i="2"/>
  <c r="L757" i="2"/>
  <c r="I758" i="2"/>
  <c r="J758" i="2"/>
  <c r="K758" i="2"/>
  <c r="L758" i="2"/>
  <c r="I759" i="2"/>
  <c r="J759" i="2"/>
  <c r="K759" i="2"/>
  <c r="L759" i="2"/>
  <c r="I760" i="2"/>
  <c r="J760" i="2"/>
  <c r="K760" i="2"/>
  <c r="L760" i="2"/>
  <c r="I761" i="2"/>
  <c r="J761" i="2"/>
  <c r="K761" i="2"/>
  <c r="L761" i="2"/>
  <c r="I762" i="2"/>
  <c r="J762" i="2"/>
  <c r="K762" i="2"/>
  <c r="L762" i="2"/>
  <c r="I763" i="2"/>
  <c r="J763" i="2"/>
  <c r="K763" i="2"/>
  <c r="L763" i="2"/>
  <c r="I764" i="2"/>
  <c r="J764" i="2"/>
  <c r="K764" i="2"/>
  <c r="L764" i="2"/>
  <c r="I765" i="2"/>
  <c r="J765" i="2"/>
  <c r="K765" i="2"/>
  <c r="L765" i="2"/>
  <c r="I766" i="2"/>
  <c r="J766" i="2"/>
  <c r="K766" i="2"/>
  <c r="L766" i="2"/>
  <c r="I767" i="2"/>
  <c r="J767" i="2"/>
  <c r="K767" i="2"/>
  <c r="L767" i="2"/>
  <c r="I768" i="2"/>
  <c r="J768" i="2"/>
  <c r="K768" i="2"/>
  <c r="L768" i="2"/>
  <c r="I769" i="2"/>
  <c r="J769" i="2"/>
  <c r="K769" i="2"/>
  <c r="L769" i="2"/>
  <c r="I770" i="2"/>
  <c r="J770" i="2"/>
  <c r="K770" i="2"/>
  <c r="L770" i="2"/>
  <c r="I771" i="2"/>
  <c r="J771" i="2"/>
  <c r="K771" i="2"/>
  <c r="L771" i="2"/>
  <c r="I772" i="2"/>
  <c r="J772" i="2"/>
  <c r="K772" i="2"/>
  <c r="L772" i="2"/>
  <c r="I773" i="2"/>
  <c r="J773" i="2"/>
  <c r="K773" i="2"/>
  <c r="L773" i="2"/>
  <c r="I774" i="2"/>
  <c r="J774" i="2"/>
  <c r="K774" i="2"/>
  <c r="L774" i="2"/>
  <c r="I775" i="2"/>
  <c r="J775" i="2"/>
  <c r="K775" i="2"/>
  <c r="L775" i="2"/>
  <c r="I776" i="2"/>
  <c r="J776" i="2"/>
  <c r="K776" i="2"/>
  <c r="L776" i="2"/>
  <c r="I777" i="2"/>
  <c r="J777" i="2"/>
  <c r="K777" i="2"/>
  <c r="L777" i="2"/>
  <c r="I778" i="2"/>
  <c r="J778" i="2"/>
  <c r="K778" i="2"/>
  <c r="L778" i="2"/>
  <c r="I779" i="2"/>
  <c r="J779" i="2"/>
  <c r="K779" i="2"/>
  <c r="L779" i="2"/>
  <c r="I780" i="2"/>
  <c r="J780" i="2"/>
  <c r="K780" i="2"/>
  <c r="L780" i="2"/>
  <c r="I781" i="2"/>
  <c r="J781" i="2"/>
  <c r="K781" i="2"/>
  <c r="L781" i="2"/>
  <c r="I782" i="2"/>
  <c r="J782" i="2"/>
  <c r="K782" i="2"/>
  <c r="L782" i="2"/>
  <c r="I783" i="2"/>
  <c r="J783" i="2"/>
  <c r="K783" i="2"/>
  <c r="L783" i="2"/>
  <c r="I784" i="2"/>
  <c r="J784" i="2"/>
  <c r="K784" i="2"/>
  <c r="L784" i="2"/>
  <c r="I785" i="2"/>
  <c r="J785" i="2"/>
  <c r="K785" i="2"/>
  <c r="L785" i="2"/>
  <c r="I786" i="2"/>
  <c r="J786" i="2"/>
  <c r="K786" i="2"/>
  <c r="L786" i="2"/>
  <c r="I787" i="2"/>
  <c r="J787" i="2"/>
  <c r="K787" i="2"/>
  <c r="L787" i="2"/>
  <c r="I788" i="2"/>
  <c r="J788" i="2"/>
  <c r="K788" i="2"/>
  <c r="L788" i="2"/>
  <c r="I789" i="2"/>
  <c r="J789" i="2"/>
  <c r="K789" i="2"/>
  <c r="L789" i="2"/>
  <c r="I790" i="2"/>
  <c r="J790" i="2"/>
  <c r="K790" i="2"/>
  <c r="L790" i="2"/>
  <c r="I791" i="2"/>
  <c r="J791" i="2"/>
  <c r="K791" i="2"/>
  <c r="L791" i="2"/>
  <c r="I792" i="2"/>
  <c r="J792" i="2"/>
  <c r="K792" i="2"/>
  <c r="L792" i="2"/>
  <c r="I793" i="2"/>
  <c r="J793" i="2"/>
  <c r="K793" i="2"/>
  <c r="L793" i="2"/>
  <c r="I794" i="2"/>
  <c r="J794" i="2"/>
  <c r="K794" i="2"/>
  <c r="L794" i="2"/>
  <c r="I795" i="2"/>
  <c r="J795" i="2"/>
  <c r="K795" i="2"/>
  <c r="L795" i="2"/>
  <c r="I796" i="2"/>
  <c r="J796" i="2"/>
  <c r="K796" i="2"/>
  <c r="L796" i="2"/>
  <c r="I797" i="2"/>
  <c r="J797" i="2"/>
  <c r="K797" i="2"/>
  <c r="L797" i="2"/>
  <c r="I798" i="2"/>
  <c r="J798" i="2"/>
  <c r="K798" i="2"/>
  <c r="L798" i="2"/>
  <c r="I799" i="2"/>
  <c r="J799" i="2"/>
  <c r="K799" i="2"/>
  <c r="L799" i="2"/>
  <c r="I800" i="2"/>
  <c r="J800" i="2"/>
  <c r="K800" i="2"/>
  <c r="L800" i="2"/>
  <c r="I801" i="2"/>
  <c r="J801" i="2"/>
  <c r="K801" i="2"/>
  <c r="L801" i="2"/>
  <c r="I802" i="2"/>
  <c r="J802" i="2"/>
  <c r="K802" i="2"/>
  <c r="L802" i="2"/>
  <c r="I803" i="2"/>
  <c r="J803" i="2"/>
  <c r="K803" i="2"/>
  <c r="L803" i="2"/>
  <c r="I804" i="2"/>
  <c r="J804" i="2"/>
  <c r="K804" i="2"/>
  <c r="L804" i="2"/>
  <c r="I805" i="2"/>
  <c r="J805" i="2"/>
  <c r="K805" i="2"/>
  <c r="L805" i="2"/>
  <c r="I806" i="2"/>
  <c r="J806" i="2"/>
  <c r="K806" i="2"/>
  <c r="L806" i="2"/>
  <c r="I807" i="2"/>
  <c r="J807" i="2"/>
  <c r="K807" i="2"/>
  <c r="L807" i="2"/>
  <c r="I808" i="2"/>
  <c r="J808" i="2"/>
  <c r="K808" i="2"/>
  <c r="L808" i="2"/>
  <c r="I809" i="2"/>
  <c r="J809" i="2"/>
  <c r="K809" i="2"/>
  <c r="L809" i="2"/>
  <c r="I810" i="2"/>
  <c r="J810" i="2"/>
  <c r="K810" i="2"/>
  <c r="L810" i="2"/>
  <c r="I811" i="2"/>
  <c r="J811" i="2"/>
  <c r="K811" i="2"/>
  <c r="L811" i="2"/>
  <c r="I812" i="2"/>
  <c r="J812" i="2"/>
  <c r="K812" i="2"/>
  <c r="L812" i="2"/>
  <c r="I813" i="2"/>
  <c r="J813" i="2"/>
  <c r="K813" i="2"/>
  <c r="L813" i="2"/>
  <c r="I814" i="2"/>
  <c r="J814" i="2"/>
  <c r="K814" i="2"/>
  <c r="L814" i="2"/>
  <c r="I815" i="2"/>
  <c r="J815" i="2"/>
  <c r="K815" i="2"/>
  <c r="L815" i="2"/>
  <c r="I816" i="2"/>
  <c r="J816" i="2"/>
  <c r="K816" i="2"/>
  <c r="L816" i="2"/>
  <c r="I817" i="2"/>
  <c r="J817" i="2"/>
  <c r="K817" i="2"/>
  <c r="L817" i="2"/>
  <c r="I818" i="2"/>
  <c r="J818" i="2"/>
  <c r="K818" i="2"/>
  <c r="L818" i="2"/>
  <c r="I819" i="2"/>
  <c r="J819" i="2"/>
  <c r="K819" i="2"/>
  <c r="L819" i="2"/>
  <c r="I820" i="2"/>
  <c r="J820" i="2"/>
  <c r="K820" i="2"/>
  <c r="L820" i="2"/>
  <c r="I821" i="2"/>
  <c r="J821" i="2"/>
  <c r="K821" i="2"/>
  <c r="L821" i="2"/>
  <c r="I822" i="2"/>
  <c r="J822" i="2"/>
  <c r="K822" i="2"/>
  <c r="L822" i="2"/>
  <c r="I823" i="2"/>
  <c r="J823" i="2"/>
  <c r="K823" i="2"/>
  <c r="L823" i="2"/>
  <c r="I824" i="2"/>
  <c r="J824" i="2"/>
  <c r="K824" i="2"/>
  <c r="L824" i="2"/>
  <c r="I825" i="2"/>
  <c r="J825" i="2"/>
  <c r="K825" i="2"/>
  <c r="L825" i="2"/>
  <c r="I826" i="2"/>
  <c r="J826" i="2"/>
  <c r="K826" i="2"/>
  <c r="L826" i="2"/>
  <c r="I827" i="2"/>
  <c r="J827" i="2"/>
  <c r="K827" i="2"/>
  <c r="L827" i="2"/>
  <c r="I828" i="2"/>
  <c r="J828" i="2"/>
  <c r="K828" i="2"/>
  <c r="L828" i="2"/>
  <c r="I829" i="2"/>
  <c r="J829" i="2"/>
  <c r="K829" i="2"/>
  <c r="L829" i="2"/>
  <c r="I830" i="2"/>
  <c r="J830" i="2"/>
  <c r="K830" i="2"/>
  <c r="L830" i="2"/>
  <c r="I831" i="2"/>
  <c r="J831" i="2"/>
  <c r="K831" i="2"/>
  <c r="L831" i="2"/>
  <c r="I832" i="2"/>
  <c r="J832" i="2"/>
  <c r="K832" i="2"/>
  <c r="L832" i="2"/>
  <c r="I833" i="2"/>
  <c r="J833" i="2"/>
  <c r="K833" i="2"/>
  <c r="L833" i="2"/>
  <c r="I834" i="2"/>
  <c r="J834" i="2"/>
  <c r="K834" i="2"/>
  <c r="L834" i="2"/>
  <c r="I835" i="2"/>
  <c r="J835" i="2"/>
  <c r="K835" i="2"/>
  <c r="L835" i="2"/>
  <c r="I836" i="2"/>
  <c r="J836" i="2"/>
  <c r="K836" i="2"/>
  <c r="L836" i="2"/>
  <c r="I837" i="2"/>
  <c r="J837" i="2"/>
  <c r="K837" i="2"/>
  <c r="L837" i="2"/>
  <c r="I838" i="2"/>
  <c r="J838" i="2"/>
  <c r="K838" i="2"/>
  <c r="L838" i="2"/>
  <c r="I839" i="2"/>
  <c r="J839" i="2"/>
  <c r="K839" i="2"/>
  <c r="L839" i="2"/>
  <c r="I840" i="2"/>
  <c r="J840" i="2"/>
  <c r="K840" i="2"/>
  <c r="L840" i="2"/>
  <c r="I841" i="2"/>
  <c r="J841" i="2"/>
  <c r="K841" i="2"/>
  <c r="L841" i="2"/>
  <c r="I842" i="2"/>
  <c r="J842" i="2"/>
  <c r="K842" i="2"/>
  <c r="L842" i="2"/>
  <c r="I843" i="2"/>
  <c r="J843" i="2"/>
  <c r="K843" i="2"/>
  <c r="L843" i="2"/>
  <c r="I844" i="2"/>
  <c r="J844" i="2"/>
  <c r="K844" i="2"/>
  <c r="L844" i="2"/>
  <c r="I845" i="2"/>
  <c r="J845" i="2"/>
  <c r="K845" i="2"/>
  <c r="L845" i="2"/>
  <c r="I846" i="2"/>
  <c r="J846" i="2"/>
  <c r="K846" i="2"/>
  <c r="L846" i="2"/>
  <c r="I847" i="2"/>
  <c r="J847" i="2"/>
  <c r="K847" i="2"/>
  <c r="L847" i="2"/>
  <c r="I848" i="2"/>
  <c r="J848" i="2"/>
  <c r="K848" i="2"/>
  <c r="L848" i="2"/>
  <c r="I849" i="2"/>
  <c r="J849" i="2"/>
  <c r="K849" i="2"/>
  <c r="L849" i="2"/>
  <c r="I850" i="2"/>
  <c r="J850" i="2"/>
  <c r="K850" i="2"/>
  <c r="L850" i="2"/>
  <c r="I851" i="2"/>
  <c r="J851" i="2"/>
  <c r="K851" i="2"/>
  <c r="L851" i="2"/>
  <c r="I852" i="2"/>
  <c r="J852" i="2"/>
  <c r="K852" i="2"/>
  <c r="L852" i="2"/>
  <c r="I853" i="2"/>
  <c r="J853" i="2"/>
  <c r="K853" i="2"/>
  <c r="L853" i="2"/>
  <c r="I854" i="2"/>
  <c r="J854" i="2"/>
  <c r="K854" i="2"/>
  <c r="L854" i="2"/>
  <c r="I855" i="2"/>
  <c r="J855" i="2"/>
  <c r="K855" i="2"/>
  <c r="L855" i="2"/>
  <c r="I856" i="2"/>
  <c r="J856" i="2"/>
  <c r="K856" i="2"/>
  <c r="L856" i="2"/>
  <c r="I857" i="2"/>
  <c r="J857" i="2"/>
  <c r="K857" i="2"/>
  <c r="L857" i="2"/>
  <c r="I858" i="2"/>
  <c r="J858" i="2"/>
  <c r="K858" i="2"/>
  <c r="L858" i="2"/>
  <c r="I859" i="2"/>
  <c r="J859" i="2"/>
  <c r="K859" i="2"/>
  <c r="L859" i="2"/>
  <c r="I860" i="2"/>
  <c r="J860" i="2"/>
  <c r="K860" i="2"/>
  <c r="L860" i="2"/>
  <c r="I861" i="2"/>
  <c r="J861" i="2"/>
  <c r="K861" i="2"/>
  <c r="L861" i="2"/>
  <c r="I862" i="2"/>
  <c r="J862" i="2"/>
  <c r="K862" i="2"/>
  <c r="L862" i="2"/>
  <c r="I863" i="2"/>
  <c r="J863" i="2"/>
  <c r="K863" i="2"/>
  <c r="L863" i="2"/>
  <c r="I864" i="2"/>
  <c r="J864" i="2"/>
  <c r="K864" i="2"/>
  <c r="L864" i="2"/>
  <c r="I865" i="2"/>
  <c r="J865" i="2"/>
  <c r="K865" i="2"/>
  <c r="L865" i="2"/>
  <c r="I866" i="2"/>
  <c r="J866" i="2"/>
  <c r="K866" i="2"/>
  <c r="L866" i="2"/>
  <c r="I867" i="2"/>
  <c r="J867" i="2"/>
  <c r="K867" i="2"/>
  <c r="L867" i="2"/>
  <c r="I868" i="2"/>
  <c r="J868" i="2"/>
  <c r="K868" i="2"/>
  <c r="L868" i="2"/>
  <c r="I869" i="2"/>
  <c r="J869" i="2"/>
  <c r="K869" i="2"/>
  <c r="L869" i="2"/>
  <c r="I870" i="2"/>
  <c r="J870" i="2"/>
  <c r="K870" i="2"/>
  <c r="L870" i="2"/>
  <c r="I871" i="2"/>
  <c r="J871" i="2"/>
  <c r="K871" i="2"/>
  <c r="L871" i="2"/>
  <c r="I872" i="2"/>
  <c r="J872" i="2"/>
  <c r="K872" i="2"/>
  <c r="L872" i="2"/>
  <c r="I873" i="2"/>
  <c r="J873" i="2"/>
  <c r="K873" i="2"/>
  <c r="L873" i="2"/>
  <c r="I874" i="2"/>
  <c r="J874" i="2"/>
  <c r="K874" i="2"/>
  <c r="L874" i="2"/>
  <c r="I875" i="2"/>
  <c r="J875" i="2"/>
  <c r="K875" i="2"/>
  <c r="L875" i="2"/>
  <c r="I876" i="2"/>
  <c r="J876" i="2"/>
  <c r="K876" i="2"/>
  <c r="L876" i="2"/>
  <c r="I877" i="2"/>
  <c r="J877" i="2"/>
  <c r="K877" i="2"/>
  <c r="L877" i="2"/>
  <c r="I878" i="2"/>
  <c r="J878" i="2"/>
  <c r="K878" i="2"/>
  <c r="L878" i="2"/>
  <c r="I879" i="2"/>
  <c r="J879" i="2"/>
  <c r="K879" i="2"/>
  <c r="L879" i="2"/>
  <c r="I880" i="2"/>
  <c r="J880" i="2"/>
  <c r="K880" i="2"/>
  <c r="L880" i="2"/>
  <c r="I881" i="2"/>
  <c r="J881" i="2"/>
  <c r="K881" i="2"/>
  <c r="L881" i="2"/>
  <c r="I882" i="2"/>
  <c r="J882" i="2"/>
  <c r="K882" i="2"/>
  <c r="L882" i="2"/>
  <c r="I883" i="2"/>
  <c r="J883" i="2"/>
  <c r="K883" i="2"/>
  <c r="L883" i="2"/>
  <c r="I884" i="2"/>
  <c r="J884" i="2"/>
  <c r="K884" i="2"/>
  <c r="L884" i="2"/>
  <c r="I885" i="2"/>
  <c r="J885" i="2"/>
  <c r="K885" i="2"/>
  <c r="L885" i="2"/>
  <c r="I886" i="2"/>
  <c r="J886" i="2"/>
  <c r="K886" i="2"/>
  <c r="L886" i="2"/>
  <c r="I887" i="2"/>
  <c r="J887" i="2"/>
  <c r="K887" i="2"/>
  <c r="L887" i="2"/>
  <c r="I888" i="2"/>
  <c r="J888" i="2"/>
  <c r="K888" i="2"/>
  <c r="L888" i="2"/>
  <c r="I889" i="2"/>
  <c r="J889" i="2"/>
  <c r="K889" i="2"/>
  <c r="L889" i="2"/>
  <c r="I890" i="2"/>
  <c r="J890" i="2"/>
  <c r="K890" i="2"/>
  <c r="L890" i="2"/>
  <c r="I891" i="2"/>
  <c r="J891" i="2"/>
  <c r="K891" i="2"/>
  <c r="L891" i="2"/>
  <c r="I892" i="2"/>
  <c r="J892" i="2"/>
  <c r="K892" i="2"/>
  <c r="L892" i="2"/>
  <c r="I893" i="2"/>
  <c r="J893" i="2"/>
  <c r="K893" i="2"/>
  <c r="L893" i="2"/>
  <c r="I894" i="2"/>
  <c r="J894" i="2"/>
  <c r="K894" i="2"/>
  <c r="L894" i="2"/>
  <c r="I895" i="2"/>
  <c r="J895" i="2"/>
  <c r="K895" i="2"/>
  <c r="L895" i="2"/>
  <c r="I896" i="2"/>
  <c r="J896" i="2"/>
  <c r="K896" i="2"/>
  <c r="L896" i="2"/>
  <c r="I897" i="2"/>
  <c r="J897" i="2"/>
  <c r="K897" i="2"/>
  <c r="L897" i="2"/>
  <c r="I898" i="2"/>
  <c r="J898" i="2"/>
  <c r="K898" i="2"/>
  <c r="L898" i="2"/>
  <c r="I899" i="2"/>
  <c r="J899" i="2"/>
  <c r="K899" i="2"/>
  <c r="L899" i="2"/>
  <c r="I900" i="2"/>
  <c r="J900" i="2"/>
  <c r="K900" i="2"/>
  <c r="L900" i="2"/>
  <c r="I901" i="2"/>
  <c r="J901" i="2"/>
  <c r="K901" i="2"/>
  <c r="L901" i="2"/>
  <c r="I902" i="2"/>
  <c r="J902" i="2"/>
  <c r="K902" i="2"/>
  <c r="L902" i="2"/>
  <c r="I903" i="2"/>
  <c r="J903" i="2"/>
  <c r="K903" i="2"/>
  <c r="L903" i="2"/>
  <c r="I904" i="2"/>
  <c r="J904" i="2"/>
  <c r="K904" i="2"/>
  <c r="L904" i="2"/>
  <c r="I905" i="2"/>
  <c r="J905" i="2"/>
  <c r="K905" i="2"/>
  <c r="L905" i="2"/>
  <c r="I906" i="2"/>
  <c r="J906" i="2"/>
  <c r="K906" i="2"/>
  <c r="L906" i="2"/>
  <c r="I907" i="2"/>
  <c r="J907" i="2"/>
  <c r="K907" i="2"/>
  <c r="L907" i="2"/>
  <c r="I908" i="2"/>
  <c r="J908" i="2"/>
  <c r="K908" i="2"/>
  <c r="L908" i="2"/>
  <c r="I909" i="2"/>
  <c r="J909" i="2"/>
  <c r="K909" i="2"/>
  <c r="L909" i="2"/>
  <c r="I910" i="2"/>
  <c r="J910" i="2"/>
  <c r="K910" i="2"/>
  <c r="L910" i="2"/>
  <c r="I911" i="2"/>
  <c r="J911" i="2"/>
  <c r="K911" i="2"/>
  <c r="L911" i="2"/>
  <c r="I912" i="2"/>
  <c r="J912" i="2"/>
  <c r="K912" i="2"/>
  <c r="L912" i="2"/>
  <c r="I913" i="2"/>
  <c r="J913" i="2"/>
  <c r="K913" i="2"/>
  <c r="L913" i="2"/>
  <c r="I914" i="2"/>
  <c r="J914" i="2"/>
  <c r="K914" i="2"/>
  <c r="L914" i="2"/>
  <c r="I915" i="2"/>
  <c r="J915" i="2"/>
  <c r="K915" i="2"/>
  <c r="L915" i="2"/>
  <c r="I916" i="2"/>
  <c r="J916" i="2"/>
  <c r="K916" i="2"/>
  <c r="L916" i="2"/>
  <c r="I917" i="2"/>
  <c r="J917" i="2"/>
  <c r="K917" i="2"/>
  <c r="L917" i="2"/>
  <c r="I918" i="2"/>
  <c r="J918" i="2"/>
  <c r="K918" i="2"/>
  <c r="L918" i="2"/>
  <c r="I919" i="2"/>
  <c r="J919" i="2"/>
  <c r="K919" i="2"/>
  <c r="L919" i="2"/>
  <c r="I920" i="2"/>
  <c r="J920" i="2"/>
  <c r="K920" i="2"/>
  <c r="L920" i="2"/>
  <c r="I921" i="2"/>
  <c r="J921" i="2"/>
  <c r="K921" i="2"/>
  <c r="L921" i="2"/>
  <c r="I922" i="2"/>
  <c r="J922" i="2"/>
  <c r="K922" i="2"/>
  <c r="L922" i="2"/>
  <c r="I923" i="2"/>
  <c r="J923" i="2"/>
  <c r="K923" i="2"/>
  <c r="L923" i="2"/>
  <c r="I924" i="2"/>
  <c r="J924" i="2"/>
  <c r="K924" i="2"/>
  <c r="L924" i="2"/>
  <c r="I925" i="2"/>
  <c r="J925" i="2"/>
  <c r="K925" i="2"/>
  <c r="L925" i="2"/>
  <c r="I926" i="2"/>
  <c r="J926" i="2"/>
  <c r="K926" i="2"/>
  <c r="L926" i="2"/>
  <c r="I927" i="2"/>
  <c r="J927" i="2"/>
  <c r="K927" i="2"/>
  <c r="L927" i="2"/>
  <c r="I928" i="2"/>
  <c r="J928" i="2"/>
  <c r="K928" i="2"/>
  <c r="L928" i="2"/>
  <c r="I929" i="2"/>
  <c r="J929" i="2"/>
  <c r="K929" i="2"/>
  <c r="L929" i="2"/>
  <c r="I930" i="2"/>
  <c r="J930" i="2"/>
  <c r="K930" i="2"/>
  <c r="L930" i="2"/>
  <c r="I931" i="2"/>
  <c r="J931" i="2"/>
  <c r="K931" i="2"/>
  <c r="L931" i="2"/>
  <c r="I932" i="2"/>
  <c r="J932" i="2"/>
  <c r="K932" i="2"/>
  <c r="L932" i="2"/>
  <c r="I933" i="2"/>
  <c r="J933" i="2"/>
  <c r="K933" i="2"/>
  <c r="L933" i="2"/>
  <c r="I934" i="2"/>
  <c r="J934" i="2"/>
  <c r="K934" i="2"/>
  <c r="L934" i="2"/>
  <c r="I935" i="2"/>
  <c r="J935" i="2"/>
  <c r="K935" i="2"/>
  <c r="L935" i="2"/>
  <c r="I936" i="2"/>
  <c r="J936" i="2"/>
  <c r="K936" i="2"/>
  <c r="L936" i="2"/>
  <c r="I937" i="2"/>
  <c r="J937" i="2"/>
  <c r="K937" i="2"/>
  <c r="L937" i="2"/>
  <c r="I938" i="2"/>
  <c r="J938" i="2"/>
  <c r="K938" i="2"/>
  <c r="L938" i="2"/>
  <c r="I939" i="2"/>
  <c r="J939" i="2"/>
  <c r="K939" i="2"/>
  <c r="L939" i="2"/>
  <c r="I940" i="2"/>
  <c r="J940" i="2"/>
  <c r="K940" i="2"/>
  <c r="L940" i="2"/>
  <c r="I941" i="2"/>
  <c r="J941" i="2"/>
  <c r="K941" i="2"/>
  <c r="L941" i="2"/>
  <c r="I942" i="2"/>
  <c r="J942" i="2"/>
  <c r="K942" i="2"/>
  <c r="L942" i="2"/>
  <c r="I943" i="2"/>
  <c r="J943" i="2"/>
  <c r="K943" i="2"/>
  <c r="L943" i="2"/>
  <c r="I944" i="2"/>
  <c r="J944" i="2"/>
  <c r="K944" i="2"/>
  <c r="L944" i="2"/>
  <c r="I945" i="2"/>
  <c r="J945" i="2"/>
  <c r="K945" i="2"/>
  <c r="L945" i="2"/>
  <c r="I946" i="2"/>
  <c r="J946" i="2"/>
  <c r="K946" i="2"/>
  <c r="L946" i="2"/>
  <c r="I947" i="2"/>
  <c r="J947" i="2"/>
  <c r="K947" i="2"/>
  <c r="L947" i="2"/>
  <c r="I948" i="2"/>
  <c r="J948" i="2"/>
  <c r="K948" i="2"/>
  <c r="L948" i="2"/>
  <c r="I949" i="2"/>
  <c r="J949" i="2"/>
  <c r="K949" i="2"/>
  <c r="L949" i="2"/>
  <c r="I950" i="2"/>
  <c r="J950" i="2"/>
  <c r="K950" i="2"/>
  <c r="L950" i="2"/>
  <c r="I951" i="2"/>
  <c r="J951" i="2"/>
  <c r="K951" i="2"/>
  <c r="L951" i="2"/>
  <c r="I952" i="2"/>
  <c r="J952" i="2"/>
  <c r="K952" i="2"/>
  <c r="L952" i="2"/>
  <c r="I953" i="2"/>
  <c r="J953" i="2"/>
  <c r="K953" i="2"/>
  <c r="L953" i="2"/>
  <c r="I954" i="2"/>
  <c r="J954" i="2"/>
  <c r="K954" i="2"/>
  <c r="L954" i="2"/>
  <c r="I955" i="2"/>
  <c r="J955" i="2"/>
  <c r="K955" i="2"/>
  <c r="L955" i="2"/>
  <c r="I956" i="2"/>
  <c r="J956" i="2"/>
  <c r="K956" i="2"/>
  <c r="L956" i="2"/>
  <c r="I957" i="2"/>
  <c r="J957" i="2"/>
  <c r="K957" i="2"/>
  <c r="L957" i="2"/>
  <c r="I958" i="2"/>
  <c r="J958" i="2"/>
  <c r="K958" i="2"/>
  <c r="L958" i="2"/>
  <c r="I959" i="2"/>
  <c r="J959" i="2"/>
  <c r="K959" i="2"/>
  <c r="L959" i="2"/>
  <c r="I960" i="2"/>
  <c r="J960" i="2"/>
  <c r="K960" i="2"/>
  <c r="L960" i="2"/>
  <c r="I961" i="2"/>
  <c r="J961" i="2"/>
  <c r="K961" i="2"/>
  <c r="L961" i="2"/>
  <c r="I962" i="2"/>
  <c r="J962" i="2"/>
  <c r="K962" i="2"/>
  <c r="L962" i="2"/>
  <c r="I963" i="2"/>
  <c r="J963" i="2"/>
  <c r="K963" i="2"/>
  <c r="L963" i="2"/>
  <c r="I964" i="2"/>
  <c r="J964" i="2"/>
  <c r="K964" i="2"/>
  <c r="L964" i="2"/>
  <c r="I965" i="2"/>
  <c r="J965" i="2"/>
  <c r="K965" i="2"/>
  <c r="L965" i="2"/>
  <c r="I966" i="2"/>
  <c r="J966" i="2"/>
  <c r="K966" i="2"/>
  <c r="L966" i="2"/>
  <c r="I967" i="2"/>
  <c r="J967" i="2"/>
  <c r="K967" i="2"/>
  <c r="L967" i="2"/>
  <c r="I968" i="2"/>
  <c r="J968" i="2"/>
  <c r="K968" i="2"/>
  <c r="L968" i="2"/>
  <c r="I969" i="2"/>
  <c r="J969" i="2"/>
  <c r="K969" i="2"/>
  <c r="L969" i="2"/>
  <c r="I970" i="2"/>
  <c r="J970" i="2"/>
  <c r="K970" i="2"/>
  <c r="L970" i="2"/>
  <c r="I971" i="2"/>
  <c r="J971" i="2"/>
  <c r="K971" i="2"/>
  <c r="L971" i="2"/>
  <c r="I972" i="2"/>
  <c r="J972" i="2"/>
  <c r="K972" i="2"/>
  <c r="L972" i="2"/>
  <c r="I973" i="2"/>
  <c r="J973" i="2"/>
  <c r="K973" i="2"/>
  <c r="L973" i="2"/>
  <c r="I974" i="2"/>
  <c r="J974" i="2"/>
  <c r="K974" i="2"/>
  <c r="L974" i="2"/>
  <c r="I975" i="2"/>
  <c r="J975" i="2"/>
  <c r="K975" i="2"/>
  <c r="L975" i="2"/>
  <c r="I976" i="2"/>
  <c r="J976" i="2"/>
  <c r="K976" i="2"/>
  <c r="L976" i="2"/>
  <c r="I977" i="2"/>
  <c r="J977" i="2"/>
  <c r="K977" i="2"/>
  <c r="L977" i="2"/>
  <c r="I978" i="2"/>
  <c r="J978" i="2"/>
  <c r="K978" i="2"/>
  <c r="L978" i="2"/>
  <c r="I979" i="2"/>
  <c r="J979" i="2"/>
  <c r="K979" i="2"/>
  <c r="L979" i="2"/>
  <c r="I980" i="2"/>
  <c r="J980" i="2"/>
  <c r="K980" i="2"/>
  <c r="L980" i="2"/>
  <c r="I981" i="2"/>
  <c r="J981" i="2"/>
  <c r="K981" i="2"/>
  <c r="L981" i="2"/>
  <c r="I982" i="2"/>
  <c r="J982" i="2"/>
  <c r="K982" i="2"/>
  <c r="L982" i="2"/>
  <c r="I983" i="2"/>
  <c r="J983" i="2"/>
  <c r="K983" i="2"/>
  <c r="L983" i="2"/>
  <c r="I984" i="2"/>
  <c r="J984" i="2"/>
  <c r="K984" i="2"/>
  <c r="L984" i="2"/>
  <c r="I985" i="2"/>
  <c r="J985" i="2"/>
  <c r="K985" i="2"/>
  <c r="L985" i="2"/>
  <c r="I986" i="2"/>
  <c r="J986" i="2"/>
  <c r="K986" i="2"/>
  <c r="L986" i="2"/>
  <c r="I987" i="2"/>
  <c r="J987" i="2"/>
  <c r="K987" i="2"/>
  <c r="L987" i="2"/>
  <c r="I988" i="2"/>
  <c r="J988" i="2"/>
  <c r="K988" i="2"/>
  <c r="L988" i="2"/>
  <c r="I989" i="2"/>
  <c r="J989" i="2"/>
  <c r="K989" i="2"/>
  <c r="L989" i="2"/>
  <c r="I990" i="2"/>
  <c r="J990" i="2"/>
  <c r="K990" i="2"/>
  <c r="L990" i="2"/>
  <c r="I991" i="2"/>
  <c r="J991" i="2"/>
  <c r="K991" i="2"/>
  <c r="L991" i="2"/>
  <c r="I992" i="2"/>
  <c r="J992" i="2"/>
  <c r="K992" i="2"/>
  <c r="L992" i="2"/>
  <c r="I993" i="2"/>
  <c r="J993" i="2"/>
  <c r="K993" i="2"/>
  <c r="L993" i="2"/>
  <c r="I994" i="2"/>
  <c r="J994" i="2"/>
  <c r="K994" i="2"/>
  <c r="L994" i="2"/>
  <c r="I995" i="2"/>
  <c r="J995" i="2"/>
  <c r="K995" i="2"/>
  <c r="L995" i="2"/>
  <c r="I996" i="2"/>
  <c r="J996" i="2"/>
  <c r="K996" i="2"/>
  <c r="L996" i="2"/>
  <c r="I997" i="2"/>
  <c r="J997" i="2"/>
  <c r="K997" i="2"/>
  <c r="L997" i="2"/>
  <c r="I998" i="2"/>
  <c r="J998" i="2"/>
  <c r="K998" i="2"/>
  <c r="L998" i="2"/>
  <c r="I999" i="2"/>
  <c r="J999" i="2"/>
  <c r="K999" i="2"/>
  <c r="L999" i="2"/>
  <c r="I1000" i="2"/>
  <c r="J1000" i="2"/>
  <c r="K1000" i="2"/>
  <c r="L1000" i="2"/>
  <c r="I1001" i="2"/>
  <c r="J1001" i="2"/>
  <c r="K1001" i="2"/>
  <c r="L1001" i="2"/>
  <c r="I1002" i="2"/>
  <c r="J1002" i="2"/>
  <c r="K1002" i="2"/>
  <c r="L1002" i="2"/>
  <c r="I1003" i="2"/>
  <c r="J1003" i="2"/>
  <c r="K1003" i="2"/>
  <c r="L1003" i="2"/>
  <c r="I1004" i="2"/>
  <c r="J1004" i="2"/>
  <c r="K1004" i="2"/>
  <c r="L1004" i="2"/>
  <c r="I1005" i="2"/>
  <c r="J1005" i="2"/>
  <c r="K1005" i="2"/>
  <c r="L1005" i="2"/>
  <c r="I1006" i="2"/>
  <c r="J1006" i="2"/>
  <c r="K1006" i="2"/>
  <c r="L1006" i="2"/>
  <c r="I1007" i="2"/>
  <c r="J1007" i="2"/>
  <c r="K1007" i="2"/>
  <c r="L1007" i="2"/>
  <c r="I1008" i="2"/>
  <c r="J1008" i="2"/>
  <c r="K1008" i="2"/>
  <c r="L1008" i="2"/>
  <c r="I1009" i="2"/>
  <c r="J1009" i="2"/>
  <c r="K1009" i="2"/>
  <c r="L1009" i="2"/>
  <c r="I1010" i="2"/>
  <c r="J1010" i="2"/>
  <c r="K1010" i="2"/>
  <c r="L1010" i="2"/>
  <c r="I1011" i="2"/>
  <c r="J1011" i="2"/>
  <c r="K1011" i="2"/>
  <c r="L1011" i="2"/>
  <c r="I1012" i="2"/>
  <c r="J1012" i="2"/>
  <c r="K1012" i="2"/>
  <c r="L1012" i="2"/>
  <c r="I1013" i="2"/>
  <c r="J1013" i="2"/>
  <c r="K1013" i="2"/>
  <c r="L1013" i="2"/>
  <c r="I1014" i="2"/>
  <c r="J1014" i="2"/>
  <c r="K1014" i="2"/>
  <c r="L1014" i="2"/>
  <c r="I1015" i="2"/>
  <c r="J1015" i="2"/>
  <c r="K1015" i="2"/>
  <c r="L1015" i="2"/>
  <c r="I1016" i="2"/>
  <c r="J1016" i="2"/>
  <c r="K1016" i="2"/>
  <c r="L1016" i="2"/>
  <c r="I1017" i="2"/>
  <c r="J1017" i="2"/>
  <c r="K1017" i="2"/>
  <c r="L1017" i="2"/>
  <c r="I1018" i="2"/>
  <c r="J1018" i="2"/>
  <c r="K1018" i="2"/>
  <c r="L1018" i="2"/>
  <c r="I1019" i="2"/>
  <c r="J1019" i="2"/>
  <c r="K1019" i="2"/>
  <c r="L1019" i="2"/>
  <c r="I1020" i="2"/>
  <c r="J1020" i="2"/>
  <c r="K1020" i="2"/>
  <c r="L1020" i="2"/>
  <c r="I1021" i="2"/>
  <c r="J1021" i="2"/>
  <c r="K1021" i="2"/>
  <c r="L1021" i="2"/>
  <c r="I1022" i="2"/>
  <c r="J1022" i="2"/>
  <c r="K1022" i="2"/>
  <c r="L1022" i="2"/>
  <c r="I1023" i="2"/>
  <c r="J1023" i="2"/>
  <c r="K1023" i="2"/>
  <c r="L1023" i="2"/>
  <c r="I1024" i="2"/>
  <c r="J1024" i="2"/>
  <c r="K1024" i="2"/>
  <c r="L1024" i="2"/>
  <c r="I1025" i="2"/>
  <c r="J1025" i="2"/>
  <c r="K1025" i="2"/>
  <c r="L1025" i="2"/>
  <c r="I1026" i="2"/>
  <c r="J1026" i="2"/>
  <c r="K1026" i="2"/>
  <c r="L1026" i="2"/>
  <c r="I1027" i="2"/>
  <c r="J1027" i="2"/>
  <c r="K1027" i="2"/>
  <c r="L1027" i="2"/>
  <c r="I1028" i="2"/>
  <c r="J1028" i="2"/>
  <c r="K1028" i="2"/>
  <c r="L1028" i="2"/>
  <c r="I1029" i="2"/>
  <c r="J1029" i="2"/>
  <c r="K1029" i="2"/>
  <c r="L1029" i="2"/>
  <c r="I1030" i="2"/>
  <c r="J1030" i="2"/>
  <c r="K1030" i="2"/>
  <c r="L1030" i="2"/>
  <c r="I1031" i="2"/>
  <c r="J1031" i="2"/>
  <c r="K1031" i="2"/>
  <c r="L1031" i="2"/>
  <c r="I1032" i="2"/>
  <c r="J1032" i="2"/>
  <c r="K1032" i="2"/>
  <c r="L1032" i="2"/>
  <c r="I1033" i="2"/>
  <c r="J1033" i="2"/>
  <c r="K1033" i="2"/>
  <c r="L1033" i="2"/>
  <c r="I1034" i="2"/>
  <c r="J1034" i="2"/>
  <c r="K1034" i="2"/>
  <c r="L1034" i="2"/>
  <c r="I1035" i="2"/>
  <c r="J1035" i="2"/>
  <c r="K1035" i="2"/>
  <c r="L1035" i="2"/>
  <c r="I1036" i="2"/>
  <c r="J1036" i="2"/>
  <c r="K1036" i="2"/>
  <c r="L1036" i="2"/>
  <c r="I1037" i="2"/>
  <c r="J1037" i="2"/>
  <c r="K1037" i="2"/>
  <c r="L1037" i="2"/>
  <c r="I1038" i="2"/>
  <c r="J1038" i="2"/>
  <c r="K1038" i="2"/>
  <c r="L1038" i="2"/>
  <c r="I1039" i="2"/>
  <c r="J1039" i="2"/>
  <c r="K1039" i="2"/>
  <c r="L1039" i="2"/>
  <c r="I1040" i="2"/>
  <c r="J1040" i="2"/>
  <c r="K1040" i="2"/>
  <c r="L1040" i="2"/>
  <c r="I1041" i="2"/>
  <c r="J1041" i="2"/>
  <c r="K1041" i="2"/>
  <c r="L1041" i="2"/>
  <c r="I1042" i="2"/>
  <c r="J1042" i="2"/>
  <c r="K1042" i="2"/>
  <c r="L1042" i="2"/>
  <c r="I1043" i="2"/>
  <c r="J1043" i="2"/>
  <c r="K1043" i="2"/>
  <c r="L1043" i="2"/>
  <c r="I1044" i="2"/>
  <c r="J1044" i="2"/>
  <c r="K1044" i="2"/>
  <c r="L1044" i="2"/>
  <c r="I1045" i="2"/>
  <c r="J1045" i="2"/>
  <c r="K1045" i="2"/>
  <c r="L1045" i="2"/>
  <c r="I1046" i="2"/>
  <c r="J1046" i="2"/>
  <c r="K1046" i="2"/>
  <c r="L1046" i="2"/>
  <c r="I1047" i="2"/>
  <c r="J1047" i="2"/>
  <c r="K1047" i="2"/>
  <c r="L1047" i="2"/>
  <c r="I1048" i="2"/>
  <c r="J1048" i="2"/>
  <c r="K1048" i="2"/>
  <c r="L1048" i="2"/>
  <c r="I1049" i="2"/>
  <c r="J1049" i="2"/>
  <c r="K1049" i="2"/>
  <c r="L1049" i="2"/>
  <c r="I1050" i="2"/>
  <c r="J1050" i="2"/>
  <c r="K1050" i="2"/>
  <c r="L1050" i="2"/>
  <c r="I1051" i="2"/>
  <c r="J1051" i="2"/>
  <c r="K1051" i="2"/>
  <c r="L1051" i="2"/>
  <c r="I1052" i="2"/>
  <c r="J1052" i="2"/>
  <c r="K1052" i="2"/>
  <c r="L1052" i="2"/>
  <c r="I1053" i="2"/>
  <c r="J1053" i="2"/>
  <c r="K1053" i="2"/>
  <c r="L1053" i="2"/>
  <c r="I1054" i="2"/>
  <c r="J1054" i="2"/>
  <c r="K1054" i="2"/>
  <c r="L1054" i="2"/>
  <c r="I1055" i="2"/>
  <c r="J1055" i="2"/>
  <c r="K1055" i="2"/>
  <c r="L1055" i="2"/>
  <c r="I1056" i="2"/>
  <c r="J1056" i="2"/>
  <c r="K1056" i="2"/>
  <c r="L1056" i="2"/>
  <c r="I1057" i="2"/>
  <c r="J1057" i="2"/>
  <c r="K1057" i="2"/>
  <c r="L1057" i="2"/>
  <c r="I1058" i="2"/>
  <c r="J1058" i="2"/>
  <c r="K1058" i="2"/>
  <c r="L1058" i="2"/>
  <c r="I1059" i="2"/>
  <c r="J1059" i="2"/>
  <c r="K1059" i="2"/>
  <c r="L1059" i="2"/>
  <c r="I1060" i="2"/>
  <c r="J1060" i="2"/>
  <c r="K1060" i="2"/>
  <c r="L1060" i="2"/>
  <c r="I1061" i="2"/>
  <c r="J1061" i="2"/>
  <c r="K1061" i="2"/>
  <c r="L1061" i="2"/>
  <c r="I1062" i="2"/>
  <c r="J1062" i="2"/>
  <c r="K1062" i="2"/>
  <c r="L1062" i="2"/>
  <c r="I1063" i="2"/>
  <c r="J1063" i="2"/>
  <c r="K1063" i="2"/>
  <c r="L1063" i="2"/>
  <c r="I1064" i="2"/>
  <c r="J1064" i="2"/>
  <c r="K1064" i="2"/>
  <c r="L1064" i="2"/>
  <c r="I1065" i="2"/>
  <c r="J1065" i="2"/>
  <c r="K1065" i="2"/>
  <c r="L1065" i="2"/>
  <c r="I1066" i="2"/>
  <c r="J1066" i="2"/>
  <c r="K1066" i="2"/>
  <c r="L1066" i="2"/>
  <c r="I1067" i="2"/>
  <c r="J1067" i="2"/>
  <c r="K1067" i="2"/>
  <c r="L1067" i="2"/>
  <c r="I1068" i="2"/>
  <c r="J1068" i="2"/>
  <c r="K1068" i="2"/>
  <c r="L1068" i="2"/>
  <c r="I1069" i="2"/>
  <c r="J1069" i="2"/>
  <c r="K1069" i="2"/>
  <c r="L1069" i="2"/>
  <c r="I1070" i="2"/>
  <c r="J1070" i="2"/>
  <c r="K1070" i="2"/>
  <c r="L1070" i="2"/>
  <c r="I1071" i="2"/>
  <c r="J1071" i="2"/>
  <c r="K1071" i="2"/>
  <c r="L1071" i="2"/>
  <c r="I1072" i="2"/>
  <c r="J1072" i="2"/>
  <c r="K1072" i="2"/>
  <c r="L1072" i="2"/>
  <c r="I1073" i="2"/>
  <c r="J1073" i="2"/>
  <c r="K1073" i="2"/>
  <c r="L1073" i="2"/>
  <c r="I1074" i="2"/>
  <c r="J1074" i="2"/>
  <c r="K1074" i="2"/>
  <c r="L1074" i="2"/>
  <c r="I1075" i="2"/>
  <c r="J1075" i="2"/>
  <c r="K1075" i="2"/>
  <c r="L1075" i="2"/>
  <c r="I1076" i="2"/>
  <c r="J1076" i="2"/>
  <c r="K1076" i="2"/>
  <c r="L1076" i="2"/>
  <c r="I1077" i="2"/>
  <c r="J1077" i="2"/>
  <c r="K1077" i="2"/>
  <c r="L1077" i="2"/>
  <c r="I1078" i="2"/>
  <c r="J1078" i="2"/>
  <c r="K1078" i="2"/>
  <c r="L1078" i="2"/>
  <c r="I1079" i="2"/>
  <c r="J1079" i="2"/>
  <c r="K1079" i="2"/>
  <c r="L1079" i="2"/>
  <c r="I1080" i="2"/>
  <c r="J1080" i="2"/>
  <c r="K1080" i="2"/>
  <c r="L1080" i="2"/>
  <c r="I1081" i="2"/>
  <c r="J1081" i="2"/>
  <c r="K1081" i="2"/>
  <c r="L1081" i="2"/>
  <c r="I1082" i="2"/>
  <c r="J1082" i="2"/>
  <c r="K1082" i="2"/>
  <c r="L1082" i="2"/>
  <c r="I1083" i="2"/>
  <c r="J1083" i="2"/>
  <c r="K1083" i="2"/>
  <c r="L1083" i="2"/>
  <c r="I1084" i="2"/>
  <c r="J1084" i="2"/>
  <c r="K1084" i="2"/>
  <c r="L1084" i="2"/>
  <c r="I1085" i="2"/>
  <c r="J1085" i="2"/>
  <c r="K1085" i="2"/>
  <c r="L1085" i="2"/>
  <c r="I1086" i="2"/>
  <c r="J1086" i="2"/>
  <c r="K1086" i="2"/>
  <c r="L1086" i="2"/>
  <c r="I1087" i="2"/>
  <c r="J1087" i="2"/>
  <c r="K1087" i="2"/>
  <c r="L1087" i="2"/>
  <c r="I1088" i="2"/>
  <c r="J1088" i="2"/>
  <c r="K1088" i="2"/>
  <c r="L1088" i="2"/>
  <c r="I1089" i="2"/>
  <c r="J1089" i="2"/>
  <c r="K1089" i="2"/>
  <c r="L1089" i="2"/>
  <c r="I1090" i="2"/>
  <c r="J1090" i="2"/>
  <c r="K1090" i="2"/>
  <c r="L1090" i="2"/>
  <c r="I1091" i="2"/>
  <c r="J1091" i="2"/>
  <c r="K1091" i="2"/>
  <c r="L1091" i="2"/>
  <c r="I1092" i="2"/>
  <c r="J1092" i="2"/>
  <c r="K1092" i="2"/>
  <c r="L1092" i="2"/>
  <c r="I1093" i="2"/>
  <c r="J1093" i="2"/>
  <c r="K1093" i="2"/>
  <c r="L1093" i="2"/>
  <c r="I1094" i="2"/>
  <c r="J1094" i="2"/>
  <c r="K1094" i="2"/>
  <c r="L1094" i="2"/>
  <c r="I1095" i="2"/>
  <c r="J1095" i="2"/>
  <c r="K1095" i="2"/>
  <c r="L1095" i="2"/>
  <c r="I1096" i="2"/>
  <c r="J1096" i="2"/>
  <c r="K1096" i="2"/>
  <c r="L1096" i="2"/>
  <c r="I1097" i="2"/>
  <c r="J1097" i="2"/>
  <c r="K1097" i="2"/>
  <c r="L1097" i="2"/>
  <c r="I1098" i="2"/>
  <c r="J1098" i="2"/>
  <c r="K1098" i="2"/>
  <c r="L1098" i="2"/>
  <c r="I1099" i="2"/>
  <c r="J1099" i="2"/>
  <c r="K1099" i="2"/>
  <c r="L1099" i="2"/>
  <c r="I1100" i="2"/>
  <c r="J1100" i="2"/>
  <c r="K1100" i="2"/>
  <c r="L1100" i="2"/>
  <c r="I1101" i="2"/>
  <c r="J1101" i="2"/>
  <c r="K1101" i="2"/>
  <c r="L1101" i="2"/>
  <c r="I1102" i="2"/>
  <c r="J1102" i="2"/>
  <c r="K1102" i="2"/>
  <c r="L1102" i="2"/>
  <c r="I1103" i="2"/>
  <c r="J1103" i="2"/>
  <c r="K1103" i="2"/>
  <c r="L1103" i="2"/>
  <c r="I1104" i="2"/>
  <c r="J1104" i="2"/>
  <c r="K1104" i="2"/>
  <c r="L1104" i="2"/>
  <c r="I1105" i="2"/>
  <c r="J1105" i="2"/>
  <c r="K1105" i="2"/>
  <c r="L1105" i="2"/>
  <c r="I1106" i="2"/>
  <c r="J1106" i="2"/>
  <c r="K1106" i="2"/>
  <c r="L1106" i="2"/>
  <c r="I1107" i="2"/>
  <c r="J1107" i="2"/>
  <c r="K1107" i="2"/>
  <c r="L1107" i="2"/>
  <c r="I1108" i="2"/>
  <c r="J1108" i="2"/>
  <c r="K1108" i="2"/>
  <c r="L1108" i="2"/>
  <c r="I1109" i="2"/>
  <c r="J1109" i="2"/>
  <c r="K1109" i="2"/>
  <c r="L1109" i="2"/>
  <c r="I1110" i="2"/>
  <c r="J1110" i="2"/>
  <c r="K1110" i="2"/>
  <c r="L1110" i="2"/>
  <c r="I1111" i="2"/>
  <c r="J1111" i="2"/>
  <c r="K1111" i="2"/>
  <c r="L1111" i="2"/>
  <c r="I1112" i="2"/>
  <c r="J1112" i="2"/>
  <c r="K1112" i="2"/>
  <c r="L1112" i="2"/>
  <c r="I1113" i="2"/>
  <c r="J1113" i="2"/>
  <c r="K1113" i="2"/>
  <c r="L1113" i="2"/>
  <c r="I1114" i="2"/>
  <c r="J1114" i="2"/>
  <c r="K1114" i="2"/>
  <c r="L1114" i="2"/>
  <c r="I1115" i="2"/>
  <c r="J1115" i="2"/>
  <c r="K1115" i="2"/>
  <c r="L1115" i="2"/>
  <c r="I1116" i="2"/>
  <c r="J1116" i="2"/>
  <c r="K1116" i="2"/>
  <c r="L1116" i="2"/>
  <c r="I1117" i="2"/>
  <c r="J1117" i="2"/>
  <c r="K1117" i="2"/>
  <c r="L1117" i="2"/>
  <c r="I1118" i="2"/>
  <c r="J1118" i="2"/>
  <c r="K1118" i="2"/>
  <c r="L1118" i="2"/>
  <c r="I1119" i="2"/>
  <c r="J1119" i="2"/>
  <c r="K1119" i="2"/>
  <c r="L1119" i="2"/>
  <c r="I1120" i="2"/>
  <c r="J1120" i="2"/>
  <c r="K1120" i="2"/>
  <c r="L1120" i="2"/>
  <c r="I1121" i="2"/>
  <c r="J1121" i="2"/>
  <c r="K1121" i="2"/>
  <c r="L1121" i="2"/>
  <c r="I1122" i="2"/>
  <c r="J1122" i="2"/>
  <c r="K1122" i="2"/>
  <c r="L1122" i="2"/>
  <c r="I1123" i="2"/>
  <c r="J1123" i="2"/>
  <c r="K1123" i="2"/>
  <c r="L1123" i="2"/>
  <c r="I1124" i="2"/>
  <c r="J1124" i="2"/>
  <c r="K1124" i="2"/>
  <c r="L1124" i="2"/>
  <c r="I1125" i="2"/>
  <c r="J1125" i="2"/>
  <c r="K1125" i="2"/>
  <c r="L1125" i="2"/>
  <c r="I1126" i="2"/>
  <c r="J1126" i="2"/>
  <c r="K1126" i="2"/>
  <c r="L1126" i="2"/>
  <c r="I1127" i="2"/>
  <c r="J1127" i="2"/>
  <c r="K1127" i="2"/>
  <c r="L1127" i="2"/>
  <c r="I1128" i="2"/>
  <c r="J1128" i="2"/>
  <c r="K1128" i="2"/>
  <c r="L1128" i="2"/>
  <c r="I1129" i="2"/>
  <c r="J1129" i="2"/>
  <c r="K1129" i="2"/>
  <c r="L1129" i="2"/>
  <c r="I1130" i="2"/>
  <c r="J1130" i="2"/>
  <c r="K1130" i="2"/>
  <c r="L1130" i="2"/>
  <c r="I1131" i="2"/>
  <c r="J1131" i="2"/>
  <c r="K1131" i="2"/>
  <c r="L1131" i="2"/>
  <c r="I1132" i="2"/>
  <c r="J1132" i="2"/>
  <c r="K1132" i="2"/>
  <c r="L1132" i="2"/>
  <c r="I1133" i="2"/>
  <c r="J1133" i="2"/>
  <c r="K1133" i="2"/>
  <c r="L1133" i="2"/>
  <c r="I1134" i="2"/>
  <c r="J1134" i="2"/>
  <c r="K1134" i="2"/>
  <c r="L1134" i="2"/>
  <c r="I1135" i="2"/>
  <c r="J1135" i="2"/>
  <c r="K1135" i="2"/>
  <c r="L1135" i="2"/>
  <c r="I1136" i="2"/>
  <c r="J1136" i="2"/>
  <c r="K1136" i="2"/>
  <c r="L1136" i="2"/>
  <c r="I1137" i="2"/>
  <c r="J1137" i="2"/>
  <c r="K1137" i="2"/>
  <c r="L1137" i="2"/>
  <c r="I1138" i="2"/>
  <c r="J1138" i="2"/>
  <c r="K1138" i="2"/>
  <c r="L1138" i="2"/>
  <c r="I1139" i="2"/>
  <c r="J1139" i="2"/>
  <c r="K1139" i="2"/>
  <c r="L1139" i="2"/>
  <c r="I1140" i="2"/>
  <c r="J1140" i="2"/>
  <c r="K1140" i="2"/>
  <c r="L1140" i="2"/>
  <c r="I1141" i="2"/>
  <c r="J1141" i="2"/>
  <c r="K1141" i="2"/>
  <c r="L1141" i="2"/>
  <c r="I1142" i="2"/>
  <c r="J1142" i="2"/>
  <c r="K1142" i="2"/>
  <c r="L1142" i="2"/>
  <c r="I1143" i="2"/>
  <c r="J1143" i="2"/>
  <c r="K1143" i="2"/>
  <c r="L1143" i="2"/>
  <c r="I1144" i="2"/>
  <c r="J1144" i="2"/>
  <c r="K1144" i="2"/>
  <c r="L1144" i="2"/>
  <c r="I1145" i="2"/>
  <c r="J1145" i="2"/>
  <c r="K1145" i="2"/>
  <c r="L1145" i="2"/>
  <c r="I1146" i="2"/>
  <c r="J1146" i="2"/>
  <c r="K1146" i="2"/>
  <c r="L1146" i="2"/>
  <c r="I1147" i="2"/>
  <c r="J1147" i="2"/>
  <c r="K1147" i="2"/>
  <c r="L1147" i="2"/>
  <c r="I1148" i="2"/>
  <c r="J1148" i="2"/>
  <c r="K1148" i="2"/>
  <c r="L1148" i="2"/>
  <c r="I1149" i="2"/>
  <c r="J1149" i="2"/>
  <c r="K1149" i="2"/>
  <c r="L1149" i="2"/>
  <c r="I1150" i="2"/>
  <c r="J1150" i="2"/>
  <c r="K1150" i="2"/>
  <c r="L1150" i="2"/>
  <c r="I1151" i="2"/>
  <c r="J1151" i="2"/>
  <c r="K1151" i="2"/>
  <c r="L1151" i="2"/>
  <c r="I1152" i="2"/>
  <c r="J1152" i="2"/>
  <c r="K1152" i="2"/>
  <c r="L1152" i="2"/>
  <c r="I1153" i="2"/>
  <c r="J1153" i="2"/>
  <c r="K1153" i="2"/>
  <c r="L1153" i="2"/>
  <c r="I1154" i="2"/>
  <c r="J1154" i="2"/>
  <c r="K1154" i="2"/>
  <c r="L1154" i="2"/>
  <c r="I1155" i="2"/>
  <c r="J1155" i="2"/>
  <c r="K1155" i="2"/>
  <c r="L1155" i="2"/>
  <c r="I1156" i="2"/>
  <c r="J1156" i="2"/>
  <c r="K1156" i="2"/>
  <c r="L1156" i="2"/>
  <c r="I1157" i="2"/>
  <c r="J1157" i="2"/>
  <c r="K1157" i="2"/>
  <c r="L1157" i="2"/>
  <c r="I1158" i="2"/>
  <c r="J1158" i="2"/>
  <c r="K1158" i="2"/>
  <c r="L1158" i="2"/>
  <c r="I1159" i="2"/>
  <c r="J1159" i="2"/>
  <c r="K1159" i="2"/>
  <c r="L1159" i="2"/>
  <c r="I1160" i="2"/>
  <c r="J1160" i="2"/>
  <c r="K1160" i="2"/>
  <c r="L1160" i="2"/>
  <c r="I1161" i="2"/>
  <c r="J1161" i="2"/>
  <c r="K1161" i="2"/>
  <c r="L1161" i="2"/>
  <c r="I1162" i="2"/>
  <c r="J1162" i="2"/>
  <c r="K1162" i="2"/>
  <c r="L1162" i="2"/>
  <c r="I1163" i="2"/>
  <c r="J1163" i="2"/>
  <c r="K1163" i="2"/>
  <c r="L1163" i="2"/>
  <c r="I1164" i="2"/>
  <c r="J1164" i="2"/>
  <c r="K1164" i="2"/>
  <c r="L1164" i="2"/>
  <c r="I1165" i="2"/>
  <c r="J1165" i="2"/>
  <c r="K1165" i="2"/>
  <c r="L1165" i="2"/>
  <c r="I1166" i="2"/>
  <c r="J1166" i="2"/>
  <c r="K1166" i="2"/>
  <c r="L1166" i="2"/>
  <c r="I1167" i="2"/>
  <c r="J1167" i="2"/>
  <c r="K1167" i="2"/>
  <c r="L1167" i="2"/>
  <c r="I1168" i="2"/>
  <c r="J1168" i="2"/>
  <c r="K1168" i="2"/>
  <c r="L1168" i="2"/>
  <c r="I1169" i="2"/>
  <c r="J1169" i="2"/>
  <c r="K1169" i="2"/>
  <c r="L1169" i="2"/>
  <c r="I1170" i="2"/>
  <c r="J1170" i="2"/>
  <c r="K1170" i="2"/>
  <c r="L1170" i="2"/>
  <c r="I1171" i="2"/>
  <c r="J1171" i="2"/>
  <c r="K1171" i="2"/>
  <c r="L1171" i="2"/>
  <c r="I1172" i="2"/>
  <c r="J1172" i="2"/>
  <c r="K1172" i="2"/>
  <c r="L1172" i="2"/>
  <c r="I1173" i="2"/>
  <c r="J1173" i="2"/>
  <c r="K1173" i="2"/>
  <c r="L1173" i="2"/>
  <c r="I1174" i="2"/>
  <c r="J1174" i="2"/>
  <c r="K1174" i="2"/>
  <c r="L1174" i="2"/>
  <c r="I1175" i="2"/>
  <c r="J1175" i="2"/>
  <c r="K1175" i="2"/>
  <c r="L1175" i="2"/>
  <c r="I1176" i="2"/>
  <c r="J1176" i="2"/>
  <c r="K1176" i="2"/>
  <c r="L1176" i="2"/>
  <c r="I1177" i="2"/>
  <c r="J1177" i="2"/>
  <c r="K1177" i="2"/>
  <c r="L1177" i="2"/>
  <c r="I1178" i="2"/>
  <c r="J1178" i="2"/>
  <c r="K1178" i="2"/>
  <c r="L1178" i="2"/>
  <c r="I1179" i="2"/>
  <c r="J1179" i="2"/>
  <c r="K1179" i="2"/>
  <c r="L1179" i="2"/>
  <c r="I1180" i="2"/>
  <c r="J1180" i="2"/>
  <c r="K1180" i="2"/>
  <c r="L1180" i="2"/>
  <c r="I1181" i="2"/>
  <c r="J1181" i="2"/>
  <c r="K1181" i="2"/>
  <c r="L1181" i="2"/>
  <c r="I1182" i="2"/>
  <c r="J1182" i="2"/>
  <c r="K1182" i="2"/>
  <c r="L1182" i="2"/>
  <c r="I1183" i="2"/>
  <c r="J1183" i="2"/>
  <c r="K1183" i="2"/>
  <c r="L1183" i="2"/>
  <c r="I1184" i="2"/>
  <c r="J1184" i="2"/>
  <c r="K1184" i="2"/>
  <c r="L1184" i="2"/>
  <c r="I1185" i="2"/>
  <c r="J1185" i="2"/>
  <c r="K1185" i="2"/>
  <c r="L1185" i="2"/>
  <c r="I1186" i="2"/>
  <c r="J1186" i="2"/>
  <c r="K1186" i="2"/>
  <c r="L1186" i="2"/>
  <c r="I1187" i="2"/>
  <c r="J1187" i="2"/>
  <c r="K1187" i="2"/>
  <c r="L1187" i="2"/>
  <c r="I1188" i="2"/>
  <c r="J1188" i="2"/>
  <c r="K1188" i="2"/>
  <c r="L1188" i="2"/>
  <c r="I1189" i="2"/>
  <c r="J1189" i="2"/>
  <c r="K1189" i="2"/>
  <c r="L1189" i="2"/>
  <c r="I1190" i="2"/>
  <c r="J1190" i="2"/>
  <c r="K1190" i="2"/>
  <c r="L1190" i="2"/>
  <c r="I1191" i="2"/>
  <c r="J1191" i="2"/>
  <c r="K1191" i="2"/>
  <c r="L1191" i="2"/>
  <c r="I1192" i="2"/>
  <c r="J1192" i="2"/>
  <c r="K1192" i="2"/>
  <c r="L1192" i="2"/>
  <c r="I1193" i="2"/>
  <c r="J1193" i="2"/>
  <c r="K1193" i="2"/>
  <c r="L1193" i="2"/>
  <c r="I1194" i="2"/>
  <c r="J1194" i="2"/>
  <c r="K1194" i="2"/>
  <c r="L1194" i="2"/>
  <c r="I1195" i="2"/>
  <c r="J1195" i="2"/>
  <c r="K1195" i="2"/>
  <c r="L1195" i="2"/>
  <c r="I1196" i="2"/>
  <c r="J1196" i="2"/>
  <c r="K1196" i="2"/>
  <c r="L1196" i="2"/>
  <c r="I1197" i="2"/>
  <c r="J1197" i="2"/>
  <c r="K1197" i="2"/>
  <c r="L1197" i="2"/>
  <c r="I1198" i="2"/>
  <c r="J1198" i="2"/>
  <c r="K1198" i="2"/>
  <c r="L1198" i="2"/>
  <c r="I1199" i="2"/>
  <c r="J1199" i="2"/>
  <c r="K1199" i="2"/>
  <c r="L1199" i="2"/>
  <c r="I1200" i="2"/>
  <c r="J1200" i="2"/>
  <c r="K1200" i="2"/>
  <c r="L1200" i="2"/>
  <c r="I1201" i="2"/>
  <c r="J1201" i="2"/>
  <c r="K1201" i="2"/>
  <c r="L1201" i="2"/>
  <c r="I1202" i="2"/>
  <c r="J1202" i="2"/>
  <c r="K1202" i="2"/>
  <c r="L1202" i="2"/>
  <c r="I1203" i="2"/>
  <c r="J1203" i="2"/>
  <c r="K1203" i="2"/>
  <c r="L1203" i="2"/>
  <c r="I1204" i="2"/>
  <c r="J1204" i="2"/>
  <c r="K1204" i="2"/>
  <c r="L1204" i="2"/>
  <c r="I1205" i="2"/>
  <c r="J1205" i="2"/>
  <c r="K1205" i="2"/>
  <c r="L1205" i="2"/>
  <c r="I1206" i="2"/>
  <c r="J1206" i="2"/>
  <c r="K1206" i="2"/>
  <c r="L1206" i="2"/>
  <c r="I1207" i="2"/>
  <c r="J1207" i="2"/>
  <c r="K1207" i="2"/>
  <c r="L1207" i="2"/>
  <c r="I1208" i="2"/>
  <c r="J1208" i="2"/>
  <c r="K1208" i="2"/>
  <c r="L1208" i="2"/>
  <c r="I1209" i="2"/>
  <c r="J1209" i="2"/>
  <c r="K1209" i="2"/>
  <c r="L1209" i="2"/>
  <c r="I1210" i="2"/>
  <c r="J1210" i="2"/>
  <c r="K1210" i="2"/>
  <c r="L1210" i="2"/>
  <c r="I1211" i="2"/>
  <c r="J1211" i="2"/>
  <c r="K1211" i="2"/>
  <c r="L1211" i="2"/>
  <c r="I1212" i="2"/>
  <c r="J1212" i="2"/>
  <c r="K1212" i="2"/>
  <c r="L1212" i="2"/>
  <c r="I1213" i="2"/>
  <c r="J1213" i="2"/>
  <c r="K1213" i="2"/>
  <c r="L1213" i="2"/>
  <c r="I1214" i="2"/>
  <c r="J1214" i="2"/>
  <c r="K1214" i="2"/>
  <c r="L1214" i="2"/>
  <c r="I1215" i="2"/>
  <c r="J1215" i="2"/>
  <c r="K1215" i="2"/>
  <c r="L1215" i="2"/>
  <c r="I1216" i="2"/>
  <c r="J1216" i="2"/>
  <c r="K1216" i="2"/>
  <c r="L1216" i="2"/>
  <c r="I1217" i="2"/>
  <c r="J1217" i="2"/>
  <c r="K1217" i="2"/>
  <c r="L1217" i="2"/>
  <c r="I1218" i="2"/>
  <c r="J1218" i="2"/>
  <c r="K1218" i="2"/>
  <c r="L1218" i="2"/>
  <c r="I1219" i="2"/>
  <c r="J1219" i="2"/>
  <c r="K1219" i="2"/>
  <c r="L1219" i="2"/>
  <c r="I1220" i="2"/>
  <c r="J1220" i="2"/>
  <c r="K1220" i="2"/>
  <c r="L1220" i="2"/>
  <c r="I1221" i="2"/>
  <c r="J1221" i="2"/>
  <c r="K1221" i="2"/>
  <c r="L1221" i="2"/>
  <c r="I1222" i="2"/>
  <c r="J1222" i="2"/>
  <c r="K1222" i="2"/>
  <c r="L1222" i="2"/>
  <c r="I1223" i="2"/>
  <c r="J1223" i="2"/>
  <c r="K1223" i="2"/>
  <c r="L1223" i="2"/>
  <c r="I1224" i="2"/>
  <c r="J1224" i="2"/>
  <c r="K1224" i="2"/>
  <c r="L1224" i="2"/>
  <c r="I1225" i="2"/>
  <c r="J1225" i="2"/>
  <c r="K1225" i="2"/>
  <c r="L1225" i="2"/>
  <c r="I1226" i="2"/>
  <c r="J1226" i="2"/>
  <c r="K1226" i="2"/>
  <c r="L1226" i="2"/>
  <c r="I1227" i="2"/>
  <c r="J1227" i="2"/>
  <c r="K1227" i="2"/>
  <c r="L1227" i="2"/>
  <c r="I1228" i="2"/>
  <c r="J1228" i="2"/>
  <c r="K1228" i="2"/>
  <c r="L1228" i="2"/>
  <c r="I1229" i="2"/>
  <c r="J1229" i="2"/>
  <c r="K1229" i="2"/>
  <c r="L1229" i="2"/>
  <c r="I1230" i="2"/>
  <c r="J1230" i="2"/>
  <c r="K1230" i="2"/>
  <c r="L1230" i="2"/>
  <c r="I1231" i="2"/>
  <c r="J1231" i="2"/>
  <c r="K1231" i="2"/>
  <c r="L1231" i="2"/>
  <c r="I1232" i="2"/>
  <c r="J1232" i="2"/>
  <c r="K1232" i="2"/>
  <c r="L1232" i="2"/>
  <c r="I1233" i="2"/>
  <c r="J1233" i="2"/>
  <c r="K1233" i="2"/>
  <c r="L1233" i="2"/>
  <c r="I1234" i="2"/>
  <c r="J1234" i="2"/>
  <c r="K1234" i="2"/>
  <c r="L1234" i="2"/>
  <c r="I1235" i="2"/>
  <c r="J1235" i="2"/>
  <c r="K1235" i="2"/>
  <c r="L1235" i="2"/>
  <c r="I1236" i="2"/>
  <c r="J1236" i="2"/>
  <c r="K1236" i="2"/>
  <c r="L1236" i="2"/>
  <c r="I1237" i="2"/>
  <c r="J1237" i="2"/>
  <c r="K1237" i="2"/>
  <c r="L1237" i="2"/>
  <c r="I1238" i="2"/>
  <c r="J1238" i="2"/>
  <c r="K1238" i="2"/>
  <c r="L1238" i="2"/>
  <c r="I1239" i="2"/>
  <c r="J1239" i="2"/>
  <c r="K1239" i="2"/>
  <c r="L1239" i="2"/>
  <c r="I1240" i="2"/>
  <c r="J1240" i="2"/>
  <c r="K1240" i="2"/>
  <c r="L1240" i="2"/>
  <c r="I1241" i="2"/>
  <c r="J1241" i="2"/>
  <c r="K1241" i="2"/>
  <c r="L1241" i="2"/>
  <c r="I1242" i="2"/>
  <c r="J1242" i="2"/>
  <c r="K1242" i="2"/>
  <c r="L1242" i="2"/>
  <c r="I1243" i="2"/>
  <c r="J1243" i="2"/>
  <c r="K1243" i="2"/>
  <c r="L1243" i="2"/>
  <c r="I1244" i="2"/>
  <c r="J1244" i="2"/>
  <c r="K1244" i="2"/>
  <c r="L1244" i="2"/>
  <c r="I1245" i="2"/>
  <c r="J1245" i="2"/>
  <c r="K1245" i="2"/>
  <c r="L1245" i="2"/>
  <c r="I1246" i="2"/>
  <c r="J1246" i="2"/>
  <c r="K1246" i="2"/>
  <c r="L1246" i="2"/>
  <c r="I1247" i="2"/>
  <c r="J1247" i="2"/>
  <c r="K1247" i="2"/>
  <c r="L1247" i="2"/>
  <c r="I1248" i="2"/>
  <c r="J1248" i="2"/>
  <c r="K1248" i="2"/>
  <c r="L1248" i="2"/>
  <c r="I1249" i="2"/>
  <c r="J1249" i="2"/>
  <c r="K1249" i="2"/>
  <c r="L1249" i="2"/>
  <c r="I1250" i="2"/>
  <c r="J1250" i="2"/>
  <c r="K1250" i="2"/>
  <c r="L1250" i="2"/>
  <c r="I1251" i="2"/>
  <c r="J1251" i="2"/>
  <c r="K1251" i="2"/>
  <c r="L1251" i="2"/>
  <c r="I1252" i="2"/>
  <c r="J1252" i="2"/>
  <c r="K1252" i="2"/>
  <c r="L1252" i="2"/>
  <c r="I1253" i="2"/>
  <c r="J1253" i="2"/>
  <c r="K1253" i="2"/>
  <c r="L1253" i="2"/>
  <c r="I1254" i="2"/>
  <c r="J1254" i="2"/>
  <c r="K1254" i="2"/>
  <c r="L1254" i="2"/>
  <c r="I1255" i="2"/>
  <c r="J1255" i="2"/>
  <c r="K1255" i="2"/>
  <c r="L1255" i="2"/>
  <c r="I1256" i="2"/>
  <c r="J1256" i="2"/>
  <c r="K1256" i="2"/>
  <c r="L1256" i="2"/>
  <c r="I1257" i="2"/>
  <c r="J1257" i="2"/>
  <c r="K1257" i="2"/>
  <c r="L1257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V6" i="2" l="1"/>
  <c r="U7" i="2"/>
  <c r="U6" i="2"/>
  <c r="W7" i="2"/>
  <c r="U5" i="2"/>
  <c r="T5" i="2"/>
  <c r="V7" i="2"/>
  <c r="W5" i="2"/>
  <c r="T6" i="2"/>
  <c r="V5" i="2"/>
  <c r="W6" i="2"/>
  <c r="T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<sst xmlns="http://schemas.openxmlformats.org/spreadsheetml/2006/main" count="53" uniqueCount="18">
  <si>
    <t>ЛФИ "Формирование Эффективной границы инвестиционного портфеля"</t>
  </si>
  <si>
    <t>Date</t>
  </si>
  <si>
    <t xml:space="preserve">Tesla </t>
  </si>
  <si>
    <t>S&amp;P500</t>
  </si>
  <si>
    <t>Доходность</t>
  </si>
  <si>
    <t>Дисперсия</t>
  </si>
  <si>
    <t>Beta</t>
  </si>
  <si>
    <t>Вес</t>
  </si>
  <si>
    <t>Beta (P)</t>
  </si>
  <si>
    <t>Коэффициент Шарпа</t>
  </si>
  <si>
    <t>Без рисковый T-Bill</t>
  </si>
  <si>
    <t>Стд, Отклонение</t>
  </si>
  <si>
    <t>Станд, Отклн,</t>
  </si>
  <si>
    <t xml:space="preserve"> </t>
  </si>
  <si>
    <t xml:space="preserve">NVIDIA </t>
  </si>
  <si>
    <t xml:space="preserve">Newmont </t>
  </si>
  <si>
    <t xml:space="preserve">Broadcom </t>
  </si>
  <si>
    <t xml:space="preserve">Eli Lilly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</si>
</sst>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0"/>
  </numFmts>
  <fonts count="2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10" xfId="0" applyBorder="1" applyAlignment="1">
      <alignment wrapText="1"/>
    </xf>
    <xf numFmtId="0" fontId="0" fillId="0" borderId="14" xfId="0" applyBorder="1" applyAlignment="1">
      <alignment wrapText="1"/>
    </xf>
    <xf numFmtId="0" fontId="16" fillId="0" borderId="15" xfId="0" applyFont="1" applyBorder="1" applyAlignment="1">
      <alignment horizontal="center"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34" borderId="15" xfId="0" applyFill="1" applyBorder="1" applyAlignment="1">
      <alignment wrapText="1"/>
    </xf>
    <xf numFmtId="0" fontId="19" fillId="35" borderId="15" xfId="0" applyFont="1" applyFill="1" applyBorder="1" applyAlignment="1">
      <alignment wrapText="1"/>
    </xf>
    <xf numFmtId="10" fontId="0" fillId="0" borderId="15" xfId="1" applyNumberFormat="1" applyFont="1" applyBorder="1" applyAlignment="1">
      <alignment wrapText="1"/>
    </xf>
    <xf numFmtId="4" fontId="0" fillId="0" borderId="0" xfId="0" applyNumberFormat="1"/>
    <xf numFmtId="4" fontId="0" fillId="0" borderId="14" xfId="0" applyNumberFormat="1" applyBorder="1" applyAlignment="1">
      <alignment wrapText="1"/>
    </xf>
    <xf numFmtId="10" fontId="0" fillId="0" borderId="15" xfId="0" applyNumberFormat="1" applyBorder="1" applyAlignment="1">
      <alignment wrapText="1"/>
    </xf>
    <xf numFmtId="2" fontId="0" fillId="0" borderId="15" xfId="0" applyNumberFormat="1" applyBorder="1" applyAlignment="1">
      <alignment wrapText="1"/>
    </xf>
    <xf numFmtId="0" fontId="16" fillId="0" borderId="18" xfId="0" applyFont="1" applyBorder="1" applyAlignment="1">
      <alignment horizontal="center" wrapText="1"/>
    </xf>
    <xf numFmtId="0" fontId="0" fillId="0" borderId="19" xfId="0" applyBorder="1" applyAlignment="1">
      <alignment wrapText="1"/>
    </xf>
    <xf numFmtId="165" fontId="0" fillId="0" borderId="15" xfId="1" applyNumberFormat="1" applyFont="1" applyBorder="1" applyAlignment="1">
      <alignment wrapText="1"/>
    </xf>
    <xf numFmtId="14" fontId="16" fillId="0" borderId="0" xfId="0" applyNumberFormat="1" applyFont="1"/>
    <xf numFmtId="0" fontId="16" fillId="0" borderId="0" xfId="0" applyFont="1"/>
    <xf numFmtId="0" fontId="16" fillId="33" borderId="17" xfId="0" applyFont="1" applyFill="1" applyBorder="1"/>
    <xf numFmtId="0" fontId="0" fillId="0" borderId="23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26" xfId="0" applyBorder="1" applyAlignment="1">
      <alignment wrapText="1"/>
    </xf>
    <xf numFmtId="0" fontId="16" fillId="0" borderId="17" xfId="0" applyFont="1" applyBorder="1"/>
    <xf numFmtId="164" fontId="1" fillId="34" borderId="15" xfId="1" applyNumberFormat="1" applyFont="1" applyFill="1" applyBorder="1" applyAlignment="1">
      <alignment wrapText="1"/>
    </xf>
    <xf numFmtId="164" fontId="1" fillId="0" borderId="14" xfId="0" applyNumberFormat="1" applyFont="1" applyBorder="1" applyAlignment="1">
      <alignment horizontal="right" wrapText="1"/>
    </xf>
    <xf numFmtId="0" fontId="0" fillId="0" borderId="0" xfId="0" applyFill="1"/>
    <xf numFmtId="0" fontId="21" fillId="0" borderId="22" xfId="0" applyFont="1" applyFill="1" applyBorder="1" applyAlignment="1">
      <alignment horizontal="center"/>
    </xf>
    <xf numFmtId="165" fontId="0" fillId="0" borderId="0" xfId="1" applyNumberFormat="1" applyFont="1" applyFill="1" applyBorder="1" applyAlignment="1"/>
    <xf numFmtId="165" fontId="0" fillId="0" borderId="21" xfId="1" applyNumberFormat="1" applyFont="1" applyFill="1" applyBorder="1" applyAlignment="1"/>
    <xf numFmtId="165" fontId="0" fillId="0" borderId="24" xfId="1" applyNumberFormat="1" applyFont="1" applyBorder="1" applyAlignment="1">
      <alignment wrapText="1"/>
    </xf>
    <xf numFmtId="165" fontId="0" fillId="0" borderId="20" xfId="1" applyNumberFormat="1" applyFont="1" applyBorder="1" applyAlignment="1">
      <alignment wrapText="1"/>
    </xf>
    <xf numFmtId="165" fontId="0" fillId="0" borderId="18" xfId="1" applyNumberFormat="1" applyFont="1" applyBorder="1" applyAlignment="1">
      <alignment wrapText="1"/>
    </xf>
    <xf numFmtId="166" fontId="0" fillId="35" borderId="15" xfId="0" applyNumberFormat="1" applyFill="1" applyBorder="1" applyAlignment="1">
      <alignment wrapText="1"/>
    </xf>
    <xf numFmtId="0" fontId="18" fillId="0" borderId="11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3" xfId="0" applyFont="1" applyBorder="1" applyAlignment="1">
      <alignment horizontal="center" wrapText="1"/>
    </xf>
  </cellXfs>
  <cellStyles count="43">
    <cellStyle name="20% — акцент1" xfId="20" builtinId="30" customBuiltin="1"/>
    <cellStyle name="20% — акцент2" xfId="24" builtinId="34" customBuiltin="1"/>
    <cellStyle name="20% — акцент3" xfId="28" builtinId="38" customBuiltin="1"/>
    <cellStyle name="20% — акцент4" xfId="32" builtinId="42" customBuiltin="1"/>
    <cellStyle name="20% — акцент5" xfId="36" builtinId="46" customBuiltin="1"/>
    <cellStyle name="20% — акцент6" xfId="40" builtinId="50" customBuiltin="1"/>
    <cellStyle name="40% — акцент1" xfId="21" builtinId="31" customBuiltin="1"/>
    <cellStyle name="40% — акцент2" xfId="25" builtinId="35" customBuiltin="1"/>
    <cellStyle name="40% — акцент3" xfId="29" builtinId="39" customBuiltin="1"/>
    <cellStyle name="40% — акцент4" xfId="33" builtinId="43" customBuiltin="1"/>
    <cellStyle name="40% — акцент5" xfId="37" builtinId="47" customBuiltin="1"/>
    <cellStyle name="40% — акцент6" xfId="41" builtinId="51" customBuiltin="1"/>
    <cellStyle name="60% — акцент1" xfId="22" builtinId="32" customBuiltin="1"/>
    <cellStyle name="60% — акцент2" xfId="26" builtinId="36" customBuiltin="1"/>
    <cellStyle name="60% — акцент3" xfId="30" builtinId="40" customBuiltin="1"/>
    <cellStyle name="60% — акцент4" xfId="34" builtinId="44" customBuiltin="1"/>
    <cellStyle name="60% — акцент5" xfId="38" builtinId="48" customBuiltin="1"/>
    <cellStyle name="60% — акцент6" xfId="42" builtinId="52" customBuiltin="1"/>
    <cellStyle name="Акцент1" xfId="19" builtinId="29" customBuiltin="1"/>
    <cellStyle name="Акцент2" xfId="23" builtinId="33" customBuiltin="1"/>
    <cellStyle name="Акцент3" xfId="27" builtinId="37" customBuiltin="1"/>
    <cellStyle name="Акцент4" xfId="31" builtinId="41" customBuiltin="1"/>
    <cellStyle name="Акцент5" xfId="35" builtinId="45" customBuiltin="1"/>
    <cellStyle name="Акцент6" xfId="39" builtinId="49" customBuiltin="1"/>
    <cellStyle name="Ввод " xfId="10" builtinId="20" customBuiltin="1"/>
    <cellStyle name="Вывод" xfId="11" builtinId="21" customBuiltin="1"/>
    <cellStyle name="Вычисление" xfId="12" builtinId="22" customBuiltin="1"/>
    <cellStyle name="Заголовок 1" xfId="3" builtinId="16" customBuiltin="1"/>
    <cellStyle name="Заголовок 2" xfId="4" builtinId="17" customBuiltin="1"/>
    <cellStyle name="Заголовок 3" xfId="5" builtinId="18" customBuiltin="1"/>
    <cellStyle name="Заголовок 4" xfId="6" builtinId="19" customBuiltin="1"/>
    <cellStyle name="Итог" xfId="18" builtinId="25" customBuiltin="1"/>
    <cellStyle name="Контрольная ячейка" xfId="14" builtinId="23" customBuiltin="1"/>
    <cellStyle name="Название" xfId="2" builtinId="15" customBuiltin="1"/>
    <cellStyle name="Нейтральный" xfId="9" builtinId="28" customBuiltin="1"/>
    <cellStyle name="Обычный" xfId="0" builtinId="0"/>
    <cellStyle name="Плохой" xfId="8" builtinId="27" customBuiltin="1"/>
    <cellStyle name="Пояснение" xfId="17" builtinId="53" customBuiltin="1"/>
    <cellStyle name="Примечание" xfId="16" builtinId="10" customBuiltin="1"/>
    <cellStyle name="Процентный" xfId="1" builtinId="5"/>
    <cellStyle name="Связанная ячейка" xfId="13" builtinId="24" customBuiltin="1"/>
    <cellStyle name="Текст предупреждения" xfId="15" builtinId="11" customBuiltin="1"/>
    <cellStyle name="Хороший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258"/>
  <sheetViews>
    <sheetView tabSelected="1" topLeftCell="K1" zoomScale="107" workbookViewId="0">
      <selection activeCell="S26" sqref="S26"/>
    </sheetView>
  </sheetViews>
  <sheetFormatPr defaultRowHeight="14.4" x14ac:dyDescent="0.3"/>
  <cols>
    <col min="1" max="6" width="10.6640625" customWidth="1"/>
    <col min="7" max="7" width="8.88671875" customWidth="1"/>
    <col min="8" max="12" width="11.88671875" customWidth="1"/>
    <col min="13" max="13" width="11.44140625" bestFit="1" customWidth="1"/>
    <col min="14" max="15" width="10.5546875" customWidth="1"/>
    <col min="18" max="23" width="14.109375" customWidth="1"/>
    <col min="25" max="25" width="10.77734375" customWidth="1"/>
  </cols>
  <sheetData>
    <row r="1" spans="1:31" ht="18.600000000000001" thickBot="1" x14ac:dyDescent="0.4">
      <c r="A1" s="3"/>
      <c r="B1" s="3"/>
      <c r="C1" s="3"/>
      <c r="D1" s="3"/>
      <c r="E1" s="3"/>
      <c r="F1" s="3"/>
      <c r="G1" s="35" t="s">
        <v>0</v>
      </c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7"/>
      <c r="W1" s="4"/>
      <c r="X1" s="4"/>
      <c r="Y1" s="4"/>
      <c r="Z1" s="4"/>
      <c r="AA1" s="4"/>
      <c r="AB1" s="4"/>
      <c r="AC1" s="4"/>
      <c r="AD1" s="4"/>
      <c r="AE1" s="4"/>
    </row>
    <row r="2" spans="1:31" ht="15" thickBot="1" x14ac:dyDescent="0.35">
      <c r="A2" s="18" t="s">
        <v>1</v>
      </c>
      <c r="B2" s="19" t="s">
        <v>14</v>
      </c>
      <c r="C2" s="19" t="s">
        <v>16</v>
      </c>
      <c r="D2" s="19" t="s">
        <v>2</v>
      </c>
      <c r="E2" s="19" t="s">
        <v>17</v>
      </c>
      <c r="F2" s="19" t="s">
        <v>15</v>
      </c>
      <c r="G2" s="6"/>
      <c r="H2" s="19" t="s">
        <v>14</v>
      </c>
      <c r="I2" s="19" t="s">
        <v>16</v>
      </c>
      <c r="J2" s="19" t="s">
        <v>2</v>
      </c>
      <c r="K2" s="19" t="s">
        <v>17</v>
      </c>
      <c r="L2" s="19" t="s">
        <v>15</v>
      </c>
      <c r="M2" s="5" t="s">
        <v>3</v>
      </c>
      <c r="N2" s="6"/>
      <c r="O2" s="5" t="s">
        <v>3</v>
      </c>
      <c r="P2" s="4"/>
      <c r="Q2" s="4"/>
      <c r="R2" s="3"/>
      <c r="S2" s="3"/>
      <c r="T2" s="3"/>
      <c r="U2" s="3"/>
      <c r="V2" s="3"/>
      <c r="W2" s="3"/>
      <c r="X2" s="4"/>
      <c r="Y2" s="4"/>
      <c r="Z2" s="4"/>
      <c r="AA2" s="4"/>
      <c r="AB2" s="4"/>
      <c r="AC2" s="4"/>
      <c r="AD2" s="4"/>
      <c r="AE2" s="4"/>
    </row>
    <row r="3" spans="1:31" ht="15" thickBot="1" x14ac:dyDescent="0.35">
      <c r="A3" s="1">
        <v>45931</v>
      </c>
      <c r="B3">
        <v>187.24</v>
      </c>
      <c r="C3">
        <v>333.39</v>
      </c>
      <c r="D3">
        <v>459.46</v>
      </c>
      <c r="E3">
        <v>825.42</v>
      </c>
      <c r="F3">
        <v>85.95</v>
      </c>
      <c r="G3" s="6"/>
      <c r="H3" s="10">
        <f>(B3/B4)-1</f>
        <v>3.5373566298637638E-3</v>
      </c>
      <c r="I3" s="10">
        <f t="shared" ref="I3:L18" si="0">(C3/C4)-1</f>
        <v>1.0548331363098962E-2</v>
      </c>
      <c r="J3" s="10">
        <f t="shared" si="0"/>
        <v>3.3144450440726558E-2</v>
      </c>
      <c r="K3" s="10">
        <f t="shared" si="0"/>
        <v>8.1808650065530841E-2</v>
      </c>
      <c r="L3" s="10">
        <f t="shared" si="0"/>
        <v>1.945202229865961E-2</v>
      </c>
      <c r="M3" s="10">
        <f>(O3/O4)-1</f>
        <v>3.3998857734067744E-3</v>
      </c>
      <c r="N3" s="1"/>
      <c r="O3" s="11">
        <v>6711.2</v>
      </c>
      <c r="P3" s="12"/>
      <c r="Q3" s="7"/>
      <c r="R3" s="6"/>
      <c r="S3" s="19" t="s">
        <v>14</v>
      </c>
      <c r="T3" s="19" t="s">
        <v>16</v>
      </c>
      <c r="U3" s="19" t="s">
        <v>2</v>
      </c>
      <c r="V3" s="19" t="s">
        <v>17</v>
      </c>
      <c r="W3" s="19" t="s">
        <v>15</v>
      </c>
      <c r="X3" s="4"/>
      <c r="Y3" s="4"/>
      <c r="Z3" s="4"/>
      <c r="AA3" s="4"/>
      <c r="AB3" s="4"/>
      <c r="AC3" s="4"/>
      <c r="AD3" s="4"/>
      <c r="AE3" s="4"/>
    </row>
    <row r="4" spans="1:31" ht="15" thickBot="1" x14ac:dyDescent="0.35">
      <c r="A4" s="1">
        <v>45930</v>
      </c>
      <c r="B4">
        <v>186.58</v>
      </c>
      <c r="C4">
        <v>329.91</v>
      </c>
      <c r="D4">
        <v>444.72</v>
      </c>
      <c r="E4">
        <v>763</v>
      </c>
      <c r="F4">
        <v>84.31</v>
      </c>
      <c r="G4" s="6"/>
      <c r="H4" s="10">
        <f t="shared" ref="H4:H67" si="1">(B4/B5)-1</f>
        <v>2.6010448171570166E-2</v>
      </c>
      <c r="I4" s="10">
        <f t="shared" si="0"/>
        <v>6.12991765782267E-3</v>
      </c>
      <c r="J4" s="10">
        <f t="shared" si="0"/>
        <v>3.4069628392863205E-3</v>
      </c>
      <c r="K4" s="10">
        <f t="shared" si="0"/>
        <v>5.0226424963180083E-2</v>
      </c>
      <c r="L4" s="10">
        <f t="shared" si="0"/>
        <v>-2.7206056304708293E-3</v>
      </c>
      <c r="M4" s="10">
        <f t="shared" ref="M4:M67" si="2">(O4/O5)-1</f>
        <v>4.0908483593822265E-3</v>
      </c>
      <c r="N4" s="1"/>
      <c r="O4" s="2">
        <v>6688.46</v>
      </c>
      <c r="P4" s="12"/>
      <c r="Q4" s="7"/>
      <c r="R4" s="6" t="s">
        <v>4</v>
      </c>
      <c r="S4" s="13">
        <f>AVERAGE(H3:H1257)</f>
        <v>2.6269608219246262E-3</v>
      </c>
      <c r="T4" s="13">
        <f>AVERAGE(I3:I1257)</f>
        <v>2.0866293682153718E-3</v>
      </c>
      <c r="U4" s="13">
        <f t="shared" ref="T4:W4" si="3">AVERAGE(J3:J1257)</f>
        <v>1.6338754792491596E-3</v>
      </c>
      <c r="V4" s="13">
        <f t="shared" si="3"/>
        <v>1.6014337268840776E-3</v>
      </c>
      <c r="W4" s="13">
        <f t="shared" si="3"/>
        <v>4.8536718049509376E-4</v>
      </c>
      <c r="X4" s="4"/>
      <c r="Y4" s="4"/>
      <c r="Z4" s="4"/>
      <c r="AA4" s="4"/>
      <c r="AB4" s="4"/>
      <c r="AC4" s="4"/>
      <c r="AD4" s="4"/>
      <c r="AE4" s="4"/>
    </row>
    <row r="5" spans="1:31" ht="15" thickBot="1" x14ac:dyDescent="0.35">
      <c r="A5" s="1">
        <v>45929</v>
      </c>
      <c r="B5">
        <v>181.85</v>
      </c>
      <c r="C5">
        <v>327.9</v>
      </c>
      <c r="D5">
        <v>443.21</v>
      </c>
      <c r="E5">
        <v>726.51</v>
      </c>
      <c r="F5">
        <v>84.54</v>
      </c>
      <c r="G5" s="6"/>
      <c r="H5" s="10">
        <f t="shared" si="1"/>
        <v>2.0539873169089118E-2</v>
      </c>
      <c r="I5" s="10">
        <f t="shared" si="0"/>
        <v>-1.9818850327324888E-2</v>
      </c>
      <c r="J5" s="10">
        <f t="shared" si="0"/>
        <v>6.380563124432248E-3</v>
      </c>
      <c r="K5" s="10">
        <f t="shared" si="0"/>
        <v>2.7189665166864607E-3</v>
      </c>
      <c r="L5" s="10">
        <f t="shared" si="0"/>
        <v>-8.3284457478005613E-3</v>
      </c>
      <c r="M5" s="10">
        <f t="shared" si="2"/>
        <v>2.6355795716241914E-3</v>
      </c>
      <c r="N5" s="1"/>
      <c r="O5" s="2">
        <v>6661.21</v>
      </c>
      <c r="P5" s="12"/>
      <c r="Q5" s="7"/>
      <c r="R5" s="6" t="s">
        <v>5</v>
      </c>
      <c r="S5" s="10">
        <f>_xlfn.VAR.S(H3:H1257)</f>
        <v>1.0834813095902604E-3</v>
      </c>
      <c r="T5" s="10">
        <f t="shared" ref="T5:W5" si="4">_xlfn.VAR.S(I3:I1257)</f>
        <v>6.7073165011281432E-4</v>
      </c>
      <c r="U5" s="10">
        <f t="shared" si="4"/>
        <v>1.487849668117786E-3</v>
      </c>
      <c r="V5" s="10">
        <f t="shared" si="4"/>
        <v>4.2535032261849698E-4</v>
      </c>
      <c r="W5" s="10">
        <f t="shared" si="4"/>
        <v>4.7004489442138892E-4</v>
      </c>
      <c r="X5" s="4"/>
      <c r="Y5" s="4"/>
      <c r="Z5" s="4"/>
      <c r="AA5" s="4"/>
      <c r="AB5" s="4"/>
      <c r="AC5" s="4"/>
      <c r="AD5" s="4"/>
      <c r="AE5" s="4"/>
    </row>
    <row r="6" spans="1:31" ht="29.4" thickBot="1" x14ac:dyDescent="0.35">
      <c r="A6" s="1">
        <v>45926</v>
      </c>
      <c r="B6">
        <v>178.19</v>
      </c>
      <c r="C6">
        <v>334.53</v>
      </c>
      <c r="D6">
        <v>440.4</v>
      </c>
      <c r="E6">
        <v>724.54</v>
      </c>
      <c r="F6">
        <v>85.25</v>
      </c>
      <c r="G6" s="6"/>
      <c r="H6" s="10">
        <f t="shared" si="1"/>
        <v>2.8138893578704138E-3</v>
      </c>
      <c r="I6" s="10">
        <f t="shared" si="0"/>
        <v>-4.6712288009522762E-3</v>
      </c>
      <c r="J6" s="10">
        <f t="shared" si="0"/>
        <v>4.0175724509317723E-2</v>
      </c>
      <c r="K6" s="10">
        <f t="shared" si="0"/>
        <v>1.39240683468842E-2</v>
      </c>
      <c r="L6" s="10">
        <f t="shared" si="0"/>
        <v>1.8883709812357985E-2</v>
      </c>
      <c r="M6" s="10">
        <f t="shared" si="2"/>
        <v>5.9018398963164298E-3</v>
      </c>
      <c r="N6" s="1"/>
      <c r="O6" s="2">
        <v>6643.7</v>
      </c>
      <c r="P6" s="12"/>
      <c r="Q6" s="7"/>
      <c r="R6" s="6" t="s">
        <v>11</v>
      </c>
      <c r="S6" s="10">
        <f>_xlfn.STDEV.S(H3:H1257)</f>
        <v>3.2916277274173344E-2</v>
      </c>
      <c r="T6" s="10">
        <f t="shared" ref="T6:W6" si="5">_xlfn.STDEV.S(I3:I1257)</f>
        <v>2.5898487409746814E-2</v>
      </c>
      <c r="U6" s="10">
        <f t="shared" si="5"/>
        <v>3.8572654408502743E-2</v>
      </c>
      <c r="V6" s="10">
        <f t="shared" si="5"/>
        <v>2.0624022949427129E-2</v>
      </c>
      <c r="W6" s="10">
        <f t="shared" si="5"/>
        <v>2.1680518776574256E-2</v>
      </c>
      <c r="X6" s="4"/>
      <c r="Y6" s="4"/>
      <c r="Z6" s="4"/>
      <c r="AA6" s="4"/>
      <c r="AB6" s="4"/>
      <c r="AC6" s="4"/>
      <c r="AD6" s="4"/>
      <c r="AE6" s="4"/>
    </row>
    <row r="7" spans="1:31" ht="15" thickBot="1" x14ac:dyDescent="0.35">
      <c r="A7" s="1">
        <v>45925</v>
      </c>
      <c r="B7">
        <v>177.69</v>
      </c>
      <c r="C7">
        <v>336.1</v>
      </c>
      <c r="D7">
        <v>423.39</v>
      </c>
      <c r="E7">
        <v>714.59</v>
      </c>
      <c r="F7">
        <v>83.67</v>
      </c>
      <c r="G7" s="6"/>
      <c r="H7" s="10">
        <f t="shared" si="1"/>
        <v>4.0684861840989406E-3</v>
      </c>
      <c r="I7" s="10">
        <f t="shared" si="0"/>
        <v>-9.4603754678611596E-3</v>
      </c>
      <c r="J7" s="10">
        <f t="shared" si="0"/>
        <v>-4.3813094243320805E-2</v>
      </c>
      <c r="K7" s="10">
        <f t="shared" si="0"/>
        <v>-3.6745972905573909E-2</v>
      </c>
      <c r="L7" s="10">
        <f t="shared" si="0"/>
        <v>2.39607044447121E-3</v>
      </c>
      <c r="M7" s="10">
        <f t="shared" si="2"/>
        <v>-5.0090615052493792E-3</v>
      </c>
      <c r="N7" s="1"/>
      <c r="O7" s="2">
        <v>6604.72</v>
      </c>
      <c r="P7" s="12"/>
      <c r="Q7" s="7"/>
      <c r="R7" s="6" t="s">
        <v>6</v>
      </c>
      <c r="S7" s="14">
        <f>SLOPE(H3:H1257,$M$3:$M$1257)</f>
        <v>2.1246428185558743</v>
      </c>
      <c r="T7" s="14">
        <f>SLOPE(I3:I1257,$M$3:$M$1257)</f>
        <v>1.5747802553470385</v>
      </c>
      <c r="U7" s="14">
        <f>SLOPE(J3:J1257,$M$3:$M$1257)</f>
        <v>1.9955378434655329</v>
      </c>
      <c r="V7" s="14">
        <f>SLOPE(K3:K1257,$M$3:$M$1257)</f>
        <v>0.61144086163682476</v>
      </c>
      <c r="W7" s="14">
        <f>SLOPE(L3:L1257,$M$3:$M$1257)</f>
        <v>0.48803442588769341</v>
      </c>
      <c r="X7" s="4"/>
      <c r="Y7" s="4"/>
      <c r="Z7" s="4"/>
      <c r="AA7" s="4"/>
      <c r="AB7" s="4"/>
      <c r="AC7" s="4"/>
      <c r="AD7" s="4"/>
      <c r="AE7" s="4"/>
    </row>
    <row r="8" spans="1:31" ht="15" thickBot="1" x14ac:dyDescent="0.35">
      <c r="A8" s="1">
        <v>45924</v>
      </c>
      <c r="B8">
        <v>176.97</v>
      </c>
      <c r="C8">
        <v>339.31</v>
      </c>
      <c r="D8">
        <v>442.79</v>
      </c>
      <c r="E8">
        <v>741.85</v>
      </c>
      <c r="F8">
        <v>83.47</v>
      </c>
      <c r="G8" s="6"/>
      <c r="H8" s="10">
        <f t="shared" si="1"/>
        <v>-8.1824805245754861E-3</v>
      </c>
      <c r="I8" s="10">
        <f t="shared" si="0"/>
        <v>1.0916386381070176E-3</v>
      </c>
      <c r="J8" s="10">
        <f t="shared" si="0"/>
        <v>3.9779264999412867E-2</v>
      </c>
      <c r="K8" s="10">
        <f t="shared" si="0"/>
        <v>-6.8676537524431369E-3</v>
      </c>
      <c r="L8" s="10">
        <f t="shared" si="0"/>
        <v>-1.4172670367308404E-2</v>
      </c>
      <c r="M8" s="10">
        <f t="shared" si="2"/>
        <v>-2.8466618195801541E-3</v>
      </c>
      <c r="N8" s="1"/>
      <c r="O8" s="2">
        <v>6637.97</v>
      </c>
      <c r="P8" s="12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ht="15" thickBot="1" x14ac:dyDescent="0.35">
      <c r="A9" s="1">
        <v>45923</v>
      </c>
      <c r="B9">
        <v>178.43</v>
      </c>
      <c r="C9">
        <v>338.94</v>
      </c>
      <c r="D9">
        <v>425.85</v>
      </c>
      <c r="E9">
        <v>746.98</v>
      </c>
      <c r="F9">
        <v>84.67</v>
      </c>
      <c r="G9" s="6"/>
      <c r="H9" s="10">
        <f t="shared" si="1"/>
        <v>-2.8211971025543292E-2</v>
      </c>
      <c r="I9" s="10">
        <f t="shared" si="0"/>
        <v>4.4275214734779134E-4</v>
      </c>
      <c r="J9" s="10">
        <f t="shared" si="0"/>
        <v>-1.9253356670735244E-2</v>
      </c>
      <c r="K9" s="10">
        <f t="shared" si="0"/>
        <v>-1.0556990529174137E-2</v>
      </c>
      <c r="L9" s="10">
        <f t="shared" si="0"/>
        <v>1.1347348303870186E-2</v>
      </c>
      <c r="M9" s="10">
        <f t="shared" si="2"/>
        <v>-5.5021475256769037E-3</v>
      </c>
      <c r="N9" s="1"/>
      <c r="O9" s="2">
        <v>6656.92</v>
      </c>
      <c r="P9" s="12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ht="15" thickBot="1" x14ac:dyDescent="0.35">
      <c r="A10" s="1">
        <v>45922</v>
      </c>
      <c r="B10">
        <v>183.61</v>
      </c>
      <c r="C10">
        <v>338.79</v>
      </c>
      <c r="D10">
        <v>434.21</v>
      </c>
      <c r="E10">
        <v>754.95</v>
      </c>
      <c r="F10">
        <v>83.72</v>
      </c>
      <c r="G10" s="6"/>
      <c r="H10" s="10">
        <f t="shared" si="1"/>
        <v>3.9282277692873846E-2</v>
      </c>
      <c r="I10" s="10">
        <f t="shared" si="0"/>
        <v>-1.7829187684814674E-2</v>
      </c>
      <c r="J10" s="10">
        <f t="shared" si="0"/>
        <v>1.910484192738271E-2</v>
      </c>
      <c r="K10" s="10">
        <f t="shared" si="0"/>
        <v>3.9362225561510034E-3</v>
      </c>
      <c r="L10" s="10">
        <f t="shared" si="0"/>
        <v>2.4473813020068569E-2</v>
      </c>
      <c r="M10" s="10">
        <f t="shared" si="2"/>
        <v>4.4100258689507843E-3</v>
      </c>
      <c r="N10" s="1"/>
      <c r="O10" s="2">
        <v>6693.75</v>
      </c>
      <c r="P10" s="12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ht="15" thickBot="1" x14ac:dyDescent="0.35">
      <c r="A11" s="1">
        <v>45919</v>
      </c>
      <c r="B11">
        <v>176.67</v>
      </c>
      <c r="C11">
        <v>344.94</v>
      </c>
      <c r="D11">
        <v>426.07</v>
      </c>
      <c r="E11">
        <v>751.99</v>
      </c>
      <c r="F11">
        <v>81.72</v>
      </c>
      <c r="G11" s="6"/>
      <c r="H11" s="10">
        <f t="shared" si="1"/>
        <v>2.4398547435313667E-3</v>
      </c>
      <c r="I11" s="10">
        <f t="shared" si="0"/>
        <v>-1.1872013898943656E-3</v>
      </c>
      <c r="J11" s="10">
        <f t="shared" si="0"/>
        <v>2.2118267962096594E-2</v>
      </c>
      <c r="K11" s="10">
        <f t="shared" si="0"/>
        <v>-1.4339454471576585E-2</v>
      </c>
      <c r="L11" s="10">
        <f t="shared" si="0"/>
        <v>4.3411644535240157E-2</v>
      </c>
      <c r="M11" s="10">
        <f t="shared" si="2"/>
        <v>4.8854335671504323E-3</v>
      </c>
      <c r="N11" s="1"/>
      <c r="O11" s="2">
        <v>6664.36</v>
      </c>
      <c r="P11" s="12"/>
      <c r="Q11" s="4"/>
      <c r="R11" s="3"/>
      <c r="S11" s="16"/>
      <c r="T11" s="16"/>
      <c r="U11" s="16"/>
      <c r="V11" s="16"/>
      <c r="W11" s="16"/>
      <c r="X11" s="3"/>
      <c r="Y11" s="3"/>
      <c r="Z11" s="4"/>
      <c r="AA11" s="4"/>
      <c r="AB11" s="4"/>
      <c r="AC11" s="4"/>
      <c r="AD11" s="4"/>
      <c r="AE11" s="4"/>
    </row>
    <row r="12" spans="1:31" ht="29.4" thickBot="1" x14ac:dyDescent="0.35">
      <c r="A12" s="1">
        <v>45918</v>
      </c>
      <c r="B12">
        <v>176.24</v>
      </c>
      <c r="C12">
        <v>345.35</v>
      </c>
      <c r="D12">
        <v>416.85</v>
      </c>
      <c r="E12">
        <v>762.93</v>
      </c>
      <c r="F12">
        <v>78.319999999999993</v>
      </c>
      <c r="G12" s="6"/>
      <c r="H12" s="10">
        <f t="shared" si="1"/>
        <v>3.4940395795407975E-2</v>
      </c>
      <c r="I12" s="10">
        <f t="shared" si="0"/>
        <v>-2.368778345899436E-3</v>
      </c>
      <c r="J12" s="10">
        <f t="shared" si="0"/>
        <v>-2.1157187808199862E-2</v>
      </c>
      <c r="K12" s="10">
        <f t="shared" si="0"/>
        <v>3.6835804401877947E-3</v>
      </c>
      <c r="L12" s="10">
        <f t="shared" si="0"/>
        <v>-4.701995170923956E-3</v>
      </c>
      <c r="M12" s="10">
        <f t="shared" si="2"/>
        <v>4.7891399698500869E-3</v>
      </c>
      <c r="N12" s="1"/>
      <c r="O12" s="2">
        <v>6631.96</v>
      </c>
      <c r="P12" s="12"/>
      <c r="Q12" s="7"/>
      <c r="R12" s="22"/>
      <c r="S12" s="20" t="s">
        <v>14</v>
      </c>
      <c r="T12" s="20" t="s">
        <v>16</v>
      </c>
      <c r="U12" s="20" t="s">
        <v>2</v>
      </c>
      <c r="V12" s="20" t="s">
        <v>17</v>
      </c>
      <c r="W12" s="20" t="s">
        <v>15</v>
      </c>
      <c r="X12" s="15" t="s">
        <v>7</v>
      </c>
      <c r="Y12" s="5" t="s">
        <v>4</v>
      </c>
      <c r="Z12" s="4"/>
      <c r="AA12" s="4"/>
      <c r="AB12" s="4"/>
      <c r="AC12" s="4"/>
      <c r="AD12" s="4"/>
      <c r="AE12" s="4"/>
    </row>
    <row r="13" spans="1:31" ht="15" thickBot="1" x14ac:dyDescent="0.35">
      <c r="A13" s="1">
        <v>45917</v>
      </c>
      <c r="B13">
        <v>170.29</v>
      </c>
      <c r="C13">
        <v>346.17</v>
      </c>
      <c r="D13">
        <v>425.86</v>
      </c>
      <c r="E13">
        <v>760.13</v>
      </c>
      <c r="F13">
        <v>78.69</v>
      </c>
      <c r="G13" s="6"/>
      <c r="H13" s="10">
        <f t="shared" si="1"/>
        <v>-2.6246569075937809E-2</v>
      </c>
      <c r="I13" s="10">
        <f t="shared" si="0"/>
        <v>-3.8416666666666655E-2</v>
      </c>
      <c r="J13" s="10">
        <f t="shared" si="0"/>
        <v>1.0056448935060081E-2</v>
      </c>
      <c r="K13" s="10">
        <f t="shared" si="0"/>
        <v>-5.9891985197003672E-3</v>
      </c>
      <c r="L13" s="10">
        <f t="shared" si="0"/>
        <v>-4.1761579347000533E-3</v>
      </c>
      <c r="M13" s="10">
        <f t="shared" si="2"/>
        <v>-9.7021838238409153E-4</v>
      </c>
      <c r="N13" s="1"/>
      <c r="O13" s="2">
        <v>6600.35</v>
      </c>
      <c r="P13" s="12"/>
      <c r="Q13" s="21"/>
      <c r="R13" s="24" t="s">
        <v>14</v>
      </c>
      <c r="S13" s="31">
        <v>1.0826179778694713E-3</v>
      </c>
      <c r="T13" s="32">
        <v>5.5538711707328635E-4</v>
      </c>
      <c r="U13" s="32">
        <v>5.8727136879694632E-4</v>
      </c>
      <c r="V13" s="32">
        <v>1.2423127546323969E-4</v>
      </c>
      <c r="W13" s="32">
        <v>5.9701920439720607E-5</v>
      </c>
      <c r="X13" s="25">
        <v>6.9816397882755208E-3</v>
      </c>
      <c r="Y13" s="13">
        <f>S4</f>
        <v>2.6269608219246262E-3</v>
      </c>
      <c r="Z13" s="4"/>
      <c r="AA13" s="4"/>
      <c r="AB13" s="4"/>
      <c r="AC13" s="4"/>
      <c r="AD13" s="4"/>
      <c r="AE13" s="4"/>
    </row>
    <row r="14" spans="1:31" ht="15" thickBot="1" x14ac:dyDescent="0.35">
      <c r="A14" s="1">
        <v>45916</v>
      </c>
      <c r="B14">
        <v>174.88</v>
      </c>
      <c r="C14">
        <v>360</v>
      </c>
      <c r="D14">
        <v>421.62</v>
      </c>
      <c r="E14">
        <v>764.71</v>
      </c>
      <c r="F14">
        <v>79.02</v>
      </c>
      <c r="G14" s="6"/>
      <c r="H14" s="10">
        <f t="shared" si="1"/>
        <v>-1.6146272855133592E-2</v>
      </c>
      <c r="I14" s="10">
        <f t="shared" si="0"/>
        <v>-1.123348622593312E-2</v>
      </c>
      <c r="J14" s="10">
        <f t="shared" si="0"/>
        <v>2.8241147205150696E-2</v>
      </c>
      <c r="K14" s="10">
        <f t="shared" si="0"/>
        <v>2.2079952953126813E-2</v>
      </c>
      <c r="L14" s="10">
        <f t="shared" si="0"/>
        <v>-4.2842741935483764E-3</v>
      </c>
      <c r="M14" s="10">
        <f t="shared" si="2"/>
        <v>-1.2879273439672101E-3</v>
      </c>
      <c r="N14" s="1"/>
      <c r="O14" s="2">
        <v>6606.76</v>
      </c>
      <c r="P14" s="12"/>
      <c r="Q14" s="21"/>
      <c r="R14" s="24" t="s">
        <v>16</v>
      </c>
      <c r="S14" s="33">
        <v>5.5538711707328635E-4</v>
      </c>
      <c r="T14" s="17">
        <v>6.7019720258284393E-4</v>
      </c>
      <c r="U14" s="17">
        <v>4.3123088932720601E-4</v>
      </c>
      <c r="V14" s="17">
        <v>8.9290492509955949E-5</v>
      </c>
      <c r="W14" s="17">
        <v>8.8029276176210746E-5</v>
      </c>
      <c r="X14" s="25">
        <v>0.14910328813543033</v>
      </c>
      <c r="Y14" s="13">
        <f>T4</f>
        <v>2.0866293682153718E-3</v>
      </c>
      <c r="Z14" s="4"/>
      <c r="AA14" s="4"/>
      <c r="AB14" s="4"/>
      <c r="AC14" s="4"/>
      <c r="AD14" s="4"/>
      <c r="AE14" s="4"/>
    </row>
    <row r="15" spans="1:31" ht="15" thickBot="1" x14ac:dyDescent="0.35">
      <c r="A15" s="1">
        <v>45915</v>
      </c>
      <c r="B15">
        <v>177.75</v>
      </c>
      <c r="C15">
        <v>364.09</v>
      </c>
      <c r="D15">
        <v>410.04</v>
      </c>
      <c r="E15">
        <v>748.19</v>
      </c>
      <c r="F15">
        <v>79.36</v>
      </c>
      <c r="G15" s="6"/>
      <c r="H15" s="10">
        <f t="shared" si="1"/>
        <v>-3.9365650657963158E-4</v>
      </c>
      <c r="I15" s="10">
        <f t="shared" si="0"/>
        <v>1.1726456776057992E-2</v>
      </c>
      <c r="J15" s="10">
        <f t="shared" si="0"/>
        <v>3.5611456281254839E-2</v>
      </c>
      <c r="K15" s="10">
        <f t="shared" si="0"/>
        <v>-9.5315002846211305E-3</v>
      </c>
      <c r="L15" s="10">
        <f t="shared" si="0"/>
        <v>1.3880126182965746E-3</v>
      </c>
      <c r="M15" s="10">
        <f t="shared" si="2"/>
        <v>4.7066578173196039E-3</v>
      </c>
      <c r="N15" s="1"/>
      <c r="O15" s="2">
        <v>6615.28</v>
      </c>
      <c r="P15" s="12"/>
      <c r="Q15" s="21"/>
      <c r="R15" s="24" t="s">
        <v>2</v>
      </c>
      <c r="S15" s="33">
        <v>5.8727136879694632E-4</v>
      </c>
      <c r="T15" s="17">
        <v>4.3123088932720601E-4</v>
      </c>
      <c r="U15" s="17">
        <v>1.4866641305336286E-3</v>
      </c>
      <c r="V15" s="17">
        <v>6.3176660882880545E-5</v>
      </c>
      <c r="W15" s="17">
        <v>3.6242153303473401E-5</v>
      </c>
      <c r="X15" s="25">
        <v>6.1940678004860417E-2</v>
      </c>
      <c r="Y15" s="13">
        <f>U4</f>
        <v>1.6338754792491596E-3</v>
      </c>
      <c r="Z15" s="4"/>
      <c r="AA15" s="4"/>
      <c r="AB15" s="4"/>
      <c r="AC15" s="4"/>
      <c r="AD15" s="4"/>
      <c r="AE15" s="4"/>
    </row>
    <row r="16" spans="1:31" ht="15" thickBot="1" x14ac:dyDescent="0.35">
      <c r="A16" s="1">
        <v>45912</v>
      </c>
      <c r="B16">
        <v>177.82</v>
      </c>
      <c r="C16">
        <v>359.87</v>
      </c>
      <c r="D16">
        <v>395.94</v>
      </c>
      <c r="E16">
        <v>755.39</v>
      </c>
      <c r="F16">
        <v>79.25</v>
      </c>
      <c r="G16" s="6"/>
      <c r="H16" s="10">
        <f t="shared" si="1"/>
        <v>3.6687926849918728E-3</v>
      </c>
      <c r="I16" s="10">
        <f t="shared" si="0"/>
        <v>6.6735255679439831E-4</v>
      </c>
      <c r="J16" s="10">
        <f t="shared" si="0"/>
        <v>7.3560912122773159E-2</v>
      </c>
      <c r="K16" s="10">
        <f t="shared" si="0"/>
        <v>-1.1768128206484096E-3</v>
      </c>
      <c r="L16" s="10">
        <f t="shared" si="0"/>
        <v>-5.0219711236660913E-3</v>
      </c>
      <c r="M16" s="10">
        <f t="shared" si="2"/>
        <v>-4.8273464622994311E-4</v>
      </c>
      <c r="N16" s="1"/>
      <c r="O16" s="2">
        <v>6584.29</v>
      </c>
      <c r="P16" s="12"/>
      <c r="Q16" s="21"/>
      <c r="R16" s="24" t="s">
        <v>17</v>
      </c>
      <c r="S16" s="33">
        <v>1.2423127546323969E-4</v>
      </c>
      <c r="T16" s="17">
        <v>8.9290492509955949E-5</v>
      </c>
      <c r="U16" s="17">
        <v>6.3176660882880545E-5</v>
      </c>
      <c r="V16" s="17">
        <v>4.2501139805864159E-4</v>
      </c>
      <c r="W16" s="17">
        <v>2.1516780164136302E-5</v>
      </c>
      <c r="X16" s="25">
        <v>0.40867952368188409</v>
      </c>
      <c r="Y16" s="13">
        <f>V4</f>
        <v>1.6014337268840776E-3</v>
      </c>
      <c r="Z16" s="4"/>
      <c r="AA16" s="4"/>
      <c r="AB16" s="4"/>
      <c r="AC16" s="4"/>
      <c r="AD16" s="4"/>
      <c r="AE16" s="4"/>
    </row>
    <row r="17" spans="1:31" ht="15" thickBot="1" x14ac:dyDescent="0.35">
      <c r="A17" s="1">
        <v>45911</v>
      </c>
      <c r="B17">
        <v>177.17</v>
      </c>
      <c r="C17">
        <v>359.63</v>
      </c>
      <c r="D17">
        <v>368.81</v>
      </c>
      <c r="E17">
        <v>756.28</v>
      </c>
      <c r="F17">
        <v>79.650000000000006</v>
      </c>
      <c r="G17" s="6"/>
      <c r="H17" s="10">
        <f t="shared" si="1"/>
        <v>-9.0227259910913293E-4</v>
      </c>
      <c r="I17" s="10">
        <f t="shared" si="0"/>
        <v>-2.689612252076734E-2</v>
      </c>
      <c r="J17" s="10">
        <f t="shared" si="0"/>
        <v>6.0438770522441621E-2</v>
      </c>
      <c r="K17" s="10">
        <f t="shared" si="0"/>
        <v>2.1997826720732139E-3</v>
      </c>
      <c r="L17" s="10">
        <f t="shared" si="0"/>
        <v>1.5555272217263827E-2</v>
      </c>
      <c r="M17" s="10">
        <f t="shared" si="2"/>
        <v>8.4858635280862238E-3</v>
      </c>
      <c r="N17" s="1"/>
      <c r="O17" s="2">
        <v>6587.47</v>
      </c>
      <c r="P17" s="12"/>
      <c r="Q17" s="21"/>
      <c r="R17" s="24" t="s">
        <v>15</v>
      </c>
      <c r="S17" s="33">
        <v>5.9701920439720607E-5</v>
      </c>
      <c r="T17" s="17">
        <v>8.8029276176210746E-5</v>
      </c>
      <c r="U17" s="17">
        <v>3.6242153303473401E-5</v>
      </c>
      <c r="V17" s="17">
        <v>2.1516780164136302E-5</v>
      </c>
      <c r="W17" s="17">
        <v>4.6967035665690973E-4</v>
      </c>
      <c r="X17" s="25">
        <v>0.37329487038954962</v>
      </c>
      <c r="Y17" s="13">
        <f>W4</f>
        <v>4.8536718049509376E-4</v>
      </c>
      <c r="Z17" s="4"/>
      <c r="AA17" s="4"/>
      <c r="AB17" s="4"/>
      <c r="AC17" s="4"/>
      <c r="AD17" s="4"/>
      <c r="AE17" s="4"/>
    </row>
    <row r="18" spans="1:31" ht="15" thickBot="1" x14ac:dyDescent="0.35">
      <c r="A18" s="1">
        <v>45910</v>
      </c>
      <c r="B18">
        <v>177.33</v>
      </c>
      <c r="C18">
        <v>369.57</v>
      </c>
      <c r="D18">
        <v>347.79</v>
      </c>
      <c r="E18">
        <v>754.62</v>
      </c>
      <c r="F18">
        <v>78.430000000000007</v>
      </c>
      <c r="G18" s="6"/>
      <c r="H18" s="10">
        <f t="shared" si="1"/>
        <v>3.8475052705551738E-2</v>
      </c>
      <c r="I18" s="10">
        <f t="shared" si="0"/>
        <v>9.7721804734606454E-2</v>
      </c>
      <c r="J18" s="10">
        <f t="shared" si="0"/>
        <v>2.3633167132603994E-3</v>
      </c>
      <c r="K18" s="10">
        <f t="shared" si="0"/>
        <v>5.3423215784496048E-3</v>
      </c>
      <c r="L18" s="10">
        <f t="shared" si="0"/>
        <v>3.3061116965226622E-2</v>
      </c>
      <c r="M18" s="10">
        <f t="shared" si="2"/>
        <v>2.9834428900241683E-3</v>
      </c>
      <c r="N18" s="1"/>
      <c r="O18" s="2">
        <v>6532.04</v>
      </c>
      <c r="P18" s="12"/>
      <c r="Q18" s="4"/>
      <c r="R18" s="23"/>
      <c r="S18" s="3"/>
      <c r="T18" s="4"/>
      <c r="U18" s="4"/>
      <c r="V18" s="4"/>
      <c r="W18" s="4" t="s">
        <v>7</v>
      </c>
      <c r="X18" s="26">
        <f>SUM(X13:X17)</f>
        <v>1</v>
      </c>
      <c r="Y18" s="4"/>
      <c r="Z18" s="4"/>
      <c r="AA18" s="4"/>
      <c r="AB18" s="4"/>
      <c r="AC18" s="4"/>
      <c r="AD18" s="4"/>
      <c r="AE18" s="4"/>
    </row>
    <row r="19" spans="1:31" ht="15" thickBot="1" x14ac:dyDescent="0.35">
      <c r="A19" s="1">
        <v>45909</v>
      </c>
      <c r="B19">
        <v>170.76</v>
      </c>
      <c r="C19">
        <v>336.67</v>
      </c>
      <c r="D19">
        <v>346.97</v>
      </c>
      <c r="E19">
        <v>750.61</v>
      </c>
      <c r="F19">
        <v>75.92</v>
      </c>
      <c r="G19" s="6"/>
      <c r="H19" s="10">
        <f t="shared" si="1"/>
        <v>1.4556473174499374E-2</v>
      </c>
      <c r="I19" s="10">
        <f t="shared" ref="I19:I82" si="6">(C19/C20)-1</f>
        <v>-2.5980037610299322E-2</v>
      </c>
      <c r="J19" s="10">
        <f t="shared" ref="J19:J82" si="7">(D19/D20)-1</f>
        <v>1.6454965357968199E-3</v>
      </c>
      <c r="K19" s="10">
        <f t="shared" ref="K19:K82" si="8">(E19/E20)-1</f>
        <v>1.6205458680818907E-2</v>
      </c>
      <c r="L19" s="10">
        <f t="shared" ref="L19:L82" si="9">(F19/F20)-1</f>
        <v>2.2442244224423202E-3</v>
      </c>
      <c r="M19" s="10">
        <f t="shared" si="2"/>
        <v>2.6881596267984698E-3</v>
      </c>
      <c r="N19" s="1"/>
      <c r="O19" s="2">
        <v>6512.61</v>
      </c>
      <c r="P19" s="12"/>
      <c r="Q19" s="7"/>
      <c r="R19" s="6" t="s">
        <v>5</v>
      </c>
      <c r="S19" s="17" cm="1">
        <f t="array" ref="S19">MMULT(TRANSPOSE(X13:X17),(MMULT(S13:W17,X13:X17)))</f>
        <v>1.9985984722384375E-4</v>
      </c>
      <c r="T19" s="4"/>
      <c r="U19" s="4"/>
      <c r="V19" s="3"/>
      <c r="W19" s="3"/>
      <c r="X19" s="4"/>
      <c r="Y19" s="4"/>
      <c r="Z19" s="4"/>
      <c r="AA19" s="4"/>
      <c r="AB19" s="4"/>
      <c r="AC19" s="4"/>
      <c r="AD19" s="4"/>
      <c r="AE19" s="4"/>
    </row>
    <row r="20" spans="1:31" ht="16.2" thickBot="1" x14ac:dyDescent="0.35">
      <c r="A20" s="1">
        <v>45908</v>
      </c>
      <c r="B20">
        <v>168.31</v>
      </c>
      <c r="C20">
        <v>345.65</v>
      </c>
      <c r="D20">
        <v>346.4</v>
      </c>
      <c r="E20">
        <v>738.64</v>
      </c>
      <c r="F20">
        <v>75.75</v>
      </c>
      <c r="G20" s="6"/>
      <c r="H20" s="10">
        <f t="shared" si="1"/>
        <v>7.7236259130641916E-3</v>
      </c>
      <c r="I20" s="10">
        <f t="shared" si="6"/>
        <v>3.2129953118934518E-2</v>
      </c>
      <c r="J20" s="10">
        <f t="shared" si="7"/>
        <v>-1.2655341466195402E-2</v>
      </c>
      <c r="K20" s="10">
        <f t="shared" si="8"/>
        <v>1.5717605643486676E-2</v>
      </c>
      <c r="L20" s="10">
        <f t="shared" si="9"/>
        <v>-5.5139818826309694E-3</v>
      </c>
      <c r="M20" s="10">
        <f t="shared" si="2"/>
        <v>2.1059939828742547E-3</v>
      </c>
      <c r="N20" s="1"/>
      <c r="O20" s="2">
        <v>6495.15</v>
      </c>
      <c r="P20" s="12"/>
      <c r="Q20" s="7"/>
      <c r="R20" s="6" t="s">
        <v>12</v>
      </c>
      <c r="S20" s="10">
        <f>SQRT(S19)</f>
        <v>1.4137179606408194E-2</v>
      </c>
      <c r="T20" s="4"/>
      <c r="U20" s="7"/>
      <c r="V20" s="9" t="s">
        <v>8</v>
      </c>
      <c r="W20" s="34">
        <f>X13*S7+X14*T7+X15*U7+X16*V7+X17*W7</f>
        <v>0.80530747986027484</v>
      </c>
      <c r="X20" s="4"/>
      <c r="Y20" s="4"/>
      <c r="Z20" s="4"/>
      <c r="AA20" s="4"/>
      <c r="AB20" s="4"/>
      <c r="AC20" s="4"/>
      <c r="AD20" s="4"/>
      <c r="AE20" s="4"/>
    </row>
    <row r="21" spans="1:31" ht="15" thickBot="1" x14ac:dyDescent="0.35">
      <c r="A21" s="1">
        <v>45905</v>
      </c>
      <c r="B21">
        <v>167.02</v>
      </c>
      <c r="C21">
        <v>334.89</v>
      </c>
      <c r="D21">
        <v>350.84</v>
      </c>
      <c r="E21">
        <v>727.21</v>
      </c>
      <c r="F21">
        <v>76.17</v>
      </c>
      <c r="G21" s="6"/>
      <c r="H21" s="10">
        <f t="shared" si="1"/>
        <v>-2.7030175929162237E-2</v>
      </c>
      <c r="I21" s="10">
        <f t="shared" si="6"/>
        <v>9.4054230643580317E-2</v>
      </c>
      <c r="J21" s="10">
        <f t="shared" si="7"/>
        <v>3.6363099282190614E-2</v>
      </c>
      <c r="K21" s="10">
        <f t="shared" si="8"/>
        <v>-2.1133111682437922E-2</v>
      </c>
      <c r="L21" s="10">
        <f t="shared" si="9"/>
        <v>1.7227564102564097E-2</v>
      </c>
      <c r="M21" s="10">
        <f t="shared" si="2"/>
        <v>-3.1651410010334891E-3</v>
      </c>
      <c r="N21" s="1"/>
      <c r="O21" s="2">
        <v>6481.5</v>
      </c>
      <c r="P21" s="12"/>
      <c r="Q21" s="7"/>
      <c r="R21" s="6" t="s">
        <v>4</v>
      </c>
      <c r="S21" s="17">
        <f>SUMPRODUCT(X13:X17,Y13:Y17)</f>
        <v>1.266325400523013E-3</v>
      </c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ht="29.4" thickBot="1" x14ac:dyDescent="0.35">
      <c r="A22" s="1">
        <v>45904</v>
      </c>
      <c r="B22">
        <v>171.66</v>
      </c>
      <c r="C22">
        <v>306.10000000000002</v>
      </c>
      <c r="D22">
        <v>338.53</v>
      </c>
      <c r="E22">
        <v>742.91</v>
      </c>
      <c r="F22">
        <v>74.88</v>
      </c>
      <c r="G22" s="6"/>
      <c r="H22" s="10">
        <f t="shared" si="1"/>
        <v>6.0954167155080619E-3</v>
      </c>
      <c r="I22" s="10">
        <f t="shared" si="6"/>
        <v>1.2268924236912726E-2</v>
      </c>
      <c r="J22" s="10">
        <f t="shared" si="7"/>
        <v>1.3289832081175623E-2</v>
      </c>
      <c r="K22" s="10">
        <f t="shared" si="8"/>
        <v>6.8850548229266728E-3</v>
      </c>
      <c r="L22" s="10">
        <f t="shared" si="9"/>
        <v>-7.1599045346062429E-3</v>
      </c>
      <c r="M22" s="10">
        <f t="shared" si="2"/>
        <v>8.3464376436432897E-3</v>
      </c>
      <c r="N22" s="1"/>
      <c r="O22" s="2">
        <v>6502.08</v>
      </c>
      <c r="P22" s="12"/>
      <c r="Q22" s="7"/>
      <c r="R22" s="6" t="s">
        <v>9</v>
      </c>
      <c r="S22" s="14">
        <f>(S21-S23)/S20</f>
        <v>-1.5868564469045936</v>
      </c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ht="29.4" thickBot="1" x14ac:dyDescent="0.35">
      <c r="A23" s="1">
        <v>45903</v>
      </c>
      <c r="B23">
        <v>170.62</v>
      </c>
      <c r="C23">
        <v>302.39</v>
      </c>
      <c r="D23">
        <v>334.09</v>
      </c>
      <c r="E23">
        <v>737.83</v>
      </c>
      <c r="F23">
        <v>75.42</v>
      </c>
      <c r="G23" s="6"/>
      <c r="H23" s="10">
        <f t="shared" si="1"/>
        <v>-9.3687785454965589E-4</v>
      </c>
      <c r="I23" s="10">
        <f t="shared" si="6"/>
        <v>1.3914967811158752E-2</v>
      </c>
      <c r="J23" s="10">
        <f t="shared" si="7"/>
        <v>1.4361185329123005E-2</v>
      </c>
      <c r="K23" s="10">
        <f t="shared" si="8"/>
        <v>3.5909084726397644E-3</v>
      </c>
      <c r="L23" s="10">
        <f t="shared" si="9"/>
        <v>-5.8001581861323315E-3</v>
      </c>
      <c r="M23" s="10">
        <f t="shared" si="2"/>
        <v>5.1001162801573852E-3</v>
      </c>
      <c r="N23" s="1"/>
      <c r="O23" s="2">
        <v>6448.26</v>
      </c>
      <c r="P23" s="12"/>
      <c r="Q23" s="7"/>
      <c r="R23" s="6" t="s">
        <v>10</v>
      </c>
      <c r="S23" s="8">
        <f>S25/100</f>
        <v>2.3700000000000002E-2</v>
      </c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ht="15" thickBot="1" x14ac:dyDescent="0.35">
      <c r="A24" s="1">
        <v>45902</v>
      </c>
      <c r="B24">
        <v>170.78</v>
      </c>
      <c r="C24">
        <v>298.24</v>
      </c>
      <c r="D24">
        <v>329.36</v>
      </c>
      <c r="E24">
        <v>735.19</v>
      </c>
      <c r="F24">
        <v>75.86</v>
      </c>
      <c r="G24" s="6"/>
      <c r="H24" s="10">
        <f t="shared" si="1"/>
        <v>-1.952003674359859E-2</v>
      </c>
      <c r="I24" s="10">
        <f t="shared" si="6"/>
        <v>2.8581996704664103E-3</v>
      </c>
      <c r="J24" s="10">
        <f t="shared" si="7"/>
        <v>-1.3508251714739239E-2</v>
      </c>
      <c r="K24" s="10">
        <f t="shared" si="8"/>
        <v>3.5627508258484486E-3</v>
      </c>
      <c r="L24" s="10">
        <f t="shared" si="9"/>
        <v>1.9623655913978411E-2</v>
      </c>
      <c r="M24" s="10">
        <f t="shared" si="2"/>
        <v>-6.9223220118076467E-3</v>
      </c>
      <c r="N24" s="1"/>
      <c r="O24" s="2">
        <v>6415.54</v>
      </c>
      <c r="P24" s="12"/>
      <c r="Q24" s="4"/>
      <c r="R24" s="4"/>
      <c r="S24" s="4" t="s">
        <v>13</v>
      </c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ht="15" thickBot="1" x14ac:dyDescent="0.35">
      <c r="A25" s="1">
        <v>45898</v>
      </c>
      <c r="B25">
        <v>174.18</v>
      </c>
      <c r="C25">
        <v>297.39</v>
      </c>
      <c r="D25">
        <v>333.87</v>
      </c>
      <c r="E25">
        <v>732.58</v>
      </c>
      <c r="F25">
        <v>74.400000000000006</v>
      </c>
      <c r="G25" s="6"/>
      <c r="H25" s="10">
        <f t="shared" si="1"/>
        <v>-3.3246378420380696E-2</v>
      </c>
      <c r="I25" s="10">
        <f t="shared" si="6"/>
        <v>-3.6481451482261451E-2</v>
      </c>
      <c r="J25" s="10">
        <f t="shared" si="7"/>
        <v>-3.5002023238337565E-2</v>
      </c>
      <c r="K25" s="10">
        <f t="shared" si="8"/>
        <v>8.4704082190278918E-4</v>
      </c>
      <c r="L25" s="10">
        <f t="shared" si="9"/>
        <v>1.9597094696450768E-2</v>
      </c>
      <c r="M25" s="10">
        <f t="shared" si="2"/>
        <v>-6.3981691392923645E-3</v>
      </c>
      <c r="N25" s="1"/>
      <c r="O25" s="2">
        <v>6460.26</v>
      </c>
      <c r="P25" s="12"/>
      <c r="Q25" s="4"/>
      <c r="R25" s="4"/>
      <c r="S25" s="4">
        <v>2.37</v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ht="15" thickBot="1" x14ac:dyDescent="0.35">
      <c r="A26" s="1">
        <v>45897</v>
      </c>
      <c r="B26">
        <v>180.17</v>
      </c>
      <c r="C26">
        <v>308.64999999999998</v>
      </c>
      <c r="D26">
        <v>345.98</v>
      </c>
      <c r="E26">
        <v>731.96</v>
      </c>
      <c r="F26">
        <v>72.97</v>
      </c>
      <c r="G26" s="6"/>
      <c r="H26" s="10">
        <f t="shared" si="1"/>
        <v>-7.8744493392071124E-3</v>
      </c>
      <c r="I26" s="10">
        <f t="shared" si="6"/>
        <v>2.7976686094920877E-2</v>
      </c>
      <c r="J26" s="10">
        <f t="shared" si="7"/>
        <v>-1.0354691075514899E-2</v>
      </c>
      <c r="K26" s="10">
        <f t="shared" si="8"/>
        <v>-3.0102019968125671E-3</v>
      </c>
      <c r="L26" s="10">
        <f t="shared" si="9"/>
        <v>8.0121563751898162E-3</v>
      </c>
      <c r="M26" s="10">
        <f t="shared" si="2"/>
        <v>3.1567253988336041E-3</v>
      </c>
      <c r="N26" s="1"/>
      <c r="O26" s="2">
        <v>6501.86</v>
      </c>
      <c r="P26" s="12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ht="15" thickBot="1" x14ac:dyDescent="0.35">
      <c r="A27" s="1">
        <v>45896</v>
      </c>
      <c r="B27">
        <v>181.6</v>
      </c>
      <c r="C27">
        <v>300.25</v>
      </c>
      <c r="D27">
        <v>349.6</v>
      </c>
      <c r="E27">
        <v>734.17</v>
      </c>
      <c r="F27">
        <v>72.39</v>
      </c>
      <c r="G27" s="6"/>
      <c r="H27" s="10">
        <f t="shared" si="1"/>
        <v>-9.3524784067788858E-4</v>
      </c>
      <c r="I27" s="10">
        <f t="shared" si="6"/>
        <v>7.5165262910641406E-3</v>
      </c>
      <c r="J27" s="10">
        <f t="shared" si="7"/>
        <v>-5.8862001308044309E-3</v>
      </c>
      <c r="K27" s="10">
        <f t="shared" si="8"/>
        <v>-2.5270709074358688E-3</v>
      </c>
      <c r="L27" s="10">
        <f t="shared" si="9"/>
        <v>-5.5225735192609982E-4</v>
      </c>
      <c r="M27" s="10">
        <f t="shared" si="2"/>
        <v>2.3909903277790079E-3</v>
      </c>
      <c r="N27" s="1"/>
      <c r="O27" s="2">
        <v>6481.4</v>
      </c>
      <c r="P27" s="12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ht="15" thickBot="1" x14ac:dyDescent="0.35">
      <c r="A28" s="1">
        <v>45895</v>
      </c>
      <c r="B28">
        <v>181.77</v>
      </c>
      <c r="C28">
        <v>298.01</v>
      </c>
      <c r="D28">
        <v>351.67</v>
      </c>
      <c r="E28">
        <v>736.03</v>
      </c>
      <c r="F28">
        <v>72.430000000000007</v>
      </c>
      <c r="G28" s="6"/>
      <c r="H28" s="10">
        <f t="shared" si="1"/>
        <v>1.0900394861242502E-2</v>
      </c>
      <c r="I28" s="10">
        <f t="shared" si="6"/>
        <v>1.2847092410698924E-2</v>
      </c>
      <c r="J28" s="10">
        <f t="shared" si="7"/>
        <v>1.4627813040969384E-2</v>
      </c>
      <c r="K28" s="10">
        <f t="shared" si="8"/>
        <v>5.8533358261544821E-2</v>
      </c>
      <c r="L28" s="10">
        <f t="shared" si="9"/>
        <v>1.8706047819972094E-2</v>
      </c>
      <c r="M28" s="10">
        <f t="shared" si="2"/>
        <v>4.1339768795463083E-3</v>
      </c>
      <c r="N28" s="1"/>
      <c r="O28" s="2">
        <v>6465.94</v>
      </c>
      <c r="P28" s="12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t="15" thickBot="1" x14ac:dyDescent="0.35">
      <c r="A29" s="1">
        <v>45894</v>
      </c>
      <c r="B29">
        <v>179.81</v>
      </c>
      <c r="C29">
        <v>294.23</v>
      </c>
      <c r="D29">
        <v>346.6</v>
      </c>
      <c r="E29">
        <v>695.33</v>
      </c>
      <c r="F29">
        <v>71.099999999999994</v>
      </c>
      <c r="G29" s="6"/>
      <c r="H29" s="10">
        <f t="shared" si="1"/>
        <v>1.0225293555817805E-2</v>
      </c>
      <c r="I29" s="10">
        <f t="shared" si="6"/>
        <v>7.823129251700589E-4</v>
      </c>
      <c r="J29" s="10">
        <f t="shared" si="7"/>
        <v>1.9381782888738597E-2</v>
      </c>
      <c r="K29" s="10">
        <f t="shared" si="8"/>
        <v>-2.2973808453237266E-2</v>
      </c>
      <c r="L29" s="10">
        <f t="shared" si="9"/>
        <v>4.6629927935566418E-3</v>
      </c>
      <c r="M29" s="10">
        <f t="shared" si="2"/>
        <v>-4.2663343080389105E-3</v>
      </c>
      <c r="N29" s="1"/>
      <c r="O29" s="2">
        <v>6439.32</v>
      </c>
      <c r="P29" s="12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ht="15" thickBot="1" x14ac:dyDescent="0.35">
      <c r="A30" s="1">
        <v>45891</v>
      </c>
      <c r="B30">
        <v>177.99</v>
      </c>
      <c r="C30">
        <v>294</v>
      </c>
      <c r="D30">
        <v>340.01</v>
      </c>
      <c r="E30">
        <v>711.68</v>
      </c>
      <c r="F30">
        <v>70.77</v>
      </c>
      <c r="G30" s="6"/>
      <c r="H30" s="10">
        <f t="shared" si="1"/>
        <v>1.7201965938964614E-2</v>
      </c>
      <c r="I30" s="10">
        <f t="shared" si="6"/>
        <v>1.5193370165745845E-2</v>
      </c>
      <c r="J30" s="10">
        <f t="shared" si="7"/>
        <v>6.2166130392677488E-2</v>
      </c>
      <c r="K30" s="10">
        <f t="shared" si="8"/>
        <v>2.6203826322164225E-3</v>
      </c>
      <c r="L30" s="10">
        <f t="shared" si="9"/>
        <v>9.7018119560563498E-3</v>
      </c>
      <c r="M30" s="10">
        <f t="shared" si="2"/>
        <v>1.518640789806236E-2</v>
      </c>
      <c r="N30" s="1"/>
      <c r="O30" s="2">
        <v>6466.91</v>
      </c>
      <c r="P30" s="12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ht="15" thickBot="1" x14ac:dyDescent="0.35">
      <c r="A31" s="1">
        <v>45890</v>
      </c>
      <c r="B31">
        <v>174.98</v>
      </c>
      <c r="C31">
        <v>289.60000000000002</v>
      </c>
      <c r="D31">
        <v>320.11</v>
      </c>
      <c r="E31">
        <v>709.82</v>
      </c>
      <c r="F31">
        <v>70.09</v>
      </c>
      <c r="G31" s="6"/>
      <c r="H31" s="10">
        <f t="shared" si="1"/>
        <v>-2.3945267958951355E-3</v>
      </c>
      <c r="I31" s="10">
        <f t="shared" si="6"/>
        <v>-5.3920390150083986E-3</v>
      </c>
      <c r="J31" s="10">
        <f t="shared" si="7"/>
        <v>-1.1701142327878888E-2</v>
      </c>
      <c r="K31" s="10">
        <f t="shared" si="8"/>
        <v>6.2088909049671237E-3</v>
      </c>
      <c r="L31" s="10">
        <f t="shared" si="9"/>
        <v>1.5797101449275486E-2</v>
      </c>
      <c r="M31" s="10">
        <f t="shared" si="2"/>
        <v>-4.0042027712021699E-3</v>
      </c>
      <c r="N31" s="1"/>
      <c r="O31" s="2">
        <v>6370.17</v>
      </c>
      <c r="P31" s="12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ht="15" thickBot="1" x14ac:dyDescent="0.35">
      <c r="A32" s="1">
        <v>45889</v>
      </c>
      <c r="B32">
        <v>175.4</v>
      </c>
      <c r="C32">
        <v>291.17</v>
      </c>
      <c r="D32">
        <v>323.89999999999998</v>
      </c>
      <c r="E32">
        <v>705.44</v>
      </c>
      <c r="F32">
        <v>69</v>
      </c>
      <c r="G32" s="6"/>
      <c r="H32" s="10">
        <f t="shared" si="1"/>
        <v>-1.3664313368252357E-3</v>
      </c>
      <c r="I32" s="10">
        <f t="shared" si="6"/>
        <v>-1.2681835136143293E-2</v>
      </c>
      <c r="J32" s="10">
        <f t="shared" si="7"/>
        <v>-1.6428289453706335E-2</v>
      </c>
      <c r="K32" s="10">
        <f t="shared" si="8"/>
        <v>3.1711721960723249E-3</v>
      </c>
      <c r="L32" s="10">
        <f t="shared" si="9"/>
        <v>2.4042742653606508E-2</v>
      </c>
      <c r="M32" s="10">
        <f t="shared" si="2"/>
        <v>-2.4316175793941408E-3</v>
      </c>
      <c r="N32" s="1"/>
      <c r="O32" s="2">
        <v>6395.78</v>
      </c>
      <c r="P32" s="12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ht="15" thickBot="1" x14ac:dyDescent="0.35">
      <c r="A33" s="1">
        <v>45888</v>
      </c>
      <c r="B33">
        <v>175.64</v>
      </c>
      <c r="C33">
        <v>294.91000000000003</v>
      </c>
      <c r="D33">
        <v>329.31</v>
      </c>
      <c r="E33">
        <v>703.21</v>
      </c>
      <c r="F33">
        <v>67.38</v>
      </c>
      <c r="G33" s="6"/>
      <c r="H33" s="10">
        <f t="shared" si="1"/>
        <v>-3.4998077028734698E-2</v>
      </c>
      <c r="I33" s="10">
        <f t="shared" si="6"/>
        <v>-3.5485347985347859E-2</v>
      </c>
      <c r="J33" s="10">
        <f t="shared" si="7"/>
        <v>-1.7454350161117183E-2</v>
      </c>
      <c r="K33" s="10">
        <f t="shared" si="8"/>
        <v>7.3920206288948798E-3</v>
      </c>
      <c r="L33" s="10">
        <f t="shared" si="9"/>
        <v>-2.3478260869565282E-2</v>
      </c>
      <c r="M33" s="10">
        <f t="shared" si="2"/>
        <v>-5.8581363435491474E-3</v>
      </c>
      <c r="N33" s="1"/>
      <c r="O33" s="2">
        <v>6411.37</v>
      </c>
      <c r="P33" s="12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ht="15" thickBot="1" x14ac:dyDescent="0.35">
      <c r="A34" s="1">
        <v>45887</v>
      </c>
      <c r="B34">
        <v>182.01</v>
      </c>
      <c r="C34">
        <v>305.76</v>
      </c>
      <c r="D34">
        <v>335.16</v>
      </c>
      <c r="E34">
        <v>698.05</v>
      </c>
      <c r="F34">
        <v>69</v>
      </c>
      <c r="G34" s="6"/>
      <c r="H34" s="10">
        <f t="shared" si="1"/>
        <v>8.6450540315876623E-3</v>
      </c>
      <c r="I34" s="10">
        <f t="shared" si="6"/>
        <v>-1.8933211464385868E-3</v>
      </c>
      <c r="J34" s="10">
        <f t="shared" si="7"/>
        <v>1.3915779283639962E-2</v>
      </c>
      <c r="K34" s="10">
        <f t="shared" si="8"/>
        <v>-4.5348886955778323E-3</v>
      </c>
      <c r="L34" s="10">
        <f t="shared" si="9"/>
        <v>-4.7598442232799076E-3</v>
      </c>
      <c r="M34" s="10">
        <f t="shared" si="2"/>
        <v>-1.0077831870769494E-4</v>
      </c>
      <c r="N34" s="1"/>
      <c r="O34" s="2">
        <v>6449.15</v>
      </c>
      <c r="P34" s="12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ht="15" thickBot="1" x14ac:dyDescent="0.35">
      <c r="A35" s="1">
        <v>45884</v>
      </c>
      <c r="B35">
        <v>180.45</v>
      </c>
      <c r="C35">
        <v>306.33999999999997</v>
      </c>
      <c r="D35">
        <v>330.56</v>
      </c>
      <c r="E35">
        <v>701.23</v>
      </c>
      <c r="F35">
        <v>69.33</v>
      </c>
      <c r="G35" s="6"/>
      <c r="H35" s="10">
        <f t="shared" si="1"/>
        <v>-8.62542577738723E-3</v>
      </c>
      <c r="I35" s="10">
        <f t="shared" si="6"/>
        <v>-1.5711852970472173E-2</v>
      </c>
      <c r="J35" s="10">
        <f t="shared" si="7"/>
        <v>-1.4959175159425464E-2</v>
      </c>
      <c r="K35" s="10">
        <f t="shared" si="8"/>
        <v>2.4545972561109242E-2</v>
      </c>
      <c r="L35" s="10">
        <f t="shared" si="9"/>
        <v>1.2412383177569986E-2</v>
      </c>
      <c r="M35" s="10">
        <f t="shared" si="2"/>
        <v>-2.8970988816641174E-3</v>
      </c>
      <c r="N35" s="1"/>
      <c r="O35" s="2">
        <v>6449.8</v>
      </c>
      <c r="P35" s="12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ht="15" thickBot="1" x14ac:dyDescent="0.35">
      <c r="A36" s="1">
        <v>45883</v>
      </c>
      <c r="B36">
        <v>182.02</v>
      </c>
      <c r="C36">
        <v>311.23</v>
      </c>
      <c r="D36">
        <v>335.58</v>
      </c>
      <c r="E36">
        <v>684.43</v>
      </c>
      <c r="F36">
        <v>68.48</v>
      </c>
      <c r="G36" s="6"/>
      <c r="H36" s="10">
        <f t="shared" si="1"/>
        <v>2.367971804614788E-3</v>
      </c>
      <c r="I36" s="10">
        <f t="shared" si="6"/>
        <v>6.9235497751465314E-3</v>
      </c>
      <c r="J36" s="10">
        <f t="shared" si="7"/>
        <v>-1.1196888443632536E-2</v>
      </c>
      <c r="K36" s="10">
        <f t="shared" si="8"/>
        <v>3.6245817499129362E-2</v>
      </c>
      <c r="L36" s="10">
        <f t="shared" si="9"/>
        <v>-1.166861143523934E-3</v>
      </c>
      <c r="M36" s="10">
        <f t="shared" si="2"/>
        <v>3.0309684562790373E-4</v>
      </c>
      <c r="N36" s="1"/>
      <c r="O36" s="2">
        <v>6468.54</v>
      </c>
      <c r="P36" s="12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ht="15" thickBot="1" x14ac:dyDescent="0.35">
      <c r="A37" s="1">
        <v>45882</v>
      </c>
      <c r="B37">
        <v>181.59</v>
      </c>
      <c r="C37">
        <v>309.08999999999997</v>
      </c>
      <c r="D37">
        <v>339.38</v>
      </c>
      <c r="E37">
        <v>660.49</v>
      </c>
      <c r="F37">
        <v>68.56</v>
      </c>
      <c r="G37" s="6"/>
      <c r="H37" s="10">
        <f t="shared" si="1"/>
        <v>-8.5717405547062198E-3</v>
      </c>
      <c r="I37" s="10">
        <f t="shared" si="6"/>
        <v>-1.1955375123869239E-2</v>
      </c>
      <c r="J37" s="10">
        <f t="shared" si="7"/>
        <v>-4.2835347963853243E-3</v>
      </c>
      <c r="K37" s="10">
        <f t="shared" si="8"/>
        <v>3.293558325383561E-2</v>
      </c>
      <c r="L37" s="10">
        <f t="shared" si="9"/>
        <v>-5.3677643986653756E-3</v>
      </c>
      <c r="M37" s="10">
        <f t="shared" si="2"/>
        <v>3.2300302834731287E-3</v>
      </c>
      <c r="N37" s="1"/>
      <c r="O37" s="2">
        <v>6466.58</v>
      </c>
      <c r="P37" s="12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ht="15" thickBot="1" x14ac:dyDescent="0.35">
      <c r="A38" s="1">
        <v>45881</v>
      </c>
      <c r="B38">
        <v>183.16</v>
      </c>
      <c r="C38">
        <v>312.83</v>
      </c>
      <c r="D38">
        <v>340.84</v>
      </c>
      <c r="E38">
        <v>639.42999999999995</v>
      </c>
      <c r="F38">
        <v>68.930000000000007</v>
      </c>
      <c r="G38" s="6"/>
      <c r="H38" s="10">
        <f t="shared" si="1"/>
        <v>6.0419641876303665E-3</v>
      </c>
      <c r="I38" s="10">
        <f t="shared" si="6"/>
        <v>2.9384666008555493E-2</v>
      </c>
      <c r="J38" s="10">
        <f t="shared" si="7"/>
        <v>5.3387605816594963E-3</v>
      </c>
      <c r="K38" s="10">
        <f t="shared" si="8"/>
        <v>6.6276250747772103E-3</v>
      </c>
      <c r="L38" s="10">
        <f t="shared" si="9"/>
        <v>8.7120662117046166E-4</v>
      </c>
      <c r="M38" s="10">
        <f t="shared" si="2"/>
        <v>1.1345503612643082E-2</v>
      </c>
      <c r="N38" s="1"/>
      <c r="O38" s="2">
        <v>6445.76</v>
      </c>
      <c r="P38" s="12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ht="15" thickBot="1" x14ac:dyDescent="0.35">
      <c r="A39" s="1">
        <v>45880</v>
      </c>
      <c r="B39">
        <v>182.06</v>
      </c>
      <c r="C39">
        <v>303.89999999999998</v>
      </c>
      <c r="D39">
        <v>339.03</v>
      </c>
      <c r="E39">
        <v>635.22</v>
      </c>
      <c r="F39">
        <v>68.87</v>
      </c>
      <c r="G39" s="6"/>
      <c r="H39" s="10">
        <f t="shared" si="1"/>
        <v>-3.5030103995620232E-3</v>
      </c>
      <c r="I39" s="10">
        <f t="shared" si="6"/>
        <v>-3.5085418237861266E-3</v>
      </c>
      <c r="J39" s="10">
        <f t="shared" si="7"/>
        <v>2.8454421355983639E-2</v>
      </c>
      <c r="K39" s="10">
        <f t="shared" si="8"/>
        <v>1.5296092064253308E-2</v>
      </c>
      <c r="L39" s="10">
        <f t="shared" si="9"/>
        <v>-1.5946651203246898E-3</v>
      </c>
      <c r="M39" s="10">
        <f t="shared" si="2"/>
        <v>-2.5041278983324311E-3</v>
      </c>
      <c r="N39" s="1"/>
      <c r="O39" s="2">
        <v>6373.45</v>
      </c>
      <c r="P39" s="12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ht="15" thickBot="1" x14ac:dyDescent="0.35">
      <c r="A40" s="1">
        <v>45877</v>
      </c>
      <c r="B40">
        <v>182.7</v>
      </c>
      <c r="C40">
        <v>304.97000000000003</v>
      </c>
      <c r="D40">
        <v>329.65</v>
      </c>
      <c r="E40">
        <v>625.65</v>
      </c>
      <c r="F40">
        <v>68.98</v>
      </c>
      <c r="G40" s="6"/>
      <c r="H40" s="10">
        <f t="shared" si="1"/>
        <v>1.0676550312551658E-2</v>
      </c>
      <c r="I40" s="10">
        <f t="shared" si="6"/>
        <v>3.9834079536478217E-3</v>
      </c>
      <c r="J40" s="10">
        <f t="shared" si="7"/>
        <v>2.2900052750798983E-2</v>
      </c>
      <c r="K40" s="10">
        <f t="shared" si="8"/>
        <v>-2.3733732796554663E-2</v>
      </c>
      <c r="L40" s="10">
        <f t="shared" si="9"/>
        <v>-1.303025915737499E-3</v>
      </c>
      <c r="M40" s="10">
        <f t="shared" si="2"/>
        <v>7.7996845425867267E-3</v>
      </c>
      <c r="N40" s="1"/>
      <c r="O40" s="2">
        <v>6389.45</v>
      </c>
      <c r="P40" s="12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ht="15" thickBot="1" x14ac:dyDescent="0.35">
      <c r="A41" s="1">
        <v>45876</v>
      </c>
      <c r="B41">
        <v>180.77</v>
      </c>
      <c r="C41">
        <v>303.76</v>
      </c>
      <c r="D41">
        <v>322.27</v>
      </c>
      <c r="E41">
        <v>640.86</v>
      </c>
      <c r="F41">
        <v>69.069999999999993</v>
      </c>
      <c r="G41" s="6"/>
      <c r="H41" s="10">
        <f t="shared" si="1"/>
        <v>7.5242447887640118E-3</v>
      </c>
      <c r="I41" s="10">
        <f t="shared" si="6"/>
        <v>6.9281002419860904E-3</v>
      </c>
      <c r="J41" s="10">
        <f t="shared" si="7"/>
        <v>7.3770748022881083E-3</v>
      </c>
      <c r="K41" s="10">
        <f t="shared" si="8"/>
        <v>-0.14136420274126771</v>
      </c>
      <c r="L41" s="10">
        <f t="shared" si="9"/>
        <v>1.6931684334511088E-2</v>
      </c>
      <c r="M41" s="10">
        <f t="shared" si="2"/>
        <v>-7.9747078829839335E-4</v>
      </c>
      <c r="N41" s="1"/>
      <c r="O41" s="2">
        <v>6340</v>
      </c>
      <c r="P41" s="12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ht="15" thickBot="1" x14ac:dyDescent="0.35">
      <c r="A42" s="1">
        <v>45875</v>
      </c>
      <c r="B42">
        <v>179.42</v>
      </c>
      <c r="C42">
        <v>301.67</v>
      </c>
      <c r="D42">
        <v>319.91000000000003</v>
      </c>
      <c r="E42">
        <v>746.37</v>
      </c>
      <c r="F42">
        <v>67.92</v>
      </c>
      <c r="G42" s="6"/>
      <c r="H42" s="10">
        <f t="shared" si="1"/>
        <v>6.5073488163356341E-3</v>
      </c>
      <c r="I42" s="10">
        <f t="shared" si="6"/>
        <v>2.983647970504899E-2</v>
      </c>
      <c r="J42" s="10">
        <f t="shared" si="7"/>
        <v>3.6246436900751577E-2</v>
      </c>
      <c r="K42" s="10">
        <f t="shared" si="8"/>
        <v>-2.5563026307200309E-2</v>
      </c>
      <c r="L42" s="10">
        <f t="shared" si="9"/>
        <v>1.0113027959548049E-2</v>
      </c>
      <c r="M42" s="10">
        <f t="shared" si="2"/>
        <v>7.2818886237755454E-3</v>
      </c>
      <c r="N42" s="1"/>
      <c r="O42" s="2">
        <v>6345.06</v>
      </c>
      <c r="P42" s="12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5" thickBot="1" x14ac:dyDescent="0.35">
      <c r="A43" s="1">
        <v>45874</v>
      </c>
      <c r="B43">
        <v>178.26</v>
      </c>
      <c r="C43">
        <v>292.93</v>
      </c>
      <c r="D43">
        <v>308.72000000000003</v>
      </c>
      <c r="E43">
        <v>765.95</v>
      </c>
      <c r="F43">
        <v>67.239999999999995</v>
      </c>
      <c r="G43" s="6"/>
      <c r="H43" s="10">
        <f t="shared" si="1"/>
        <v>-9.6666666666667123E-3</v>
      </c>
      <c r="I43" s="10">
        <f t="shared" si="6"/>
        <v>-1.6088942630659742E-2</v>
      </c>
      <c r="J43" s="10">
        <f t="shared" si="7"/>
        <v>-1.7461036021469978E-3</v>
      </c>
      <c r="K43" s="10">
        <f t="shared" si="8"/>
        <v>-3.9661898569570697E-3</v>
      </c>
      <c r="L43" s="10">
        <f t="shared" si="9"/>
        <v>2.7820238459186797E-2</v>
      </c>
      <c r="M43" s="10">
        <f t="shared" si="2"/>
        <v>-4.8578659513360822E-3</v>
      </c>
      <c r="N43" s="1"/>
      <c r="O43" s="2">
        <v>6299.19</v>
      </c>
      <c r="P43" s="12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ht="15" thickBot="1" x14ac:dyDescent="0.35">
      <c r="A44" s="1">
        <v>45873</v>
      </c>
      <c r="B44">
        <v>180</v>
      </c>
      <c r="C44">
        <v>297.72000000000003</v>
      </c>
      <c r="D44">
        <v>309.26</v>
      </c>
      <c r="E44">
        <v>769</v>
      </c>
      <c r="F44">
        <v>65.42</v>
      </c>
      <c r="G44" s="6"/>
      <c r="H44" s="10">
        <f t="shared" si="1"/>
        <v>3.6150126640571045E-2</v>
      </c>
      <c r="I44" s="10">
        <f t="shared" si="6"/>
        <v>3.145787139689582E-2</v>
      </c>
      <c r="J44" s="10">
        <f t="shared" si="7"/>
        <v>2.1907940389254144E-2</v>
      </c>
      <c r="K44" s="10">
        <f t="shared" si="8"/>
        <v>8.7494916899504283E-3</v>
      </c>
      <c r="L44" s="10">
        <f t="shared" si="9"/>
        <v>4.5214890557597087E-2</v>
      </c>
      <c r="M44" s="10">
        <f t="shared" si="2"/>
        <v>1.473707159815385E-2</v>
      </c>
      <c r="N44" s="1"/>
      <c r="O44" s="2">
        <v>6329.94</v>
      </c>
      <c r="P44" s="12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ht="15" thickBot="1" x14ac:dyDescent="0.35">
      <c r="A45" s="1">
        <v>45870</v>
      </c>
      <c r="B45">
        <v>173.72</v>
      </c>
      <c r="C45">
        <v>288.64</v>
      </c>
      <c r="D45">
        <v>302.63</v>
      </c>
      <c r="E45">
        <v>762.33</v>
      </c>
      <c r="F45">
        <v>62.59</v>
      </c>
      <c r="G45" s="6"/>
      <c r="H45" s="10">
        <f t="shared" si="1"/>
        <v>-2.3331646708270148E-2</v>
      </c>
      <c r="I45" s="10">
        <f t="shared" si="6"/>
        <v>-1.7228464419475675E-2</v>
      </c>
      <c r="J45" s="10">
        <f t="shared" si="7"/>
        <v>-1.8295649917280277E-2</v>
      </c>
      <c r="K45" s="10">
        <f t="shared" si="8"/>
        <v>3.0078235842555312E-2</v>
      </c>
      <c r="L45" s="10">
        <f t="shared" si="9"/>
        <v>7.8904991948469672E-3</v>
      </c>
      <c r="M45" s="10">
        <f t="shared" si="2"/>
        <v>-1.5992074947274171E-2</v>
      </c>
      <c r="N45" s="1"/>
      <c r="O45" s="2">
        <v>6238.01</v>
      </c>
      <c r="P45" s="12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15" thickBot="1" x14ac:dyDescent="0.35">
      <c r="A46" s="1">
        <v>45869</v>
      </c>
      <c r="B46">
        <v>177.87</v>
      </c>
      <c r="C46">
        <v>293.7</v>
      </c>
      <c r="D46">
        <v>308.27</v>
      </c>
      <c r="E46">
        <v>740.07</v>
      </c>
      <c r="F46">
        <v>62.1</v>
      </c>
      <c r="G46" s="6"/>
      <c r="H46" s="10">
        <f t="shared" si="1"/>
        <v>-7.8094494338148968E-3</v>
      </c>
      <c r="I46" s="10">
        <f t="shared" si="6"/>
        <v>-2.9475910382658177E-2</v>
      </c>
      <c r="J46" s="10">
        <f t="shared" si="7"/>
        <v>-3.3757522567703258E-2</v>
      </c>
      <c r="K46" s="10">
        <f t="shared" si="8"/>
        <v>-2.6326176191979744E-2</v>
      </c>
      <c r="L46" s="10">
        <f t="shared" si="9"/>
        <v>-3.3702455464612591E-3</v>
      </c>
      <c r="M46" s="10">
        <f t="shared" si="2"/>
        <v>-3.6948561190650597E-3</v>
      </c>
      <c r="N46" s="1"/>
      <c r="O46" s="2">
        <v>6339.39</v>
      </c>
      <c r="P46" s="12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ht="15" thickBot="1" x14ac:dyDescent="0.35">
      <c r="A47" s="1">
        <v>45868</v>
      </c>
      <c r="B47">
        <v>179.27</v>
      </c>
      <c r="C47">
        <v>302.62</v>
      </c>
      <c r="D47">
        <v>319.04000000000002</v>
      </c>
      <c r="E47">
        <v>760.08</v>
      </c>
      <c r="F47">
        <v>62.31</v>
      </c>
      <c r="G47" s="6"/>
      <c r="H47" s="10">
        <f t="shared" si="1"/>
        <v>2.1423280724745197E-2</v>
      </c>
      <c r="I47" s="10">
        <f t="shared" si="6"/>
        <v>1.7483693093941266E-2</v>
      </c>
      <c r="J47" s="10">
        <f t="shared" si="7"/>
        <v>-6.7247820672476921E-3</v>
      </c>
      <c r="K47" s="10">
        <f t="shared" si="8"/>
        <v>-3.7617143980601675E-3</v>
      </c>
      <c r="L47" s="10">
        <f t="shared" si="9"/>
        <v>-2.6254102203469243E-2</v>
      </c>
      <c r="M47" s="10">
        <f t="shared" si="2"/>
        <v>-1.249438851269713E-3</v>
      </c>
      <c r="N47" s="1"/>
      <c r="O47" s="2">
        <v>6362.9</v>
      </c>
      <c r="P47" s="12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 ht="15" thickBot="1" x14ac:dyDescent="0.35">
      <c r="A48" s="1">
        <v>45867</v>
      </c>
      <c r="B48">
        <v>175.51</v>
      </c>
      <c r="C48">
        <v>297.42</v>
      </c>
      <c r="D48">
        <v>321.2</v>
      </c>
      <c r="E48">
        <v>762.95</v>
      </c>
      <c r="F48">
        <v>63.99</v>
      </c>
      <c r="G48" s="6"/>
      <c r="H48" s="10">
        <f t="shared" si="1"/>
        <v>-7.0155586987270535E-3</v>
      </c>
      <c r="I48" s="10">
        <f t="shared" si="6"/>
        <v>1.0601427115188633E-2</v>
      </c>
      <c r="J48" s="10">
        <f t="shared" si="7"/>
        <v>-1.3483215086458333E-2</v>
      </c>
      <c r="K48" s="10">
        <f t="shared" si="8"/>
        <v>-5.5883481209241248E-2</v>
      </c>
      <c r="L48" s="10">
        <f t="shared" si="9"/>
        <v>5.1837888784167507E-3</v>
      </c>
      <c r="M48" s="10">
        <f t="shared" si="2"/>
        <v>-2.9594179446209568E-3</v>
      </c>
      <c r="N48" s="1"/>
      <c r="O48" s="2">
        <v>6370.86</v>
      </c>
      <c r="P48" s="12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 ht="15" thickBot="1" x14ac:dyDescent="0.35">
      <c r="A49" s="1">
        <v>45866</v>
      </c>
      <c r="B49">
        <v>176.75</v>
      </c>
      <c r="C49">
        <v>294.3</v>
      </c>
      <c r="D49">
        <v>325.58999999999997</v>
      </c>
      <c r="E49">
        <v>808.11</v>
      </c>
      <c r="F49">
        <v>63.66</v>
      </c>
      <c r="G49" s="6"/>
      <c r="H49" s="10">
        <f t="shared" si="1"/>
        <v>1.8731988472622474E-2</v>
      </c>
      <c r="I49" s="10">
        <f t="shared" si="6"/>
        <v>1.4198083947894347E-2</v>
      </c>
      <c r="J49" s="10">
        <f t="shared" si="7"/>
        <v>3.0152502689362759E-2</v>
      </c>
      <c r="K49" s="10">
        <f t="shared" si="8"/>
        <v>-5.6356052123196498E-3</v>
      </c>
      <c r="L49" s="10">
        <f t="shared" si="9"/>
        <v>-3.1787072243346093E-2</v>
      </c>
      <c r="M49" s="10">
        <f t="shared" si="2"/>
        <v>1.7687645570885202E-4</v>
      </c>
      <c r="N49" s="1"/>
      <c r="O49" s="2">
        <v>6389.77</v>
      </c>
      <c r="P49" s="12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ht="15" thickBot="1" x14ac:dyDescent="0.35">
      <c r="A50" s="1">
        <v>45863</v>
      </c>
      <c r="B50">
        <v>173.5</v>
      </c>
      <c r="C50">
        <v>290.18</v>
      </c>
      <c r="D50">
        <v>316.06</v>
      </c>
      <c r="E50">
        <v>812.69</v>
      </c>
      <c r="F50">
        <v>65.75</v>
      </c>
      <c r="G50" s="6"/>
      <c r="H50" s="10">
        <f t="shared" si="1"/>
        <v>-1.3813744675953421E-3</v>
      </c>
      <c r="I50" s="10">
        <f t="shared" si="6"/>
        <v>5.0916144227772797E-3</v>
      </c>
      <c r="J50" s="10">
        <f t="shared" si="7"/>
        <v>3.5244022273173803E-2</v>
      </c>
      <c r="K50" s="10">
        <f t="shared" si="8"/>
        <v>9.0138187055364138E-3</v>
      </c>
      <c r="L50" s="10">
        <f t="shared" si="9"/>
        <v>6.8931880994960171E-2</v>
      </c>
      <c r="M50" s="10">
        <f t="shared" si="2"/>
        <v>3.9743217016194876E-3</v>
      </c>
      <c r="N50" s="1"/>
      <c r="O50" s="2">
        <v>6388.64</v>
      </c>
      <c r="P50" s="12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 ht="15" thickBot="1" x14ac:dyDescent="0.35">
      <c r="A51" s="1">
        <v>45862</v>
      </c>
      <c r="B51">
        <v>173.74</v>
      </c>
      <c r="C51">
        <v>288.70999999999998</v>
      </c>
      <c r="D51">
        <v>305.3</v>
      </c>
      <c r="E51">
        <v>805.43</v>
      </c>
      <c r="F51">
        <v>61.51</v>
      </c>
      <c r="G51" s="6"/>
      <c r="H51" s="10">
        <f t="shared" si="1"/>
        <v>1.73322403091698E-2</v>
      </c>
      <c r="I51" s="10">
        <f t="shared" si="6"/>
        <v>1.7695371708555063E-2</v>
      </c>
      <c r="J51" s="10">
        <f t="shared" si="7"/>
        <v>-8.1970170796247244E-2</v>
      </c>
      <c r="K51" s="10">
        <f t="shared" si="8"/>
        <v>8.1863585725192589E-3</v>
      </c>
      <c r="L51" s="10">
        <f t="shared" si="9"/>
        <v>1.4653207424291104E-3</v>
      </c>
      <c r="M51" s="10">
        <f t="shared" si="2"/>
        <v>6.9823287324410899E-4</v>
      </c>
      <c r="N51" s="1"/>
      <c r="O51" s="2">
        <v>6363.35</v>
      </c>
      <c r="P51" s="12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 ht="15" thickBot="1" x14ac:dyDescent="0.35">
      <c r="A52" s="1">
        <v>45861</v>
      </c>
      <c r="B52">
        <v>170.78</v>
      </c>
      <c r="C52">
        <v>283.69</v>
      </c>
      <c r="D52">
        <v>332.56</v>
      </c>
      <c r="E52">
        <v>798.89</v>
      </c>
      <c r="F52">
        <v>61.42</v>
      </c>
      <c r="G52" s="6"/>
      <c r="H52" s="10">
        <f t="shared" si="1"/>
        <v>2.2451056696401794E-2</v>
      </c>
      <c r="I52" s="10">
        <f t="shared" si="6"/>
        <v>1.8306471876234021E-2</v>
      </c>
      <c r="J52" s="10">
        <f t="shared" si="7"/>
        <v>1.3549727499924114E-3</v>
      </c>
      <c r="K52" s="10">
        <f t="shared" si="8"/>
        <v>2.8914017824944516E-2</v>
      </c>
      <c r="L52" s="10">
        <f t="shared" si="9"/>
        <v>-4.5380875202593041E-3</v>
      </c>
      <c r="M52" s="10">
        <f t="shared" si="2"/>
        <v>7.8118809056646477E-3</v>
      </c>
      <c r="N52" s="1"/>
      <c r="O52" s="2">
        <v>6358.91</v>
      </c>
      <c r="P52" s="12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 ht="15" thickBot="1" x14ac:dyDescent="0.35">
      <c r="A53" s="1">
        <v>45860</v>
      </c>
      <c r="B53">
        <v>167.03</v>
      </c>
      <c r="C53">
        <v>278.58999999999997</v>
      </c>
      <c r="D53">
        <v>332.11</v>
      </c>
      <c r="E53">
        <v>776.44</v>
      </c>
      <c r="F53">
        <v>61.7</v>
      </c>
      <c r="G53" s="6"/>
      <c r="H53" s="10">
        <f t="shared" si="1"/>
        <v>-2.5382191620959227E-2</v>
      </c>
      <c r="I53" s="10">
        <f t="shared" si="6"/>
        <v>-3.3378439332431231E-2</v>
      </c>
      <c r="J53" s="10">
        <f t="shared" si="7"/>
        <v>1.1020122378154529E-2</v>
      </c>
      <c r="K53" s="10">
        <f t="shared" si="8"/>
        <v>1.8709491196305494E-2</v>
      </c>
      <c r="L53" s="10">
        <f t="shared" si="9"/>
        <v>3.0738389575676539E-2</v>
      </c>
      <c r="M53" s="10">
        <f t="shared" si="2"/>
        <v>6.3752854605425568E-4</v>
      </c>
      <c r="N53" s="1"/>
      <c r="O53" s="2">
        <v>6309.62</v>
      </c>
      <c r="P53" s="12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ht="15" thickBot="1" x14ac:dyDescent="0.35">
      <c r="A54" s="1">
        <v>45859</v>
      </c>
      <c r="B54">
        <v>171.38</v>
      </c>
      <c r="C54">
        <v>288.20999999999998</v>
      </c>
      <c r="D54">
        <v>328.49</v>
      </c>
      <c r="E54">
        <v>762.18</v>
      </c>
      <c r="F54">
        <v>59.86</v>
      </c>
      <c r="G54" s="6"/>
      <c r="H54" s="10">
        <f t="shared" si="1"/>
        <v>-5.9741314308915383E-3</v>
      </c>
      <c r="I54" s="10">
        <f t="shared" si="6"/>
        <v>1.7187830874567656E-2</v>
      </c>
      <c r="J54" s="10">
        <f t="shared" si="7"/>
        <v>-3.5188836644926003E-3</v>
      </c>
      <c r="K54" s="10">
        <f t="shared" si="8"/>
        <v>-1.2349198533127881E-2</v>
      </c>
      <c r="L54" s="10">
        <f t="shared" si="9"/>
        <v>2.8699089190582505E-2</v>
      </c>
      <c r="M54" s="10">
        <f t="shared" si="2"/>
        <v>1.3991255862113583E-3</v>
      </c>
      <c r="N54" s="1"/>
      <c r="O54" s="2">
        <v>6305.6</v>
      </c>
      <c r="P54" s="12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ht="15" thickBot="1" x14ac:dyDescent="0.35">
      <c r="A55" s="1">
        <v>45856</v>
      </c>
      <c r="B55">
        <v>172.41</v>
      </c>
      <c r="C55">
        <v>283.33999999999997</v>
      </c>
      <c r="D55">
        <v>329.65</v>
      </c>
      <c r="E55">
        <v>771.71</v>
      </c>
      <c r="F55">
        <v>58.19</v>
      </c>
      <c r="G55" s="6"/>
      <c r="H55" s="10">
        <f t="shared" si="1"/>
        <v>-3.4104046242774411E-3</v>
      </c>
      <c r="I55" s="10">
        <f t="shared" si="6"/>
        <v>-1.0857043113981502E-2</v>
      </c>
      <c r="J55" s="10">
        <f t="shared" si="7"/>
        <v>3.205910898218578E-2</v>
      </c>
      <c r="K55" s="10">
        <f t="shared" si="8"/>
        <v>1.3407747866053921E-2</v>
      </c>
      <c r="L55" s="10">
        <f t="shared" si="9"/>
        <v>3.4488704949129367E-3</v>
      </c>
      <c r="M55" s="10">
        <f t="shared" si="2"/>
        <v>-9.0514120202667137E-5</v>
      </c>
      <c r="N55" s="1"/>
      <c r="O55" s="2">
        <v>6296.79</v>
      </c>
      <c r="P55" s="12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 ht="15" thickBot="1" x14ac:dyDescent="0.35">
      <c r="A56" s="1">
        <v>45855</v>
      </c>
      <c r="B56">
        <v>173</v>
      </c>
      <c r="C56">
        <v>286.45</v>
      </c>
      <c r="D56">
        <v>319.41000000000003</v>
      </c>
      <c r="E56">
        <v>761.5</v>
      </c>
      <c r="F56">
        <v>57.99</v>
      </c>
      <c r="G56" s="6"/>
      <c r="H56" s="10">
        <f t="shared" si="1"/>
        <v>9.5115831242340576E-3</v>
      </c>
      <c r="I56" s="10">
        <f t="shared" si="6"/>
        <v>2.00847548164238E-2</v>
      </c>
      <c r="J56" s="10">
        <f t="shared" si="7"/>
        <v>-7.0258339291821015E-3</v>
      </c>
      <c r="K56" s="10">
        <f t="shared" si="8"/>
        <v>-3.5831856166117948E-2</v>
      </c>
      <c r="L56" s="10">
        <f t="shared" si="9"/>
        <v>-7.8699743370401753E-3</v>
      </c>
      <c r="M56" s="10">
        <f t="shared" si="2"/>
        <v>5.3738205852771337E-3</v>
      </c>
      <c r="N56" s="1"/>
      <c r="O56" s="2">
        <v>6297.36</v>
      </c>
      <c r="P56" s="12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 ht="15" thickBot="1" x14ac:dyDescent="0.35">
      <c r="A57" s="1">
        <v>45854</v>
      </c>
      <c r="B57">
        <v>171.37</v>
      </c>
      <c r="C57">
        <v>280.81</v>
      </c>
      <c r="D57">
        <v>321.67</v>
      </c>
      <c r="E57">
        <v>789.8</v>
      </c>
      <c r="F57">
        <v>58.45</v>
      </c>
      <c r="G57" s="6"/>
      <c r="H57" s="10">
        <f t="shared" si="1"/>
        <v>3.9250146455771517E-3</v>
      </c>
      <c r="I57" s="10">
        <f t="shared" si="6"/>
        <v>-4.6273225599768875E-4</v>
      </c>
      <c r="J57" s="10">
        <f t="shared" si="7"/>
        <v>3.5040864920522719E-2</v>
      </c>
      <c r="K57" s="10">
        <f t="shared" si="8"/>
        <v>2.3388402980239587E-2</v>
      </c>
      <c r="L57" s="10">
        <f t="shared" si="9"/>
        <v>1.9180470793374038E-2</v>
      </c>
      <c r="M57" s="10">
        <f t="shared" si="2"/>
        <v>3.193588478737075E-3</v>
      </c>
      <c r="N57" s="1"/>
      <c r="O57" s="2">
        <v>6263.7</v>
      </c>
      <c r="P57" s="12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 ht="15" thickBot="1" x14ac:dyDescent="0.35">
      <c r="A58" s="1">
        <v>45853</v>
      </c>
      <c r="B58">
        <v>170.7</v>
      </c>
      <c r="C58">
        <v>280.94</v>
      </c>
      <c r="D58">
        <v>310.77999999999997</v>
      </c>
      <c r="E58">
        <v>771.75</v>
      </c>
      <c r="F58">
        <v>57.35</v>
      </c>
      <c r="G58" s="6"/>
      <c r="H58" s="10">
        <f t="shared" si="1"/>
        <v>4.0409581276284579E-2</v>
      </c>
      <c r="I58" s="10">
        <f t="shared" si="6"/>
        <v>1.9375907111756074E-2</v>
      </c>
      <c r="J58" s="10">
        <f t="shared" si="7"/>
        <v>-1.9312085831492576E-2</v>
      </c>
      <c r="K58" s="10">
        <f t="shared" si="8"/>
        <v>-3.4515975679936028E-2</v>
      </c>
      <c r="L58" s="10">
        <f t="shared" si="9"/>
        <v>-5.7053600789214065E-2</v>
      </c>
      <c r="M58" s="10">
        <f t="shared" si="2"/>
        <v>-3.9562515154996092E-3</v>
      </c>
      <c r="N58" s="1"/>
      <c r="O58" s="2">
        <v>6243.76</v>
      </c>
      <c r="P58" s="12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1:31" ht="15" thickBot="1" x14ac:dyDescent="0.35">
      <c r="A59" s="1">
        <v>45852</v>
      </c>
      <c r="B59">
        <v>164.07</v>
      </c>
      <c r="C59">
        <v>275.60000000000002</v>
      </c>
      <c r="D59">
        <v>316.89999999999998</v>
      </c>
      <c r="E59">
        <v>799.34</v>
      </c>
      <c r="F59">
        <v>60.82</v>
      </c>
      <c r="G59" s="6"/>
      <c r="H59" s="10">
        <f t="shared" si="1"/>
        <v>-5.1540140674265489E-3</v>
      </c>
      <c r="I59" s="10">
        <f t="shared" si="6"/>
        <v>4.4463882207159688E-3</v>
      </c>
      <c r="J59" s="10">
        <f t="shared" si="7"/>
        <v>1.0813052215240315E-2</v>
      </c>
      <c r="K59" s="10">
        <f t="shared" si="8"/>
        <v>7.9822448645037181E-3</v>
      </c>
      <c r="L59" s="10">
        <f t="shared" si="9"/>
        <v>1.1475137202727304E-2</v>
      </c>
      <c r="M59" s="10">
        <f t="shared" si="2"/>
        <v>1.4074044490595128E-3</v>
      </c>
      <c r="N59" s="1"/>
      <c r="O59" s="2">
        <v>6268.56</v>
      </c>
      <c r="P59" s="12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 ht="15" thickBot="1" x14ac:dyDescent="0.35">
      <c r="A60" s="1">
        <v>45849</v>
      </c>
      <c r="B60">
        <v>164.92</v>
      </c>
      <c r="C60">
        <v>274.38</v>
      </c>
      <c r="D60">
        <v>313.51</v>
      </c>
      <c r="E60">
        <v>793.01</v>
      </c>
      <c r="F60">
        <v>60.13</v>
      </c>
      <c r="G60" s="6"/>
      <c r="H60" s="10">
        <f t="shared" si="1"/>
        <v>4.9969530773918969E-3</v>
      </c>
      <c r="I60" s="10">
        <f t="shared" si="6"/>
        <v>-3.7037037037036535E-3</v>
      </c>
      <c r="J60" s="10">
        <f t="shared" si="7"/>
        <v>1.1746861587117241E-2</v>
      </c>
      <c r="K60" s="10">
        <f t="shared" si="8"/>
        <v>2.9848858534118339E-3</v>
      </c>
      <c r="L60" s="10">
        <f t="shared" si="9"/>
        <v>5.8548009367682674E-3</v>
      </c>
      <c r="M60" s="10">
        <f t="shared" si="2"/>
        <v>-3.2975291618766445E-3</v>
      </c>
      <c r="N60" s="1"/>
      <c r="O60" s="2">
        <v>6259.75</v>
      </c>
      <c r="P60" s="12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ht="15" thickBot="1" x14ac:dyDescent="0.35">
      <c r="A61" s="1">
        <v>45848</v>
      </c>
      <c r="B61">
        <v>164.1</v>
      </c>
      <c r="C61">
        <v>275.39999999999998</v>
      </c>
      <c r="D61">
        <v>309.87</v>
      </c>
      <c r="E61">
        <v>790.65</v>
      </c>
      <c r="F61">
        <v>59.78</v>
      </c>
      <c r="G61" s="6"/>
      <c r="H61" s="10">
        <f t="shared" si="1"/>
        <v>7.4901768172888072E-3</v>
      </c>
      <c r="I61" s="10">
        <f t="shared" si="6"/>
        <v>-8.9960417416337091E-3</v>
      </c>
      <c r="J61" s="10">
        <f t="shared" si="7"/>
        <v>4.7282682168446666E-2</v>
      </c>
      <c r="K61" s="10">
        <f t="shared" si="8"/>
        <v>4.7399989833782907E-3</v>
      </c>
      <c r="L61" s="10">
        <f t="shared" si="9"/>
        <v>1.7531914893617051E-2</v>
      </c>
      <c r="M61" s="10">
        <f t="shared" si="2"/>
        <v>2.7461737178402501E-3</v>
      </c>
      <c r="N61" s="1"/>
      <c r="O61" s="2">
        <v>6280.46</v>
      </c>
      <c r="P61" s="12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 ht="15" thickBot="1" x14ac:dyDescent="0.35">
      <c r="A62" s="1">
        <v>45847</v>
      </c>
      <c r="B62">
        <v>162.88</v>
      </c>
      <c r="C62">
        <v>277.89999999999998</v>
      </c>
      <c r="D62">
        <v>295.88</v>
      </c>
      <c r="E62">
        <v>786.92</v>
      </c>
      <c r="F62">
        <v>58.75</v>
      </c>
      <c r="G62" s="6"/>
      <c r="H62" s="10">
        <f t="shared" si="1"/>
        <v>1.8000000000000016E-2</v>
      </c>
      <c r="I62" s="10">
        <f t="shared" si="6"/>
        <v>2.2442972774098457E-2</v>
      </c>
      <c r="J62" s="10">
        <f t="shared" si="7"/>
        <v>-6.4806420200799186E-3</v>
      </c>
      <c r="K62" s="10">
        <f t="shared" si="8"/>
        <v>1.1907517424067038E-2</v>
      </c>
      <c r="L62" s="10">
        <f t="shared" si="9"/>
        <v>1.9788231209859397E-2</v>
      </c>
      <c r="M62" s="10">
        <f t="shared" si="2"/>
        <v>6.0621442064276998E-3</v>
      </c>
      <c r="N62" s="1"/>
      <c r="O62" s="2">
        <v>6263.26</v>
      </c>
      <c r="P62" s="12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 ht="15" thickBot="1" x14ac:dyDescent="0.35">
      <c r="A63" s="1">
        <v>45846</v>
      </c>
      <c r="B63">
        <v>160</v>
      </c>
      <c r="C63">
        <v>271.8</v>
      </c>
      <c r="D63">
        <v>297.81</v>
      </c>
      <c r="E63">
        <v>777.66</v>
      </c>
      <c r="F63">
        <v>57.61</v>
      </c>
      <c r="G63" s="6"/>
      <c r="H63" s="10">
        <f t="shared" si="1"/>
        <v>1.1122345803842304E-2</v>
      </c>
      <c r="I63" s="10">
        <f t="shared" si="6"/>
        <v>-8.680428915311067E-3</v>
      </c>
      <c r="J63" s="10">
        <f t="shared" si="7"/>
        <v>1.3165952235149936E-2</v>
      </c>
      <c r="K63" s="10">
        <f t="shared" si="8"/>
        <v>6.1976787816837575E-3</v>
      </c>
      <c r="L63" s="10">
        <f t="shared" si="9"/>
        <v>-4.2386968085106336E-2</v>
      </c>
      <c r="M63" s="10">
        <f t="shared" si="2"/>
        <v>-7.1589314893449885E-4</v>
      </c>
      <c r="N63" s="1"/>
      <c r="O63" s="2">
        <v>6225.52</v>
      </c>
      <c r="P63" s="12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 ht="15" thickBot="1" x14ac:dyDescent="0.35">
      <c r="A64" s="1">
        <v>45845</v>
      </c>
      <c r="B64">
        <v>158.24</v>
      </c>
      <c r="C64">
        <v>274.18</v>
      </c>
      <c r="D64">
        <v>293.94</v>
      </c>
      <c r="E64">
        <v>772.87</v>
      </c>
      <c r="F64">
        <v>60.16</v>
      </c>
      <c r="G64" s="6"/>
      <c r="H64" s="10">
        <f t="shared" si="1"/>
        <v>-6.9034768419731218E-3</v>
      </c>
      <c r="I64" s="10">
        <f t="shared" si="6"/>
        <v>-3.6339850279817343E-3</v>
      </c>
      <c r="J64" s="10">
        <f t="shared" si="7"/>
        <v>-6.789281750436027E-2</v>
      </c>
      <c r="K64" s="10">
        <f t="shared" si="8"/>
        <v>-9.9914176284473522E-3</v>
      </c>
      <c r="L64" s="10">
        <f t="shared" si="9"/>
        <v>4.3405676126877513E-3</v>
      </c>
      <c r="M64" s="10">
        <f t="shared" si="2"/>
        <v>-7.8622787390415505E-3</v>
      </c>
      <c r="N64" s="1"/>
      <c r="O64" s="2">
        <v>6229.98</v>
      </c>
      <c r="P64" s="12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 ht="15" thickBot="1" x14ac:dyDescent="0.35">
      <c r="A65" s="1">
        <v>45841</v>
      </c>
      <c r="B65">
        <v>159.34</v>
      </c>
      <c r="C65">
        <v>275.18</v>
      </c>
      <c r="D65">
        <v>315.35000000000002</v>
      </c>
      <c r="E65">
        <v>780.67</v>
      </c>
      <c r="F65">
        <v>59.9</v>
      </c>
      <c r="G65" s="6"/>
      <c r="H65" s="10">
        <f t="shared" si="1"/>
        <v>1.3290937996820462E-2</v>
      </c>
      <c r="I65" s="10">
        <f t="shared" si="6"/>
        <v>1.9562801037421362E-2</v>
      </c>
      <c r="J65" s="10">
        <f t="shared" si="7"/>
        <v>-9.5041976873100342E-4</v>
      </c>
      <c r="K65" s="10">
        <f t="shared" si="8"/>
        <v>1.7836977723026948E-3</v>
      </c>
      <c r="L65" s="10">
        <f t="shared" si="9"/>
        <v>-2.6640026640026848E-3</v>
      </c>
      <c r="M65" s="10">
        <f t="shared" si="2"/>
        <v>8.33892687501403E-3</v>
      </c>
      <c r="N65" s="1"/>
      <c r="O65" s="2">
        <v>6279.35</v>
      </c>
      <c r="P65" s="12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1:31" ht="15" thickBot="1" x14ac:dyDescent="0.35">
      <c r="A66" s="1">
        <v>45840</v>
      </c>
      <c r="B66">
        <v>157.25</v>
      </c>
      <c r="C66">
        <v>269.89999999999998</v>
      </c>
      <c r="D66">
        <v>315.64999999999998</v>
      </c>
      <c r="E66">
        <v>779.28</v>
      </c>
      <c r="F66">
        <v>60.06</v>
      </c>
      <c r="G66" s="6"/>
      <c r="H66" s="10">
        <f t="shared" si="1"/>
        <v>2.5766470971950284E-2</v>
      </c>
      <c r="I66" s="10">
        <f t="shared" si="6"/>
        <v>1.9490821183047347E-2</v>
      </c>
      <c r="J66" s="10">
        <f t="shared" si="7"/>
        <v>4.9682418276745022E-2</v>
      </c>
      <c r="K66" s="10">
        <f t="shared" si="8"/>
        <v>4.3562314731280249E-3</v>
      </c>
      <c r="L66" s="10">
        <f t="shared" si="9"/>
        <v>2.0907700152983155E-2</v>
      </c>
      <c r="M66" s="10">
        <f t="shared" si="2"/>
        <v>4.7450714019499074E-3</v>
      </c>
      <c r="N66" s="1"/>
      <c r="O66" s="2">
        <v>6227.42</v>
      </c>
      <c r="P66" s="12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 ht="15" thickBot="1" x14ac:dyDescent="0.35">
      <c r="A67" s="1">
        <v>45839</v>
      </c>
      <c r="B67">
        <v>153.30000000000001</v>
      </c>
      <c r="C67">
        <v>264.74</v>
      </c>
      <c r="D67">
        <v>300.70999999999998</v>
      </c>
      <c r="E67">
        <v>775.9</v>
      </c>
      <c r="F67">
        <v>58.83</v>
      </c>
      <c r="G67" s="6"/>
      <c r="H67" s="10">
        <f t="shared" si="1"/>
        <v>-2.9685423128046118E-2</v>
      </c>
      <c r="I67" s="10">
        <f t="shared" si="6"/>
        <v>-3.9579176491928103E-2</v>
      </c>
      <c r="J67" s="10">
        <f t="shared" si="7"/>
        <v>-5.3358937228483394E-2</v>
      </c>
      <c r="K67" s="10">
        <f t="shared" si="8"/>
        <v>-4.6566520852308058E-3</v>
      </c>
      <c r="L67" s="10">
        <f t="shared" si="9"/>
        <v>9.7837281153450029E-3</v>
      </c>
      <c r="M67" s="10">
        <f t="shared" si="2"/>
        <v>-1.1184618731818752E-3</v>
      </c>
      <c r="N67" s="1"/>
      <c r="O67" s="2">
        <v>6198.01</v>
      </c>
      <c r="P67" s="12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1:31" ht="15" thickBot="1" x14ac:dyDescent="0.35">
      <c r="A68" s="1">
        <v>45838</v>
      </c>
      <c r="B68">
        <v>157.99</v>
      </c>
      <c r="C68">
        <v>275.64999999999998</v>
      </c>
      <c r="D68">
        <v>317.66000000000003</v>
      </c>
      <c r="E68">
        <v>779.53</v>
      </c>
      <c r="F68">
        <v>58.26</v>
      </c>
      <c r="G68" s="6"/>
      <c r="H68" s="10">
        <f t="shared" ref="H68:H131" si="10">(B68/B69)-1</f>
        <v>1.5213946117274002E-3</v>
      </c>
      <c r="I68" s="10">
        <f t="shared" si="6"/>
        <v>2.3389641730090727E-2</v>
      </c>
      <c r="J68" s="10">
        <f t="shared" si="7"/>
        <v>-1.844699193523458E-2</v>
      </c>
      <c r="K68" s="10">
        <f t="shared" si="8"/>
        <v>5.2614610871106748E-3</v>
      </c>
      <c r="L68" s="10">
        <f t="shared" si="9"/>
        <v>2.6427061310782207E-2</v>
      </c>
      <c r="M68" s="10">
        <f t="shared" ref="M68:M131" si="11">(O68/O69)-1</f>
        <v>5.1643671625301035E-3</v>
      </c>
      <c r="N68" s="1"/>
      <c r="O68" s="2">
        <v>6204.95</v>
      </c>
      <c r="P68" s="12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ht="15" thickBot="1" x14ac:dyDescent="0.35">
      <c r="A69" s="1">
        <v>45835</v>
      </c>
      <c r="B69">
        <v>157.75</v>
      </c>
      <c r="C69">
        <v>269.35000000000002</v>
      </c>
      <c r="D69">
        <v>323.63</v>
      </c>
      <c r="E69">
        <v>775.45</v>
      </c>
      <c r="F69">
        <v>56.76</v>
      </c>
      <c r="G69" s="6"/>
      <c r="H69" s="10">
        <f t="shared" si="10"/>
        <v>1.7610630886337075E-2</v>
      </c>
      <c r="I69" s="10">
        <f t="shared" si="6"/>
        <v>-3.0351260317577067E-3</v>
      </c>
      <c r="J69" s="10">
        <f t="shared" si="7"/>
        <v>-6.5995457056908791E-3</v>
      </c>
      <c r="K69" s="10">
        <f t="shared" si="8"/>
        <v>-2.4738404266022695E-2</v>
      </c>
      <c r="L69" s="10">
        <f t="shared" si="9"/>
        <v>-4.1054232133806434E-2</v>
      </c>
      <c r="M69" s="10">
        <f t="shared" si="11"/>
        <v>5.2190027063907518E-3</v>
      </c>
      <c r="N69" s="1"/>
      <c r="O69" s="2">
        <v>6173.07</v>
      </c>
      <c r="P69" s="12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 ht="15" thickBot="1" x14ac:dyDescent="0.35">
      <c r="A70" s="1">
        <v>45834</v>
      </c>
      <c r="B70">
        <v>155.02000000000001</v>
      </c>
      <c r="C70">
        <v>270.17</v>
      </c>
      <c r="D70">
        <v>325.77999999999997</v>
      </c>
      <c r="E70">
        <v>795.12</v>
      </c>
      <c r="F70">
        <v>59.19</v>
      </c>
      <c r="G70" s="6"/>
      <c r="H70" s="10">
        <f t="shared" si="10"/>
        <v>4.6011276002850821E-3</v>
      </c>
      <c r="I70" s="10">
        <f t="shared" si="6"/>
        <v>2.0857736633289381E-2</v>
      </c>
      <c r="J70" s="10">
        <f t="shared" si="7"/>
        <v>-5.4037551518852922E-3</v>
      </c>
      <c r="K70" s="10">
        <f t="shared" si="8"/>
        <v>3.5592578568723887E-3</v>
      </c>
      <c r="L70" s="10">
        <f t="shared" si="9"/>
        <v>1.9462624870823175E-2</v>
      </c>
      <c r="M70" s="10">
        <f t="shared" si="11"/>
        <v>8.0201439226810223E-3</v>
      </c>
      <c r="N70" s="1"/>
      <c r="O70" s="2">
        <v>6141.02</v>
      </c>
      <c r="P70" s="12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 ht="15" thickBot="1" x14ac:dyDescent="0.35">
      <c r="A71" s="1">
        <v>45833</v>
      </c>
      <c r="B71">
        <v>154.31</v>
      </c>
      <c r="C71">
        <v>264.64999999999998</v>
      </c>
      <c r="D71">
        <v>327.55</v>
      </c>
      <c r="E71">
        <v>792.3</v>
      </c>
      <c r="F71">
        <v>58.06</v>
      </c>
      <c r="G71" s="6"/>
      <c r="H71" s="10">
        <f t="shared" si="10"/>
        <v>4.3340094658553152E-2</v>
      </c>
      <c r="I71" s="10">
        <f t="shared" si="6"/>
        <v>3.3362399059786441E-3</v>
      </c>
      <c r="J71" s="10">
        <f t="shared" si="7"/>
        <v>-3.7947543102182291E-2</v>
      </c>
      <c r="K71" s="10">
        <f t="shared" si="8"/>
        <v>1.827575570635398E-2</v>
      </c>
      <c r="L71" s="10">
        <f t="shared" si="9"/>
        <v>-5.1644000688588765E-4</v>
      </c>
      <c r="M71" s="10">
        <f t="shared" si="11"/>
        <v>-3.282897091061443E-6</v>
      </c>
      <c r="N71" s="1"/>
      <c r="O71" s="2">
        <v>6092.16</v>
      </c>
      <c r="P71" s="12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 ht="15" thickBot="1" x14ac:dyDescent="0.35">
      <c r="A72" s="1">
        <v>45832</v>
      </c>
      <c r="B72">
        <v>147.9</v>
      </c>
      <c r="C72">
        <v>263.77</v>
      </c>
      <c r="D72">
        <v>340.47</v>
      </c>
      <c r="E72">
        <v>778.08</v>
      </c>
      <c r="F72">
        <v>58.09</v>
      </c>
      <c r="G72" s="6"/>
      <c r="H72" s="10">
        <f t="shared" si="10"/>
        <v>2.5872234167996222E-2</v>
      </c>
      <c r="I72" s="10">
        <f t="shared" si="6"/>
        <v>3.9405761122276006E-2</v>
      </c>
      <c r="J72" s="10">
        <f t="shared" si="7"/>
        <v>-2.3545944705747335E-2</v>
      </c>
      <c r="K72" s="10">
        <f t="shared" si="8"/>
        <v>9.6543132980380086E-3</v>
      </c>
      <c r="L72" s="10">
        <f t="shared" si="9"/>
        <v>-2.3040699630003325E-2</v>
      </c>
      <c r="M72" s="10">
        <f t="shared" si="11"/>
        <v>1.1121677894565751E-2</v>
      </c>
      <c r="N72" s="1"/>
      <c r="O72" s="2">
        <v>6092.18</v>
      </c>
      <c r="P72" s="12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ht="15" thickBot="1" x14ac:dyDescent="0.35">
      <c r="A73" s="1">
        <v>45831</v>
      </c>
      <c r="B73">
        <v>144.16999999999999</v>
      </c>
      <c r="C73">
        <v>253.77</v>
      </c>
      <c r="D73">
        <v>348.68</v>
      </c>
      <c r="E73">
        <v>770.64</v>
      </c>
      <c r="F73">
        <v>59.46</v>
      </c>
      <c r="G73" s="6"/>
      <c r="H73" s="10">
        <f t="shared" si="10"/>
        <v>2.2245394508166871E-3</v>
      </c>
      <c r="I73" s="10">
        <f t="shared" si="6"/>
        <v>1.5120604824192974E-2</v>
      </c>
      <c r="J73" s="10">
        <f t="shared" si="7"/>
        <v>8.2319344425130225E-2</v>
      </c>
      <c r="K73" s="10">
        <f t="shared" si="8"/>
        <v>1.037064229806095E-2</v>
      </c>
      <c r="L73" s="10">
        <f t="shared" si="9"/>
        <v>2.1123132405976408E-2</v>
      </c>
      <c r="M73" s="10">
        <f t="shared" si="11"/>
        <v>9.6064907906379116E-3</v>
      </c>
      <c r="N73" s="1"/>
      <c r="O73" s="2">
        <v>6025.17</v>
      </c>
      <c r="P73" s="12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ht="15" thickBot="1" x14ac:dyDescent="0.35">
      <c r="A74" s="1">
        <v>45828</v>
      </c>
      <c r="B74">
        <v>143.85</v>
      </c>
      <c r="C74">
        <v>249.99</v>
      </c>
      <c r="D74">
        <v>322.16000000000003</v>
      </c>
      <c r="E74">
        <v>762.73</v>
      </c>
      <c r="F74">
        <v>58.23</v>
      </c>
      <c r="G74" s="6"/>
      <c r="H74" s="10">
        <f t="shared" si="10"/>
        <v>-1.1204289249381327E-2</v>
      </c>
      <c r="I74" s="10">
        <f t="shared" si="6"/>
        <v>-5.0545251930270707E-3</v>
      </c>
      <c r="J74" s="10">
        <f t="shared" si="7"/>
        <v>3.4156186927503107E-4</v>
      </c>
      <c r="K74" s="10">
        <f t="shared" si="8"/>
        <v>-2.8406557711170177E-2</v>
      </c>
      <c r="L74" s="10">
        <f t="shared" si="9"/>
        <v>-5.14933058702427E-4</v>
      </c>
      <c r="M74" s="10">
        <f t="shared" si="11"/>
        <v>-2.1786128105107938E-3</v>
      </c>
      <c r="N74" s="1"/>
      <c r="O74" s="2">
        <v>5967.84</v>
      </c>
      <c r="P74" s="12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 ht="15" thickBot="1" x14ac:dyDescent="0.35">
      <c r="A75" s="1">
        <v>45826</v>
      </c>
      <c r="B75">
        <v>145.47999999999999</v>
      </c>
      <c r="C75">
        <v>251.26</v>
      </c>
      <c r="D75">
        <v>322.05</v>
      </c>
      <c r="E75">
        <v>785.03</v>
      </c>
      <c r="F75">
        <v>58.26</v>
      </c>
      <c r="G75" s="6"/>
      <c r="H75" s="10">
        <f t="shared" si="10"/>
        <v>9.4365806272549424E-3</v>
      </c>
      <c r="I75" s="10">
        <f t="shared" si="6"/>
        <v>7.5790993303124221E-3</v>
      </c>
      <c r="J75" s="10">
        <f t="shared" si="7"/>
        <v>1.8018018018018056E-2</v>
      </c>
      <c r="K75" s="10">
        <f t="shared" si="8"/>
        <v>-7.8484404226277782E-3</v>
      </c>
      <c r="L75" s="10">
        <f t="shared" si="9"/>
        <v>-4.4429254955571373E-3</v>
      </c>
      <c r="M75" s="10">
        <f t="shared" si="11"/>
        <v>-3.0922389816012696E-4</v>
      </c>
      <c r="N75" s="1"/>
      <c r="O75" s="2">
        <v>5980.87</v>
      </c>
      <c r="P75" s="12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 ht="15" thickBot="1" x14ac:dyDescent="0.35">
      <c r="A76" s="1">
        <v>45825</v>
      </c>
      <c r="B76">
        <v>144.12</v>
      </c>
      <c r="C76">
        <v>249.37</v>
      </c>
      <c r="D76">
        <v>316.35000000000002</v>
      </c>
      <c r="E76">
        <v>791.24</v>
      </c>
      <c r="F76">
        <v>58.52</v>
      </c>
      <c r="G76" s="6"/>
      <c r="H76" s="10">
        <f t="shared" si="10"/>
        <v>-3.9394567696453553E-3</v>
      </c>
      <c r="I76" s="10">
        <f t="shared" si="6"/>
        <v>-1.0829036096786981E-2</v>
      </c>
      <c r="J76" s="10">
        <f t="shared" si="7"/>
        <v>-3.8829641782882063E-2</v>
      </c>
      <c r="K76" s="10">
        <f t="shared" si="8"/>
        <v>-2.023328958121795E-2</v>
      </c>
      <c r="L76" s="10">
        <f t="shared" si="9"/>
        <v>6.8823124569856731E-3</v>
      </c>
      <c r="M76" s="10">
        <f t="shared" si="11"/>
        <v>-8.3522428730786746E-3</v>
      </c>
      <c r="N76" s="1"/>
      <c r="O76" s="2">
        <v>5982.72</v>
      </c>
      <c r="P76" s="12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 ht="15" thickBot="1" x14ac:dyDescent="0.35">
      <c r="A77" s="1">
        <v>45824</v>
      </c>
      <c r="B77">
        <v>144.69</v>
      </c>
      <c r="C77">
        <v>252.1</v>
      </c>
      <c r="D77">
        <v>329.13</v>
      </c>
      <c r="E77">
        <v>807.58</v>
      </c>
      <c r="F77">
        <v>58.12</v>
      </c>
      <c r="G77" s="6"/>
      <c r="H77" s="10">
        <f t="shared" si="10"/>
        <v>1.9158977248714404E-2</v>
      </c>
      <c r="I77" s="10">
        <f t="shared" si="6"/>
        <v>1.3671089666264624E-2</v>
      </c>
      <c r="J77" s="10">
        <f t="shared" si="7"/>
        <v>1.1742645476622293E-2</v>
      </c>
      <c r="K77" s="10">
        <f t="shared" si="8"/>
        <v>-1.4377074790079991E-2</v>
      </c>
      <c r="L77" s="10">
        <f t="shared" si="9"/>
        <v>3.7996545768566037E-3</v>
      </c>
      <c r="M77" s="10">
        <f t="shared" si="11"/>
        <v>9.3927190532994143E-3</v>
      </c>
      <c r="N77" s="1"/>
      <c r="O77" s="2">
        <v>6033.11</v>
      </c>
      <c r="P77" s="12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 ht="15" thickBot="1" x14ac:dyDescent="0.35">
      <c r="A78" s="1">
        <v>45821</v>
      </c>
      <c r="B78">
        <v>141.97</v>
      </c>
      <c r="C78">
        <v>248.7</v>
      </c>
      <c r="D78">
        <v>325.31</v>
      </c>
      <c r="E78">
        <v>819.36</v>
      </c>
      <c r="F78">
        <v>57.9</v>
      </c>
      <c r="G78" s="6"/>
      <c r="H78" s="10">
        <f t="shared" si="10"/>
        <v>-2.0896551724137957E-2</v>
      </c>
      <c r="I78" s="10">
        <f t="shared" si="6"/>
        <v>-2.8781192642636788E-2</v>
      </c>
      <c r="J78" s="10">
        <f t="shared" si="7"/>
        <v>1.942903700918186E-2</v>
      </c>
      <c r="K78" s="10">
        <f t="shared" si="8"/>
        <v>9.0267600950704185E-3</v>
      </c>
      <c r="L78" s="10">
        <f t="shared" si="9"/>
        <v>3.5407725321888295E-2</v>
      </c>
      <c r="M78" s="10">
        <f t="shared" si="11"/>
        <v>-1.1296453750541779E-2</v>
      </c>
      <c r="N78" s="1"/>
      <c r="O78" s="2">
        <v>5976.97</v>
      </c>
      <c r="P78" s="12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 ht="15" thickBot="1" x14ac:dyDescent="0.35">
      <c r="A79" s="1">
        <v>45820</v>
      </c>
      <c r="B79">
        <v>145</v>
      </c>
      <c r="C79">
        <v>256.07</v>
      </c>
      <c r="D79">
        <v>319.11</v>
      </c>
      <c r="E79">
        <v>812.03</v>
      </c>
      <c r="F79">
        <v>55.92</v>
      </c>
      <c r="G79" s="6"/>
      <c r="H79" s="10">
        <f t="shared" si="10"/>
        <v>1.5192886648463189E-2</v>
      </c>
      <c r="I79" s="10">
        <f t="shared" si="6"/>
        <v>1.2494563283381499E-2</v>
      </c>
      <c r="J79" s="10">
        <f t="shared" si="7"/>
        <v>-2.2424409521183741E-2</v>
      </c>
      <c r="K79" s="10">
        <f t="shared" si="8"/>
        <v>4.2294802191413794E-3</v>
      </c>
      <c r="L79" s="10">
        <f t="shared" si="9"/>
        <v>4.8958919527293254E-2</v>
      </c>
      <c r="M79" s="10">
        <f t="shared" si="11"/>
        <v>3.8224979409655635E-3</v>
      </c>
      <c r="N79" s="1"/>
      <c r="O79" s="2">
        <v>6045.26</v>
      </c>
      <c r="P79" s="12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 ht="15" thickBot="1" x14ac:dyDescent="0.35">
      <c r="A80" s="1">
        <v>45819</v>
      </c>
      <c r="B80">
        <v>142.83000000000001</v>
      </c>
      <c r="C80">
        <v>252.91</v>
      </c>
      <c r="D80">
        <v>326.43</v>
      </c>
      <c r="E80">
        <v>808.61</v>
      </c>
      <c r="F80">
        <v>53.31</v>
      </c>
      <c r="G80" s="6"/>
      <c r="H80" s="10">
        <f t="shared" si="10"/>
        <v>-7.8494026118366422E-3</v>
      </c>
      <c r="I80" s="10">
        <f t="shared" si="6"/>
        <v>3.3847034296693002E-2</v>
      </c>
      <c r="J80" s="10">
        <f t="shared" si="7"/>
        <v>1.0426569352020021E-3</v>
      </c>
      <c r="K80" s="10">
        <f t="shared" si="8"/>
        <v>1.7591892862893754E-3</v>
      </c>
      <c r="L80" s="10">
        <f t="shared" si="9"/>
        <v>1.4269406392694028E-2</v>
      </c>
      <c r="M80" s="10">
        <f t="shared" si="11"/>
        <v>-2.7439180898224391E-3</v>
      </c>
      <c r="N80" s="1"/>
      <c r="O80" s="2">
        <v>6022.24</v>
      </c>
      <c r="P80" s="12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 ht="15" thickBot="1" x14ac:dyDescent="0.35">
      <c r="A81" s="1">
        <v>45818</v>
      </c>
      <c r="B81">
        <v>143.96</v>
      </c>
      <c r="C81">
        <v>244.63</v>
      </c>
      <c r="D81">
        <v>326.08999999999997</v>
      </c>
      <c r="E81">
        <v>807.19</v>
      </c>
      <c r="F81">
        <v>52.56</v>
      </c>
      <c r="G81" s="6"/>
      <c r="H81" s="10">
        <f t="shared" si="10"/>
        <v>9.3248264740939391E-3</v>
      </c>
      <c r="I81" s="10">
        <f t="shared" si="6"/>
        <v>1.4327820533812652E-3</v>
      </c>
      <c r="J81" s="10">
        <f t="shared" si="7"/>
        <v>5.674379415386599E-2</v>
      </c>
      <c r="K81" s="10">
        <f t="shared" si="8"/>
        <v>4.3272026986855616E-2</v>
      </c>
      <c r="L81" s="10">
        <f t="shared" si="9"/>
        <v>-1.3513513513513487E-2</v>
      </c>
      <c r="M81" s="10">
        <f t="shared" si="11"/>
        <v>5.4829600325014827E-3</v>
      </c>
      <c r="N81" s="1"/>
      <c r="O81" s="2">
        <v>6038.81</v>
      </c>
      <c r="P81" s="12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1:31" ht="15" thickBot="1" x14ac:dyDescent="0.35">
      <c r="A82" s="1">
        <v>45817</v>
      </c>
      <c r="B82">
        <v>142.63</v>
      </c>
      <c r="C82">
        <v>244.28</v>
      </c>
      <c r="D82">
        <v>308.58</v>
      </c>
      <c r="E82">
        <v>773.71</v>
      </c>
      <c r="F82">
        <v>53.28</v>
      </c>
      <c r="G82" s="6"/>
      <c r="H82" s="10">
        <f t="shared" si="10"/>
        <v>6.4211120519332976E-3</v>
      </c>
      <c r="I82" s="10">
        <f t="shared" si="6"/>
        <v>-1.0731786336208637E-2</v>
      </c>
      <c r="J82" s="10">
        <f t="shared" si="7"/>
        <v>4.5537710916853102E-2</v>
      </c>
      <c r="K82" s="10">
        <f t="shared" si="8"/>
        <v>4.9748012677302E-3</v>
      </c>
      <c r="L82" s="10">
        <f t="shared" si="9"/>
        <v>1.7570664629488197E-2</v>
      </c>
      <c r="M82" s="10">
        <f t="shared" si="11"/>
        <v>9.1994480331192285E-4</v>
      </c>
      <c r="N82" s="1"/>
      <c r="O82" s="2">
        <v>6005.88</v>
      </c>
      <c r="P82" s="12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 ht="15" thickBot="1" x14ac:dyDescent="0.35">
      <c r="A83" s="1">
        <v>45814</v>
      </c>
      <c r="B83">
        <v>141.72</v>
      </c>
      <c r="C83">
        <v>246.93</v>
      </c>
      <c r="D83">
        <v>295.14</v>
      </c>
      <c r="E83">
        <v>769.88</v>
      </c>
      <c r="F83">
        <v>52.36</v>
      </c>
      <c r="G83" s="6"/>
      <c r="H83" s="10">
        <f t="shared" si="10"/>
        <v>1.235802557325516E-2</v>
      </c>
      <c r="I83" s="10">
        <f t="shared" ref="I83:I146" si="12">(C83/C84)-1</f>
        <v>-5.0013465163697868E-2</v>
      </c>
      <c r="J83" s="10">
        <f t="shared" ref="J83:J146" si="13">(D83/D84)-1</f>
        <v>3.6670179135932512E-2</v>
      </c>
      <c r="K83" s="10">
        <f t="shared" ref="K83:K146" si="14">(E83/E84)-1</f>
        <v>5.485320238219682E-3</v>
      </c>
      <c r="L83" s="10">
        <f t="shared" ref="L83:L146" si="15">(F83/F84)-1</f>
        <v>-3.9442304164373443E-2</v>
      </c>
      <c r="M83" s="10">
        <f t="shared" si="11"/>
        <v>1.0280672806559643E-2</v>
      </c>
      <c r="N83" s="1"/>
      <c r="O83" s="2">
        <v>6000.36</v>
      </c>
      <c r="P83" s="12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1:31" ht="15" thickBot="1" x14ac:dyDescent="0.35">
      <c r="A84" s="1">
        <v>45813</v>
      </c>
      <c r="B84">
        <v>139.99</v>
      </c>
      <c r="C84">
        <v>259.93</v>
      </c>
      <c r="D84">
        <v>284.7</v>
      </c>
      <c r="E84">
        <v>765.68</v>
      </c>
      <c r="F84">
        <v>54.51</v>
      </c>
      <c r="G84" s="6"/>
      <c r="H84" s="10">
        <f t="shared" si="10"/>
        <v>-1.3599210822998753E-2</v>
      </c>
      <c r="I84" s="10">
        <f t="shared" si="12"/>
        <v>-4.4047801440170176E-3</v>
      </c>
      <c r="J84" s="10">
        <f t="shared" si="13"/>
        <v>-0.14259900617376908</v>
      </c>
      <c r="K84" s="10">
        <f t="shared" si="14"/>
        <v>-2.0892092343061108E-4</v>
      </c>
      <c r="L84" s="10">
        <f t="shared" si="15"/>
        <v>-1.3929088277858215E-2</v>
      </c>
      <c r="M84" s="10">
        <f t="shared" si="11"/>
        <v>-5.2773409302925289E-3</v>
      </c>
      <c r="N84" s="1"/>
      <c r="O84" s="2">
        <v>5939.3</v>
      </c>
      <c r="P84" s="12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 ht="15" thickBot="1" x14ac:dyDescent="0.35">
      <c r="A85" s="1">
        <v>45812</v>
      </c>
      <c r="B85">
        <v>141.91999999999999</v>
      </c>
      <c r="C85">
        <v>261.08</v>
      </c>
      <c r="D85">
        <v>332.05</v>
      </c>
      <c r="E85">
        <v>765.84</v>
      </c>
      <c r="F85">
        <v>55.28</v>
      </c>
      <c r="G85" s="6"/>
      <c r="H85" s="10">
        <f t="shared" si="10"/>
        <v>4.9568049851294038E-3</v>
      </c>
      <c r="I85" s="10">
        <f t="shared" si="12"/>
        <v>1.6468756083316993E-2</v>
      </c>
      <c r="J85" s="10">
        <f t="shared" si="13"/>
        <v>-3.5495396055421513E-2</v>
      </c>
      <c r="K85" s="10">
        <f t="shared" si="14"/>
        <v>2.0059138495964302E-2</v>
      </c>
      <c r="L85" s="10">
        <f t="shared" si="15"/>
        <v>-1.0842067220817597E-3</v>
      </c>
      <c r="M85" s="10">
        <f t="shared" si="11"/>
        <v>7.3697275043249633E-5</v>
      </c>
      <c r="N85" s="1"/>
      <c r="O85" s="2">
        <v>5970.81</v>
      </c>
      <c r="P85" s="12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1:31" ht="15" thickBot="1" x14ac:dyDescent="0.35">
      <c r="A86" s="1">
        <v>45811</v>
      </c>
      <c r="B86">
        <v>141.22</v>
      </c>
      <c r="C86">
        <v>256.85000000000002</v>
      </c>
      <c r="D86">
        <v>344.27</v>
      </c>
      <c r="E86">
        <v>750.78</v>
      </c>
      <c r="F86">
        <v>55.34</v>
      </c>
      <c r="G86" s="6"/>
      <c r="H86" s="10">
        <f t="shared" si="10"/>
        <v>2.795166690930273E-2</v>
      </c>
      <c r="I86" s="10">
        <f t="shared" si="12"/>
        <v>3.2728881026094614E-2</v>
      </c>
      <c r="J86" s="10">
        <f t="shared" si="13"/>
        <v>4.6105809915666374E-3</v>
      </c>
      <c r="K86" s="10">
        <f t="shared" si="14"/>
        <v>4.8988114359138635E-3</v>
      </c>
      <c r="L86" s="10">
        <f t="shared" si="15"/>
        <v>-4.318100035984096E-3</v>
      </c>
      <c r="M86" s="10">
        <f t="shared" si="11"/>
        <v>5.8002607843070653E-3</v>
      </c>
      <c r="N86" s="1"/>
      <c r="O86" s="2">
        <v>5970.37</v>
      </c>
      <c r="P86" s="12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1:31" ht="15" thickBot="1" x14ac:dyDescent="0.35">
      <c r="A87" s="1">
        <v>45810</v>
      </c>
      <c r="B87">
        <v>137.38</v>
      </c>
      <c r="C87">
        <v>248.71</v>
      </c>
      <c r="D87">
        <v>342.69</v>
      </c>
      <c r="E87">
        <v>747.12</v>
      </c>
      <c r="F87">
        <v>55.58</v>
      </c>
      <c r="G87" s="6"/>
      <c r="H87" s="10">
        <f t="shared" si="10"/>
        <v>1.6650632724043435E-2</v>
      </c>
      <c r="I87" s="10">
        <f t="shared" si="12"/>
        <v>2.7430082207625883E-2</v>
      </c>
      <c r="J87" s="10">
        <f t="shared" si="13"/>
        <v>-1.0881487040350968E-2</v>
      </c>
      <c r="K87" s="10">
        <f t="shared" si="14"/>
        <v>1.281060636870146E-2</v>
      </c>
      <c r="L87" s="10">
        <f t="shared" si="15"/>
        <v>5.4248861911987856E-2</v>
      </c>
      <c r="M87" s="10">
        <f t="shared" si="11"/>
        <v>4.1020418864994301E-3</v>
      </c>
      <c r="N87" s="1"/>
      <c r="O87" s="2">
        <v>5935.94</v>
      </c>
      <c r="P87" s="12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1:31" ht="15" thickBot="1" x14ac:dyDescent="0.35">
      <c r="A88" s="1">
        <v>45807</v>
      </c>
      <c r="B88">
        <v>135.13</v>
      </c>
      <c r="C88">
        <v>242.07</v>
      </c>
      <c r="D88">
        <v>346.46</v>
      </c>
      <c r="E88">
        <v>737.67</v>
      </c>
      <c r="F88">
        <v>52.72</v>
      </c>
      <c r="G88" s="6"/>
      <c r="H88" s="10">
        <f t="shared" si="10"/>
        <v>-2.9168762123715775E-2</v>
      </c>
      <c r="I88" s="10">
        <f t="shared" si="12"/>
        <v>4.1327437285620938E-4</v>
      </c>
      <c r="J88" s="10">
        <f t="shared" si="13"/>
        <v>-3.3395642105850554E-2</v>
      </c>
      <c r="K88" s="10">
        <f t="shared" si="14"/>
        <v>2.0897629295431486E-2</v>
      </c>
      <c r="L88" s="10">
        <f t="shared" si="15"/>
        <v>3.8080731150036407E-3</v>
      </c>
      <c r="M88" s="10">
        <f t="shared" si="11"/>
        <v>-8.118846379590039E-5</v>
      </c>
      <c r="N88" s="1"/>
      <c r="O88" s="2">
        <v>5911.69</v>
      </c>
      <c r="P88" s="12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 ht="15" thickBot="1" x14ac:dyDescent="0.35">
      <c r="A89" s="1">
        <v>45806</v>
      </c>
      <c r="B89">
        <v>139.19</v>
      </c>
      <c r="C89">
        <v>241.97</v>
      </c>
      <c r="D89">
        <v>358.43</v>
      </c>
      <c r="E89">
        <v>722.57</v>
      </c>
      <c r="F89">
        <v>52.52</v>
      </c>
      <c r="G89" s="6"/>
      <c r="H89" s="10">
        <f t="shared" si="10"/>
        <v>3.2490171352273611E-2</v>
      </c>
      <c r="I89" s="10">
        <f t="shared" si="12"/>
        <v>1.0608528588731625E-2</v>
      </c>
      <c r="J89" s="10">
        <f t="shared" si="13"/>
        <v>4.2869151022695284E-3</v>
      </c>
      <c r="K89" s="10">
        <f t="shared" si="14"/>
        <v>4.4204117377222296E-3</v>
      </c>
      <c r="L89" s="10">
        <f t="shared" si="15"/>
        <v>-6.2440870387889813E-3</v>
      </c>
      <c r="M89" s="10">
        <f t="shared" si="11"/>
        <v>4.0111742279509421E-3</v>
      </c>
      <c r="N89" s="1"/>
      <c r="O89" s="2">
        <v>5912.17</v>
      </c>
      <c r="P89" s="12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1:31" ht="15" thickBot="1" x14ac:dyDescent="0.35">
      <c r="A90" s="1">
        <v>45805</v>
      </c>
      <c r="B90">
        <v>134.81</v>
      </c>
      <c r="C90">
        <v>239.43</v>
      </c>
      <c r="D90">
        <v>356.9</v>
      </c>
      <c r="E90">
        <v>719.39</v>
      </c>
      <c r="F90">
        <v>52.85</v>
      </c>
      <c r="G90" s="6"/>
      <c r="H90" s="10">
        <f t="shared" si="10"/>
        <v>-5.0922509225092005E-3</v>
      </c>
      <c r="I90" s="10">
        <f t="shared" si="12"/>
        <v>1.604073838319553E-2</v>
      </c>
      <c r="J90" s="10">
        <f t="shared" si="13"/>
        <v>-1.6506379343602773E-2</v>
      </c>
      <c r="K90" s="10">
        <f t="shared" si="14"/>
        <v>-8.0389399078900636E-3</v>
      </c>
      <c r="L90" s="10">
        <f t="shared" si="15"/>
        <v>2.6560424966799445E-3</v>
      </c>
      <c r="M90" s="10">
        <f t="shared" si="11"/>
        <v>-5.571185873944895E-3</v>
      </c>
      <c r="N90" s="1"/>
      <c r="O90" s="2">
        <v>5888.55</v>
      </c>
      <c r="P90" s="12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 ht="15" thickBot="1" x14ac:dyDescent="0.35">
      <c r="A91" s="1">
        <v>45804</v>
      </c>
      <c r="B91">
        <v>135.5</v>
      </c>
      <c r="C91">
        <v>235.65</v>
      </c>
      <c r="D91">
        <v>362.89</v>
      </c>
      <c r="E91">
        <v>725.22</v>
      </c>
      <c r="F91">
        <v>52.71</v>
      </c>
      <c r="G91" s="6"/>
      <c r="H91" s="10">
        <f t="shared" si="10"/>
        <v>3.2066417853606533E-2</v>
      </c>
      <c r="I91" s="10">
        <f t="shared" si="12"/>
        <v>3.0299055613850934E-2</v>
      </c>
      <c r="J91" s="10">
        <f t="shared" si="13"/>
        <v>6.9399422408204181E-2</v>
      </c>
      <c r="K91" s="10">
        <f t="shared" si="14"/>
        <v>1.6126998360678657E-2</v>
      </c>
      <c r="L91" s="10">
        <f t="shared" si="15"/>
        <v>-1.7520969245107154E-2</v>
      </c>
      <c r="M91" s="10">
        <f t="shared" si="11"/>
        <v>2.0459018201495205E-2</v>
      </c>
      <c r="N91" s="1"/>
      <c r="O91" s="2">
        <v>5921.54</v>
      </c>
      <c r="P91" s="12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1:31" ht="15" thickBot="1" x14ac:dyDescent="0.35">
      <c r="A92" s="1">
        <v>45800</v>
      </c>
      <c r="B92">
        <v>131.29</v>
      </c>
      <c r="C92">
        <v>228.72</v>
      </c>
      <c r="D92">
        <v>339.34</v>
      </c>
      <c r="E92">
        <v>713.71</v>
      </c>
      <c r="F92">
        <v>53.65</v>
      </c>
      <c r="G92" s="6"/>
      <c r="H92" s="10">
        <f t="shared" si="10"/>
        <v>-1.1593766468418476E-2</v>
      </c>
      <c r="I92" s="10">
        <f t="shared" si="12"/>
        <v>-7.8514726933588408E-3</v>
      </c>
      <c r="J92" s="10">
        <f t="shared" si="13"/>
        <v>-4.9847525216984989E-3</v>
      </c>
      <c r="K92" s="10">
        <f t="shared" si="14"/>
        <v>-2.0833333333333259E-3</v>
      </c>
      <c r="L92" s="10">
        <f t="shared" si="15"/>
        <v>1.8993352326685642E-2</v>
      </c>
      <c r="M92" s="10">
        <f t="shared" si="11"/>
        <v>-6.708307585916562E-3</v>
      </c>
      <c r="N92" s="1"/>
      <c r="O92" s="2">
        <v>5802.82</v>
      </c>
      <c r="P92" s="12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 ht="15" thickBot="1" x14ac:dyDescent="0.35">
      <c r="A93" s="1">
        <v>45799</v>
      </c>
      <c r="B93">
        <v>132.83000000000001</v>
      </c>
      <c r="C93">
        <v>230.53</v>
      </c>
      <c r="D93">
        <v>341.04</v>
      </c>
      <c r="E93">
        <v>715.2</v>
      </c>
      <c r="F93">
        <v>52.65</v>
      </c>
      <c r="G93" s="6"/>
      <c r="H93" s="10">
        <f t="shared" si="10"/>
        <v>7.8148710166918711E-3</v>
      </c>
      <c r="I93" s="10">
        <f t="shared" si="12"/>
        <v>3.4823488442954353E-3</v>
      </c>
      <c r="J93" s="10">
        <f t="shared" si="13"/>
        <v>1.9185942262865296E-2</v>
      </c>
      <c r="K93" s="10">
        <f t="shared" si="14"/>
        <v>-1.3449203393337439E-2</v>
      </c>
      <c r="L93" s="10">
        <f t="shared" si="15"/>
        <v>1.8996960486328263E-4</v>
      </c>
      <c r="M93" s="10">
        <f t="shared" si="11"/>
        <v>-4.4485431876539749E-4</v>
      </c>
      <c r="N93" s="1"/>
      <c r="O93" s="2">
        <v>5842.01</v>
      </c>
      <c r="P93" s="12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1:31" ht="15" thickBot="1" x14ac:dyDescent="0.35">
      <c r="A94" s="1">
        <v>45798</v>
      </c>
      <c r="B94">
        <v>131.80000000000001</v>
      </c>
      <c r="C94">
        <v>229.73</v>
      </c>
      <c r="D94">
        <v>334.62</v>
      </c>
      <c r="E94">
        <v>724.95</v>
      </c>
      <c r="F94">
        <v>52.64</v>
      </c>
      <c r="G94" s="6"/>
      <c r="H94" s="10">
        <f t="shared" si="10"/>
        <v>-1.9199285607977234E-2</v>
      </c>
      <c r="I94" s="10">
        <f t="shared" si="12"/>
        <v>-8.4167817679559054E-3</v>
      </c>
      <c r="J94" s="10">
        <f t="shared" si="13"/>
        <v>-2.675818742365188E-2</v>
      </c>
      <c r="K94" s="10">
        <f t="shared" si="14"/>
        <v>-2.9531063841180094E-2</v>
      </c>
      <c r="L94" s="10">
        <f t="shared" si="15"/>
        <v>6.5009560229445373E-3</v>
      </c>
      <c r="M94" s="10">
        <f t="shared" si="11"/>
        <v>-1.6135114115741978E-2</v>
      </c>
      <c r="N94" s="1"/>
      <c r="O94" s="2">
        <v>5844.61</v>
      </c>
      <c r="P94" s="12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1:31" ht="15" thickBot="1" x14ac:dyDescent="0.35">
      <c r="A95" s="1">
        <v>45797</v>
      </c>
      <c r="B95">
        <v>134.38</v>
      </c>
      <c r="C95">
        <v>231.68</v>
      </c>
      <c r="D95">
        <v>343.82</v>
      </c>
      <c r="E95">
        <v>747.01</v>
      </c>
      <c r="F95">
        <v>52.3</v>
      </c>
      <c r="G95" s="6"/>
      <c r="H95" s="10">
        <f t="shared" si="10"/>
        <v>-8.7777531902337724E-3</v>
      </c>
      <c r="I95" s="10">
        <f t="shared" si="12"/>
        <v>4.5527468239170421E-3</v>
      </c>
      <c r="J95" s="10">
        <f t="shared" si="13"/>
        <v>5.0571487035575569E-3</v>
      </c>
      <c r="K95" s="10">
        <f t="shared" si="14"/>
        <v>-1.0726913959555606E-2</v>
      </c>
      <c r="L95" s="10">
        <f t="shared" si="15"/>
        <v>2.6899666208521467E-2</v>
      </c>
      <c r="M95" s="10">
        <f t="shared" si="11"/>
        <v>-3.8802065866255786E-3</v>
      </c>
      <c r="N95" s="1"/>
      <c r="O95" s="2">
        <v>5940.46</v>
      </c>
      <c r="P95" s="12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1:31" ht="15" thickBot="1" x14ac:dyDescent="0.35">
      <c r="A96" s="1">
        <v>45796</v>
      </c>
      <c r="B96">
        <v>135.57</v>
      </c>
      <c r="C96">
        <v>230.63</v>
      </c>
      <c r="D96">
        <v>342.09</v>
      </c>
      <c r="E96">
        <v>755.11</v>
      </c>
      <c r="F96">
        <v>50.93</v>
      </c>
      <c r="G96" s="6"/>
      <c r="H96" s="10">
        <f t="shared" si="10"/>
        <v>1.2555391432791385E-3</v>
      </c>
      <c r="I96" s="10">
        <f t="shared" si="12"/>
        <v>8.8360089234940098E-3</v>
      </c>
      <c r="J96" s="10">
        <f t="shared" si="13"/>
        <v>-2.2544145379736147E-2</v>
      </c>
      <c r="K96" s="10">
        <f t="shared" si="14"/>
        <v>-3.010338134910695E-3</v>
      </c>
      <c r="L96" s="10">
        <f t="shared" si="15"/>
        <v>1.6566866267464953E-2</v>
      </c>
      <c r="M96" s="10">
        <f t="shared" si="11"/>
        <v>8.76077054501323E-4</v>
      </c>
      <c r="N96" s="1"/>
      <c r="O96" s="2">
        <v>5963.6</v>
      </c>
      <c r="P96" s="12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 ht="15" thickBot="1" x14ac:dyDescent="0.35">
      <c r="A97" s="1">
        <v>45793</v>
      </c>
      <c r="B97">
        <v>135.4</v>
      </c>
      <c r="C97">
        <v>228.61</v>
      </c>
      <c r="D97">
        <v>349.98</v>
      </c>
      <c r="E97">
        <v>757.39</v>
      </c>
      <c r="F97">
        <v>50.1</v>
      </c>
      <c r="G97" s="6"/>
      <c r="H97" s="10">
        <f t="shared" si="10"/>
        <v>4.2275457984126685E-3</v>
      </c>
      <c r="I97" s="10">
        <f t="shared" si="12"/>
        <v>-1.7322902338376744E-2</v>
      </c>
      <c r="J97" s="10">
        <f t="shared" si="13"/>
        <v>2.0885595939560186E-2</v>
      </c>
      <c r="K97" s="10">
        <f t="shared" si="14"/>
        <v>3.2865578420543162E-2</v>
      </c>
      <c r="L97" s="10">
        <f t="shared" si="15"/>
        <v>5.2166934189405989E-3</v>
      </c>
      <c r="M97" s="10">
        <f t="shared" si="11"/>
        <v>7.0053220166539365E-3</v>
      </c>
      <c r="N97" s="1"/>
      <c r="O97" s="2">
        <v>5958.38</v>
      </c>
      <c r="P97" s="12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1:31" ht="15" thickBot="1" x14ac:dyDescent="0.35">
      <c r="A98" s="1">
        <v>45792</v>
      </c>
      <c r="B98">
        <v>134.83000000000001</v>
      </c>
      <c r="C98">
        <v>232.64</v>
      </c>
      <c r="D98">
        <v>342.82</v>
      </c>
      <c r="E98">
        <v>733.29</v>
      </c>
      <c r="F98">
        <v>49.84</v>
      </c>
      <c r="G98" s="6"/>
      <c r="H98" s="10">
        <f t="shared" si="10"/>
        <v>-3.7682872764888131E-3</v>
      </c>
      <c r="I98" s="10">
        <f t="shared" si="12"/>
        <v>2.2402205755642779E-3</v>
      </c>
      <c r="J98" s="10">
        <f t="shared" si="13"/>
        <v>-1.3978370915784688E-2</v>
      </c>
      <c r="K98" s="10">
        <f t="shared" si="14"/>
        <v>2.4777796411202369E-2</v>
      </c>
      <c r="L98" s="10">
        <f t="shared" si="15"/>
        <v>2.4249897246198193E-2</v>
      </c>
      <c r="M98" s="10">
        <f t="shared" si="11"/>
        <v>4.1323155561741043E-3</v>
      </c>
      <c r="N98" s="1"/>
      <c r="O98" s="2">
        <v>5916.93</v>
      </c>
      <c r="P98" s="12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1:31" ht="15" thickBot="1" x14ac:dyDescent="0.35">
      <c r="A99" s="1">
        <v>45791</v>
      </c>
      <c r="B99">
        <v>135.34</v>
      </c>
      <c r="C99">
        <v>232.12</v>
      </c>
      <c r="D99">
        <v>347.68</v>
      </c>
      <c r="E99">
        <v>715.56</v>
      </c>
      <c r="F99">
        <v>48.66</v>
      </c>
      <c r="G99" s="6"/>
      <c r="H99" s="10">
        <f t="shared" si="10"/>
        <v>4.1637804971907943E-2</v>
      </c>
      <c r="I99" s="10">
        <f t="shared" si="12"/>
        <v>-1.2907667154289371E-3</v>
      </c>
      <c r="J99" s="10">
        <f t="shared" si="13"/>
        <v>4.0739964678061513E-2</v>
      </c>
      <c r="K99" s="10">
        <f t="shared" si="14"/>
        <v>-4.0881430447953226E-2</v>
      </c>
      <c r="L99" s="10">
        <f t="shared" si="15"/>
        <v>-2.8160575194727477E-2</v>
      </c>
      <c r="M99" s="10">
        <f t="shared" si="11"/>
        <v>1.024369112638146E-3</v>
      </c>
      <c r="N99" s="1"/>
      <c r="O99" s="2">
        <v>5892.58</v>
      </c>
      <c r="P99" s="12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1:31" ht="15" thickBot="1" x14ac:dyDescent="0.35">
      <c r="A100" s="1">
        <v>45790</v>
      </c>
      <c r="B100">
        <v>129.93</v>
      </c>
      <c r="C100">
        <v>232.42</v>
      </c>
      <c r="D100">
        <v>334.07</v>
      </c>
      <c r="E100">
        <v>746.06</v>
      </c>
      <c r="F100">
        <v>50.07</v>
      </c>
      <c r="G100" s="6"/>
      <c r="H100" s="10">
        <f t="shared" si="10"/>
        <v>5.6341463414634196E-2</v>
      </c>
      <c r="I100" s="10">
        <f t="shared" si="12"/>
        <v>4.892138279628111E-2</v>
      </c>
      <c r="J100" s="10">
        <f t="shared" si="13"/>
        <v>4.9280733714429203E-2</v>
      </c>
      <c r="K100" s="10">
        <f t="shared" si="14"/>
        <v>-1.2586524081157457E-2</v>
      </c>
      <c r="L100" s="10">
        <f t="shared" si="15"/>
        <v>-1.3981882630957121E-2</v>
      </c>
      <c r="M100" s="10">
        <f t="shared" si="11"/>
        <v>7.2482243048224149E-3</v>
      </c>
      <c r="N100" s="1"/>
      <c r="O100" s="2">
        <v>5886.55</v>
      </c>
      <c r="P100" s="12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 ht="15" thickBot="1" x14ac:dyDescent="0.35">
      <c r="A101" s="1">
        <v>45789</v>
      </c>
      <c r="B101">
        <v>123</v>
      </c>
      <c r="C101">
        <v>221.58</v>
      </c>
      <c r="D101">
        <v>318.38</v>
      </c>
      <c r="E101">
        <v>755.57</v>
      </c>
      <c r="F101">
        <v>50.78</v>
      </c>
      <c r="G101" s="6"/>
      <c r="H101" s="10">
        <f t="shared" si="10"/>
        <v>5.4436348049721417E-2</v>
      </c>
      <c r="I101" s="10">
        <f t="shared" si="12"/>
        <v>6.4265129682997246E-2</v>
      </c>
      <c r="J101" s="10">
        <f t="shared" si="13"/>
        <v>6.7457922617850219E-2</v>
      </c>
      <c r="K101" s="10">
        <f t="shared" si="14"/>
        <v>2.8588153613678724E-2</v>
      </c>
      <c r="L101" s="10">
        <f t="shared" si="15"/>
        <v>-5.9281215264912812E-2</v>
      </c>
      <c r="M101" s="10">
        <f t="shared" si="11"/>
        <v>3.2558821606703869E-2</v>
      </c>
      <c r="N101" s="1"/>
      <c r="O101" s="2">
        <v>5844.19</v>
      </c>
      <c r="P101" s="12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 ht="15" thickBot="1" x14ac:dyDescent="0.35">
      <c r="A102" s="1">
        <v>45786</v>
      </c>
      <c r="B102">
        <v>116.65</v>
      </c>
      <c r="C102">
        <v>208.2</v>
      </c>
      <c r="D102">
        <v>298.26</v>
      </c>
      <c r="E102">
        <v>734.57</v>
      </c>
      <c r="F102">
        <v>53.98</v>
      </c>
      <c r="G102" s="6"/>
      <c r="H102" s="10">
        <f t="shared" si="10"/>
        <v>-6.1344466217942983E-3</v>
      </c>
      <c r="I102" s="10">
        <f t="shared" si="12"/>
        <v>2.0695961880925484E-3</v>
      </c>
      <c r="J102" s="10">
        <f t="shared" si="13"/>
        <v>4.7187697493153546E-2</v>
      </c>
      <c r="K102" s="10">
        <f t="shared" si="14"/>
        <v>-2.2463237740368625E-2</v>
      </c>
      <c r="L102" s="10">
        <f t="shared" si="15"/>
        <v>2.1767934885481788E-2</v>
      </c>
      <c r="M102" s="10">
        <f t="shared" si="11"/>
        <v>-7.1151883671083382E-4</v>
      </c>
      <c r="N102" s="1"/>
      <c r="O102" s="2">
        <v>5659.91</v>
      </c>
      <c r="P102" s="12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 ht="15" thickBot="1" x14ac:dyDescent="0.35">
      <c r="A103" s="1">
        <v>45785</v>
      </c>
      <c r="B103">
        <v>117.37</v>
      </c>
      <c r="C103">
        <v>207.77</v>
      </c>
      <c r="D103">
        <v>284.82</v>
      </c>
      <c r="E103">
        <v>751.45</v>
      </c>
      <c r="F103">
        <v>52.83</v>
      </c>
      <c r="G103" s="6"/>
      <c r="H103" s="10">
        <f t="shared" si="10"/>
        <v>2.6482145908082177E-3</v>
      </c>
      <c r="I103" s="10">
        <f t="shared" si="12"/>
        <v>1.445241931546315E-2</v>
      </c>
      <c r="J103" s="10">
        <f t="shared" si="13"/>
        <v>3.1134602852798343E-2</v>
      </c>
      <c r="K103" s="10">
        <f t="shared" si="14"/>
        <v>-3.2534246575342429E-2</v>
      </c>
      <c r="L103" s="10">
        <f t="shared" si="15"/>
        <v>-2.1485460270420531E-2</v>
      </c>
      <c r="M103" s="10">
        <f t="shared" si="11"/>
        <v>5.7997471267632328E-3</v>
      </c>
      <c r="N103" s="1"/>
      <c r="O103" s="2">
        <v>5663.94</v>
      </c>
      <c r="P103" s="12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1:31" ht="15" thickBot="1" x14ac:dyDescent="0.35">
      <c r="A104" s="1">
        <v>45784</v>
      </c>
      <c r="B104">
        <v>117.06</v>
      </c>
      <c r="C104">
        <v>204.81</v>
      </c>
      <c r="D104">
        <v>276.22000000000003</v>
      </c>
      <c r="E104">
        <v>776.72</v>
      </c>
      <c r="F104">
        <v>53.99</v>
      </c>
      <c r="G104" s="6"/>
      <c r="H104" s="10">
        <f t="shared" si="10"/>
        <v>3.1002289941870709E-2</v>
      </c>
      <c r="I104" s="10">
        <f t="shared" si="12"/>
        <v>2.3589384776850464E-2</v>
      </c>
      <c r="J104" s="10">
        <f t="shared" si="13"/>
        <v>3.1596150354094021E-3</v>
      </c>
      <c r="K104" s="10">
        <f t="shared" si="14"/>
        <v>2.0641965115080207E-3</v>
      </c>
      <c r="L104" s="10">
        <f t="shared" si="15"/>
        <v>-1.1353232008789571E-2</v>
      </c>
      <c r="M104" s="10">
        <f t="shared" si="11"/>
        <v>4.3464225393308187E-3</v>
      </c>
      <c r="N104" s="1"/>
      <c r="O104" s="2">
        <v>5631.28</v>
      </c>
      <c r="P104" s="12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1:31" ht="15" thickBot="1" x14ac:dyDescent="0.35">
      <c r="A105" s="1">
        <v>45783</v>
      </c>
      <c r="B105">
        <v>113.54</v>
      </c>
      <c r="C105">
        <v>200.09</v>
      </c>
      <c r="D105">
        <v>275.35000000000002</v>
      </c>
      <c r="E105">
        <v>775.12</v>
      </c>
      <c r="F105">
        <v>54.61</v>
      </c>
      <c r="G105" s="6"/>
      <c r="H105" s="10">
        <f t="shared" si="10"/>
        <v>-2.4600246002458581E-3</v>
      </c>
      <c r="I105" s="10">
        <f t="shared" si="12"/>
        <v>-3.138700677560724E-3</v>
      </c>
      <c r="J105" s="10">
        <f t="shared" si="13"/>
        <v>-1.7519446228501989E-2</v>
      </c>
      <c r="K105" s="10">
        <f t="shared" si="14"/>
        <v>-5.6411754680690485E-2</v>
      </c>
      <c r="L105" s="10">
        <f t="shared" si="15"/>
        <v>2.9600301659125083E-2</v>
      </c>
      <c r="M105" s="10">
        <f t="shared" si="11"/>
        <v>-7.6932878850626274E-3</v>
      </c>
      <c r="N105" s="1"/>
      <c r="O105" s="2">
        <v>5606.91</v>
      </c>
      <c r="P105" s="12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1:31" ht="15" thickBot="1" x14ac:dyDescent="0.35">
      <c r="A106" s="1">
        <v>45782</v>
      </c>
      <c r="B106">
        <v>113.82</v>
      </c>
      <c r="C106">
        <v>200.72</v>
      </c>
      <c r="D106">
        <v>280.26</v>
      </c>
      <c r="E106">
        <v>821.46</v>
      </c>
      <c r="F106">
        <v>53.04</v>
      </c>
      <c r="G106" s="6"/>
      <c r="H106" s="10">
        <f t="shared" si="10"/>
        <v>-5.9388646288209834E-3</v>
      </c>
      <c r="I106" s="10">
        <f t="shared" si="12"/>
        <v>-1.4339029660184632E-2</v>
      </c>
      <c r="J106" s="10">
        <f t="shared" si="13"/>
        <v>-2.4198321785453114E-2</v>
      </c>
      <c r="K106" s="10">
        <f t="shared" si="14"/>
        <v>-2.6225686603045251E-3</v>
      </c>
      <c r="L106" s="10">
        <f t="shared" si="15"/>
        <v>2.9303318455268679E-2</v>
      </c>
      <c r="M106" s="10">
        <f t="shared" si="11"/>
        <v>-6.3815906321273985E-3</v>
      </c>
      <c r="N106" s="1"/>
      <c r="O106" s="2">
        <v>5650.38</v>
      </c>
      <c r="P106" s="12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1:31" ht="15" thickBot="1" x14ac:dyDescent="0.35">
      <c r="A107" s="1">
        <v>45779</v>
      </c>
      <c r="B107">
        <v>114.5</v>
      </c>
      <c r="C107">
        <v>203.64</v>
      </c>
      <c r="D107">
        <v>287.20999999999998</v>
      </c>
      <c r="E107">
        <v>823.62</v>
      </c>
      <c r="F107">
        <v>51.53</v>
      </c>
      <c r="G107" s="6"/>
      <c r="H107" s="10">
        <f t="shared" si="10"/>
        <v>2.5893737120329829E-2</v>
      </c>
      <c r="I107" s="10">
        <f t="shared" si="12"/>
        <v>3.1976891501545479E-2</v>
      </c>
      <c r="J107" s="10">
        <f t="shared" si="13"/>
        <v>2.3848566947098249E-2</v>
      </c>
      <c r="K107" s="10">
        <f t="shared" si="14"/>
        <v>3.7174159425765074E-2</v>
      </c>
      <c r="L107" s="10">
        <f t="shared" si="15"/>
        <v>7.7684987376192005E-4</v>
      </c>
      <c r="M107" s="10">
        <f t="shared" si="11"/>
        <v>1.4726612825518126E-2</v>
      </c>
      <c r="N107" s="1"/>
      <c r="O107" s="2">
        <v>5686.67</v>
      </c>
      <c r="P107" s="12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1:31" ht="15" thickBot="1" x14ac:dyDescent="0.35">
      <c r="A108" s="1">
        <v>45778</v>
      </c>
      <c r="B108">
        <v>111.61</v>
      </c>
      <c r="C108">
        <v>197.33</v>
      </c>
      <c r="D108">
        <v>280.52</v>
      </c>
      <c r="E108">
        <v>794.1</v>
      </c>
      <c r="F108">
        <v>51.49</v>
      </c>
      <c r="G108" s="6"/>
      <c r="H108" s="10">
        <f t="shared" si="10"/>
        <v>2.4697025339698753E-2</v>
      </c>
      <c r="I108" s="10">
        <f t="shared" si="12"/>
        <v>2.5250688418974487E-2</v>
      </c>
      <c r="J108" s="10">
        <f t="shared" si="13"/>
        <v>-5.8123050751348604E-3</v>
      </c>
      <c r="K108" s="10">
        <f t="shared" si="14"/>
        <v>-0.11663607542132493</v>
      </c>
      <c r="L108" s="10">
        <f t="shared" si="15"/>
        <v>-2.258921791951396E-2</v>
      </c>
      <c r="M108" s="10">
        <f t="shared" si="11"/>
        <v>6.2990881764606321E-3</v>
      </c>
      <c r="N108" s="1"/>
      <c r="O108" s="2">
        <v>5604.14</v>
      </c>
      <c r="P108" s="12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1:31" ht="15" thickBot="1" x14ac:dyDescent="0.35">
      <c r="A109" s="1">
        <v>45777</v>
      </c>
      <c r="B109">
        <v>108.92</v>
      </c>
      <c r="C109">
        <v>192.47</v>
      </c>
      <c r="D109">
        <v>282.16000000000003</v>
      </c>
      <c r="E109">
        <v>898.95</v>
      </c>
      <c r="F109">
        <v>52.68</v>
      </c>
      <c r="G109" s="6"/>
      <c r="H109" s="10">
        <f t="shared" si="10"/>
        <v>-9.1726288754356844E-4</v>
      </c>
      <c r="I109" s="10">
        <f t="shared" si="12"/>
        <v>6.8002301616363336E-3</v>
      </c>
      <c r="J109" s="10">
        <f t="shared" si="13"/>
        <v>-3.3797897476286476E-2</v>
      </c>
      <c r="K109" s="10">
        <f t="shared" si="14"/>
        <v>1.5533212833257926E-2</v>
      </c>
      <c r="L109" s="10">
        <f t="shared" si="15"/>
        <v>-5.287009063444148E-3</v>
      </c>
      <c r="M109" s="10">
        <f t="shared" si="11"/>
        <v>1.4799948928487794E-3</v>
      </c>
      <c r="N109" s="1"/>
      <c r="O109" s="2">
        <v>5569.06</v>
      </c>
      <c r="P109" s="12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1:31" ht="15" thickBot="1" x14ac:dyDescent="0.35">
      <c r="A110" s="1">
        <v>45776</v>
      </c>
      <c r="B110">
        <v>109.02</v>
      </c>
      <c r="C110">
        <v>191.17</v>
      </c>
      <c r="D110">
        <v>292.02999999999997</v>
      </c>
      <c r="E110">
        <v>885.2</v>
      </c>
      <c r="F110">
        <v>52.96</v>
      </c>
      <c r="G110" s="6"/>
      <c r="H110" s="10">
        <f t="shared" si="10"/>
        <v>2.6671571783316583E-3</v>
      </c>
      <c r="I110" s="10">
        <f t="shared" si="12"/>
        <v>-6.7542993713306521E-3</v>
      </c>
      <c r="J110" s="10">
        <f t="shared" si="13"/>
        <v>2.1512522736812478E-2</v>
      </c>
      <c r="K110" s="10">
        <f t="shared" si="14"/>
        <v>9.016402785851918E-3</v>
      </c>
      <c r="L110" s="10">
        <f t="shared" si="15"/>
        <v>-2.0528943961531376E-2</v>
      </c>
      <c r="M110" s="10">
        <f t="shared" si="11"/>
        <v>5.8023965634184105E-3</v>
      </c>
      <c r="N110" s="1"/>
      <c r="O110" s="2">
        <v>5560.83</v>
      </c>
      <c r="P110" s="12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 ht="15" thickBot="1" x14ac:dyDescent="0.35">
      <c r="A111" s="1">
        <v>45775</v>
      </c>
      <c r="B111">
        <v>108.73</v>
      </c>
      <c r="C111">
        <v>192.47</v>
      </c>
      <c r="D111">
        <v>285.88</v>
      </c>
      <c r="E111">
        <v>877.29</v>
      </c>
      <c r="F111">
        <v>54.07</v>
      </c>
      <c r="G111" s="6"/>
      <c r="H111" s="10">
        <f t="shared" si="10"/>
        <v>-2.0538690208089405E-2</v>
      </c>
      <c r="I111" s="10">
        <f t="shared" si="12"/>
        <v>8.3199001611977685E-4</v>
      </c>
      <c r="J111" s="10">
        <f t="shared" si="13"/>
        <v>3.2637304790315014E-3</v>
      </c>
      <c r="K111" s="10">
        <f t="shared" si="14"/>
        <v>-8.1963506455332569E-3</v>
      </c>
      <c r="L111" s="10">
        <f t="shared" si="15"/>
        <v>2.410085279940688E-3</v>
      </c>
      <c r="M111" s="10">
        <f t="shared" si="11"/>
        <v>6.4069962951629478E-4</v>
      </c>
      <c r="N111" s="1"/>
      <c r="O111" s="2">
        <v>5528.75</v>
      </c>
      <c r="P111" s="12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1:31" ht="15" thickBot="1" x14ac:dyDescent="0.35">
      <c r="A112" s="1">
        <v>45772</v>
      </c>
      <c r="B112">
        <v>111.01</v>
      </c>
      <c r="C112">
        <v>192.31</v>
      </c>
      <c r="D112">
        <v>284.95</v>
      </c>
      <c r="E112">
        <v>884.54</v>
      </c>
      <c r="F112">
        <v>53.94</v>
      </c>
      <c r="G112" s="6"/>
      <c r="H112" s="10">
        <f t="shared" si="10"/>
        <v>4.303297942309503E-2</v>
      </c>
      <c r="I112" s="10">
        <f t="shared" si="12"/>
        <v>2.2110018602179204E-2</v>
      </c>
      <c r="J112" s="10">
        <f t="shared" si="13"/>
        <v>9.8030904396747776E-2</v>
      </c>
      <c r="K112" s="10">
        <f t="shared" si="14"/>
        <v>2.8857897246809872E-2</v>
      </c>
      <c r="L112" s="10">
        <f t="shared" si="15"/>
        <v>-3.1597845601436303E-2</v>
      </c>
      <c r="M112" s="10">
        <f t="shared" si="11"/>
        <v>7.3731441792452834E-3</v>
      </c>
      <c r="N112" s="1"/>
      <c r="O112" s="2">
        <v>5525.21</v>
      </c>
      <c r="P112" s="12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1:31" ht="15" thickBot="1" x14ac:dyDescent="0.35">
      <c r="A113" s="1">
        <v>45771</v>
      </c>
      <c r="B113">
        <v>106.43</v>
      </c>
      <c r="C113">
        <v>188.15</v>
      </c>
      <c r="D113">
        <v>259.51</v>
      </c>
      <c r="E113">
        <v>859.73</v>
      </c>
      <c r="F113">
        <v>55.7</v>
      </c>
      <c r="G113" s="6"/>
      <c r="H113" s="10">
        <f t="shared" si="10"/>
        <v>3.621847921331911E-2</v>
      </c>
      <c r="I113" s="10">
        <f t="shared" si="12"/>
        <v>6.353513085749829E-2</v>
      </c>
      <c r="J113" s="10">
        <f t="shared" si="13"/>
        <v>3.4976469649836472E-2</v>
      </c>
      <c r="K113" s="10">
        <f t="shared" si="14"/>
        <v>3.6543608786863135E-2</v>
      </c>
      <c r="L113" s="10">
        <f t="shared" si="15"/>
        <v>4.7977422389463786E-2</v>
      </c>
      <c r="M113" s="10">
        <f t="shared" si="11"/>
        <v>2.025908412793509E-2</v>
      </c>
      <c r="N113" s="1"/>
      <c r="O113" s="2">
        <v>5484.77</v>
      </c>
      <c r="P113" s="12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:31" ht="15" thickBot="1" x14ac:dyDescent="0.35">
      <c r="A114" s="1">
        <v>45770</v>
      </c>
      <c r="B114">
        <v>102.71</v>
      </c>
      <c r="C114">
        <v>176.91</v>
      </c>
      <c r="D114">
        <v>250.74</v>
      </c>
      <c r="E114">
        <v>829.42</v>
      </c>
      <c r="F114">
        <v>53.15</v>
      </c>
      <c r="G114" s="6"/>
      <c r="H114" s="10">
        <f t="shared" si="10"/>
        <v>3.8628779451916229E-2</v>
      </c>
      <c r="I114" s="10">
        <f t="shared" si="12"/>
        <v>4.3224436843967373E-2</v>
      </c>
      <c r="J114" s="10">
        <f t="shared" si="13"/>
        <v>5.3662226331050222E-2</v>
      </c>
      <c r="K114" s="10">
        <f t="shared" si="14"/>
        <v>2.2717935084708429E-3</v>
      </c>
      <c r="L114" s="10">
        <f t="shared" si="15"/>
        <v>-2.5485881921525455E-2</v>
      </c>
      <c r="M114" s="10">
        <f t="shared" si="11"/>
        <v>1.6661119264111734E-2</v>
      </c>
      <c r="N114" s="1"/>
      <c r="O114" s="2">
        <v>5375.86</v>
      </c>
      <c r="P114" s="12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:31" ht="15" thickBot="1" x14ac:dyDescent="0.35">
      <c r="A115" s="1">
        <v>45769</v>
      </c>
      <c r="B115">
        <v>98.89</v>
      </c>
      <c r="C115">
        <v>169.58</v>
      </c>
      <c r="D115">
        <v>237.97</v>
      </c>
      <c r="E115">
        <v>827.54</v>
      </c>
      <c r="F115">
        <v>54.54</v>
      </c>
      <c r="G115" s="6"/>
      <c r="H115" s="10">
        <f t="shared" si="10"/>
        <v>2.0431328036322416E-2</v>
      </c>
      <c r="I115" s="10">
        <f t="shared" si="12"/>
        <v>2.0275555020756952E-2</v>
      </c>
      <c r="J115" s="10">
        <f t="shared" si="13"/>
        <v>4.6021978021977938E-2</v>
      </c>
      <c r="K115" s="10">
        <f t="shared" si="14"/>
        <v>1.1637857265103468E-2</v>
      </c>
      <c r="L115" s="10">
        <f t="shared" si="15"/>
        <v>-1.2135482702409051E-2</v>
      </c>
      <c r="M115" s="10">
        <f t="shared" si="11"/>
        <v>2.511728897677501E-2</v>
      </c>
      <c r="N115" s="1"/>
      <c r="O115" s="2">
        <v>5287.76</v>
      </c>
      <c r="P115" s="12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:31" ht="15" thickBot="1" x14ac:dyDescent="0.35">
      <c r="A116" s="1">
        <v>45768</v>
      </c>
      <c r="B116">
        <v>96.91</v>
      </c>
      <c r="C116">
        <v>166.21</v>
      </c>
      <c r="D116">
        <v>227.5</v>
      </c>
      <c r="E116">
        <v>818.02</v>
      </c>
      <c r="F116">
        <v>55.21</v>
      </c>
      <c r="G116" s="6"/>
      <c r="H116" s="10">
        <f t="shared" si="10"/>
        <v>-4.5127598778204714E-2</v>
      </c>
      <c r="I116" s="10">
        <f t="shared" si="12"/>
        <v>-2.7954851160886585E-2</v>
      </c>
      <c r="J116" s="10">
        <f t="shared" si="13"/>
        <v>-5.7463645026308185E-2</v>
      </c>
      <c r="K116" s="10">
        <f t="shared" si="14"/>
        <v>-2.612029144244965E-2</v>
      </c>
      <c r="L116" s="10">
        <f t="shared" si="15"/>
        <v>2.3602033405956124E-3</v>
      </c>
      <c r="M116" s="10">
        <f t="shared" si="11"/>
        <v>-2.3567493895167213E-2</v>
      </c>
      <c r="N116" s="1"/>
      <c r="O116" s="2">
        <v>5158.2</v>
      </c>
      <c r="P116" s="12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:31" ht="15" thickBot="1" x14ac:dyDescent="0.35">
      <c r="A117" s="1">
        <v>45764</v>
      </c>
      <c r="B117">
        <v>101.49</v>
      </c>
      <c r="C117">
        <v>170.99</v>
      </c>
      <c r="D117">
        <v>241.37</v>
      </c>
      <c r="E117">
        <v>839.96</v>
      </c>
      <c r="F117">
        <v>55.08</v>
      </c>
      <c r="G117" s="6"/>
      <c r="H117" s="10">
        <f t="shared" si="10"/>
        <v>-2.8710881424059753E-2</v>
      </c>
      <c r="I117" s="10">
        <f t="shared" si="12"/>
        <v>-2.0731916843250708E-2</v>
      </c>
      <c r="J117" s="10">
        <f t="shared" si="13"/>
        <v>-7.4518733181538899E-4</v>
      </c>
      <c r="K117" s="10">
        <f t="shared" si="14"/>
        <v>0.14295822560892657</v>
      </c>
      <c r="L117" s="10">
        <f t="shared" si="15"/>
        <v>-1.5549597855227915E-2</v>
      </c>
      <c r="M117" s="10">
        <f t="shared" si="11"/>
        <v>1.3268381447011368E-3</v>
      </c>
      <c r="N117" s="1"/>
      <c r="O117" s="2">
        <v>5282.7</v>
      </c>
      <c r="P117" s="12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:31" ht="15" thickBot="1" x14ac:dyDescent="0.35">
      <c r="A118" s="1">
        <v>45763</v>
      </c>
      <c r="B118">
        <v>104.49</v>
      </c>
      <c r="C118">
        <v>174.61</v>
      </c>
      <c r="D118">
        <v>241.55</v>
      </c>
      <c r="E118">
        <v>734.9</v>
      </c>
      <c r="F118">
        <v>55.95</v>
      </c>
      <c r="G118" s="6"/>
      <c r="H118" s="10">
        <f t="shared" si="10"/>
        <v>-6.8716577540107071E-2</v>
      </c>
      <c r="I118" s="10">
        <f t="shared" si="12"/>
        <v>-2.425258452081569E-2</v>
      </c>
      <c r="J118" s="10">
        <f t="shared" si="13"/>
        <v>-4.9427413324938052E-2</v>
      </c>
      <c r="K118" s="10">
        <f t="shared" si="14"/>
        <v>-2.942497160516655E-2</v>
      </c>
      <c r="L118" s="10">
        <f t="shared" si="15"/>
        <v>2.5100769512642174E-2</v>
      </c>
      <c r="M118" s="10">
        <f t="shared" si="11"/>
        <v>-2.2408428964001637E-2</v>
      </c>
      <c r="N118" s="1"/>
      <c r="O118" s="2">
        <v>5275.7</v>
      </c>
      <c r="P118" s="12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:31" ht="15" thickBot="1" x14ac:dyDescent="0.35">
      <c r="A119" s="1">
        <v>45762</v>
      </c>
      <c r="B119">
        <v>112.2</v>
      </c>
      <c r="C119">
        <v>178.95</v>
      </c>
      <c r="D119">
        <v>254.11</v>
      </c>
      <c r="E119">
        <v>757.18</v>
      </c>
      <c r="F119">
        <v>54.58</v>
      </c>
      <c r="G119" s="6"/>
      <c r="H119" s="10">
        <f t="shared" si="10"/>
        <v>1.3458585493631992E-2</v>
      </c>
      <c r="I119" s="10">
        <f t="shared" si="12"/>
        <v>3.3079165732226024E-3</v>
      </c>
      <c r="J119" s="10">
        <f t="shared" si="13"/>
        <v>6.9744402615414813E-3</v>
      </c>
      <c r="K119" s="10">
        <f t="shared" si="14"/>
        <v>3.7515742029561316E-3</v>
      </c>
      <c r="L119" s="10">
        <f t="shared" si="15"/>
        <v>-3.8328162073371086E-3</v>
      </c>
      <c r="M119" s="10">
        <f t="shared" si="11"/>
        <v>-1.7277195396940837E-3</v>
      </c>
      <c r="N119" s="1"/>
      <c r="O119" s="2">
        <v>5396.63</v>
      </c>
      <c r="P119" s="12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:31" ht="15" thickBot="1" x14ac:dyDescent="0.35">
      <c r="A120" s="1">
        <v>45761</v>
      </c>
      <c r="B120">
        <v>110.71</v>
      </c>
      <c r="C120">
        <v>178.36</v>
      </c>
      <c r="D120">
        <v>252.35</v>
      </c>
      <c r="E120">
        <v>754.35</v>
      </c>
      <c r="F120">
        <v>54.79</v>
      </c>
      <c r="G120" s="6"/>
      <c r="H120" s="10">
        <f t="shared" si="10"/>
        <v>-1.9832326692510449E-3</v>
      </c>
      <c r="I120" s="10">
        <f t="shared" si="12"/>
        <v>-1.9676816532922858E-2</v>
      </c>
      <c r="J120" s="10">
        <f t="shared" si="13"/>
        <v>1.5853513534924701E-4</v>
      </c>
      <c r="K120" s="10">
        <f t="shared" si="14"/>
        <v>2.9955899018309529E-2</v>
      </c>
      <c r="L120" s="10">
        <f t="shared" si="15"/>
        <v>-3.2745133709295438E-3</v>
      </c>
      <c r="M120" s="10">
        <f t="shared" si="11"/>
        <v>7.9446466394201831E-3</v>
      </c>
      <c r="N120" s="1"/>
      <c r="O120" s="2">
        <v>5405.97</v>
      </c>
      <c r="P120" s="12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:31" ht="15" thickBot="1" x14ac:dyDescent="0.35">
      <c r="A121" s="1">
        <v>45758</v>
      </c>
      <c r="B121">
        <v>110.93</v>
      </c>
      <c r="C121">
        <v>181.94</v>
      </c>
      <c r="D121">
        <v>252.31</v>
      </c>
      <c r="E121">
        <v>732.41</v>
      </c>
      <c r="F121">
        <v>54.97</v>
      </c>
      <c r="G121" s="6"/>
      <c r="H121" s="10">
        <f t="shared" si="10"/>
        <v>3.1235474574695665E-2</v>
      </c>
      <c r="I121" s="10">
        <f t="shared" si="12"/>
        <v>5.5948926291352175E-2</v>
      </c>
      <c r="J121" s="10">
        <f t="shared" si="13"/>
        <v>-3.5657686212364759E-4</v>
      </c>
      <c r="K121" s="10">
        <f t="shared" si="14"/>
        <v>1.595206059008758E-2</v>
      </c>
      <c r="L121" s="10">
        <f t="shared" si="15"/>
        <v>7.9112681586179789E-2</v>
      </c>
      <c r="M121" s="10">
        <f t="shared" si="11"/>
        <v>1.8092083408471682E-2</v>
      </c>
      <c r="N121" s="1"/>
      <c r="O121" s="2">
        <v>5363.36</v>
      </c>
      <c r="P121" s="12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:31" ht="15" thickBot="1" x14ac:dyDescent="0.35">
      <c r="A122" s="1">
        <v>45757</v>
      </c>
      <c r="B122">
        <v>107.57</v>
      </c>
      <c r="C122">
        <v>172.3</v>
      </c>
      <c r="D122">
        <v>252.4</v>
      </c>
      <c r="E122">
        <v>720.91</v>
      </c>
      <c r="F122">
        <v>50.94</v>
      </c>
      <c r="G122" s="6"/>
      <c r="H122" s="10">
        <f t="shared" si="10"/>
        <v>-5.9127088253301929E-2</v>
      </c>
      <c r="I122" s="10">
        <f t="shared" si="12"/>
        <v>-6.940318660545497E-2</v>
      </c>
      <c r="J122" s="10">
        <f t="shared" si="13"/>
        <v>-7.2740631888317364E-2</v>
      </c>
      <c r="K122" s="10">
        <f t="shared" si="14"/>
        <v>-4.3518063976861199E-2</v>
      </c>
      <c r="L122" s="10">
        <f t="shared" si="15"/>
        <v>4.4923076923076843E-2</v>
      </c>
      <c r="M122" s="10">
        <f t="shared" si="11"/>
        <v>-3.4607561069471604E-2</v>
      </c>
      <c r="N122" s="1"/>
      <c r="O122" s="2">
        <v>5268.05</v>
      </c>
      <c r="P122" s="12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:31" ht="15" thickBot="1" x14ac:dyDescent="0.35">
      <c r="A123" s="1">
        <v>45756</v>
      </c>
      <c r="B123">
        <v>114.33</v>
      </c>
      <c r="C123">
        <v>185.15</v>
      </c>
      <c r="D123">
        <v>272.2</v>
      </c>
      <c r="E123">
        <v>753.71</v>
      </c>
      <c r="F123">
        <v>48.75</v>
      </c>
      <c r="G123" s="6"/>
      <c r="H123" s="10">
        <f t="shared" si="10"/>
        <v>0.18722741433021817</v>
      </c>
      <c r="I123" s="10">
        <f t="shared" si="12"/>
        <v>0.186630776132795</v>
      </c>
      <c r="J123" s="10">
        <f t="shared" si="13"/>
        <v>0.2268998467502028</v>
      </c>
      <c r="K123" s="10">
        <f t="shared" si="14"/>
        <v>3.7824961445252381E-2</v>
      </c>
      <c r="L123" s="10">
        <f t="shared" si="15"/>
        <v>8.4297153024911031E-2</v>
      </c>
      <c r="M123" s="10">
        <f t="shared" si="11"/>
        <v>9.5153900340573472E-2</v>
      </c>
      <c r="N123" s="1"/>
      <c r="O123" s="2">
        <v>5456.9</v>
      </c>
      <c r="P123" s="12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:31" ht="15" thickBot="1" x14ac:dyDescent="0.35">
      <c r="A124" s="1">
        <v>45755</v>
      </c>
      <c r="B124">
        <v>96.3</v>
      </c>
      <c r="C124">
        <v>156.03</v>
      </c>
      <c r="D124">
        <v>221.86</v>
      </c>
      <c r="E124">
        <v>726.24</v>
      </c>
      <c r="F124">
        <v>44.96</v>
      </c>
      <c r="G124" s="6"/>
      <c r="H124" s="10">
        <f t="shared" si="10"/>
        <v>-1.3723883654240154E-2</v>
      </c>
      <c r="I124" s="10">
        <f t="shared" si="12"/>
        <v>1.2261580381471404E-2</v>
      </c>
      <c r="J124" s="10">
        <f t="shared" si="13"/>
        <v>-4.8994813322474129E-2</v>
      </c>
      <c r="K124" s="10">
        <f t="shared" si="14"/>
        <v>3.4681441974215854E-3</v>
      </c>
      <c r="L124" s="10">
        <f t="shared" si="15"/>
        <v>2.2291573785109264E-3</v>
      </c>
      <c r="M124" s="10">
        <f t="shared" si="11"/>
        <v>-1.5700528421156545E-2</v>
      </c>
      <c r="N124" s="1"/>
      <c r="O124" s="2">
        <v>4982.7700000000004</v>
      </c>
      <c r="P124" s="12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 ht="15" thickBot="1" x14ac:dyDescent="0.35">
      <c r="A125" s="1">
        <v>45754</v>
      </c>
      <c r="B125">
        <v>97.64</v>
      </c>
      <c r="C125">
        <v>154.13999999999999</v>
      </c>
      <c r="D125">
        <v>233.29</v>
      </c>
      <c r="E125">
        <v>723.73</v>
      </c>
      <c r="F125">
        <v>44.86</v>
      </c>
      <c r="G125" s="6"/>
      <c r="H125" s="10">
        <f t="shared" si="10"/>
        <v>3.5309087053334798E-2</v>
      </c>
      <c r="I125" s="10">
        <f t="shared" si="12"/>
        <v>5.3660537288946486E-2</v>
      </c>
      <c r="J125" s="10">
        <f t="shared" si="13"/>
        <v>-2.5644238399532338E-2</v>
      </c>
      <c r="K125" s="10">
        <f t="shared" si="14"/>
        <v>-1.9615014697714761E-2</v>
      </c>
      <c r="L125" s="10">
        <f t="shared" si="15"/>
        <v>1.5391579900407404E-2</v>
      </c>
      <c r="M125" s="10">
        <f t="shared" si="11"/>
        <v>-2.3314571311449095E-3</v>
      </c>
      <c r="N125" s="1"/>
      <c r="O125" s="2">
        <v>5062.25</v>
      </c>
      <c r="P125" s="12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:31" ht="15" thickBot="1" x14ac:dyDescent="0.35">
      <c r="A126" s="1">
        <v>45751</v>
      </c>
      <c r="B126">
        <v>94.31</v>
      </c>
      <c r="C126">
        <v>146.29</v>
      </c>
      <c r="D126">
        <v>239.43</v>
      </c>
      <c r="E126">
        <v>738.21</v>
      </c>
      <c r="F126">
        <v>44.18</v>
      </c>
      <c r="G126" s="6"/>
      <c r="H126" s="10">
        <f t="shared" si="10"/>
        <v>-7.3575638506876206E-2</v>
      </c>
      <c r="I126" s="10">
        <f t="shared" si="12"/>
        <v>-5.0126615154860055E-2</v>
      </c>
      <c r="J126" s="10">
        <f t="shared" si="13"/>
        <v>-0.10419784495659967</v>
      </c>
      <c r="K126" s="10">
        <f t="shared" si="14"/>
        <v>-6.4479336957761424E-2</v>
      </c>
      <c r="L126" s="10">
        <f t="shared" si="15"/>
        <v>-8.5867990895923785E-2</v>
      </c>
      <c r="M126" s="10">
        <f t="shared" si="11"/>
        <v>-5.9749616419470408E-2</v>
      </c>
      <c r="N126" s="1"/>
      <c r="O126" s="2">
        <v>5074.08</v>
      </c>
      <c r="P126" s="12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1" ht="15" thickBot="1" x14ac:dyDescent="0.35">
      <c r="A127" s="1">
        <v>45750</v>
      </c>
      <c r="B127">
        <v>101.8</v>
      </c>
      <c r="C127">
        <v>154.01</v>
      </c>
      <c r="D127">
        <v>267.27999999999997</v>
      </c>
      <c r="E127">
        <v>789.09</v>
      </c>
      <c r="F127">
        <v>48.33</v>
      </c>
      <c r="G127" s="6"/>
      <c r="H127" s="10">
        <f t="shared" si="10"/>
        <v>-7.806556783191454E-2</v>
      </c>
      <c r="I127" s="10">
        <f t="shared" si="12"/>
        <v>-0.10506130513103618</v>
      </c>
      <c r="J127" s="10">
        <f t="shared" si="13"/>
        <v>-5.4746074409393164E-2</v>
      </c>
      <c r="K127" s="10">
        <f t="shared" si="14"/>
        <v>-3.5601671921976941E-2</v>
      </c>
      <c r="L127" s="10">
        <f t="shared" si="15"/>
        <v>-8.2084957931458646E-3</v>
      </c>
      <c r="M127" s="10">
        <f t="shared" si="11"/>
        <v>-4.839560075260485E-2</v>
      </c>
      <c r="N127" s="1"/>
      <c r="O127" s="2">
        <v>5396.52</v>
      </c>
      <c r="P127" s="12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:31" ht="15" thickBot="1" x14ac:dyDescent="0.35">
      <c r="A128" s="1">
        <v>45749</v>
      </c>
      <c r="B128">
        <v>110.42</v>
      </c>
      <c r="C128">
        <v>172.09</v>
      </c>
      <c r="D128">
        <v>282.76</v>
      </c>
      <c r="E128">
        <v>818.22</v>
      </c>
      <c r="F128">
        <v>48.73</v>
      </c>
      <c r="G128" s="6"/>
      <c r="H128" s="10">
        <f t="shared" si="10"/>
        <v>2.451202905129346E-3</v>
      </c>
      <c r="I128" s="10">
        <f t="shared" si="12"/>
        <v>2.118442914787555E-2</v>
      </c>
      <c r="J128" s="10">
        <f t="shared" si="13"/>
        <v>5.3266780898457933E-2</v>
      </c>
      <c r="K128" s="10">
        <f t="shared" si="14"/>
        <v>1.6132036809358929E-2</v>
      </c>
      <c r="L128" s="10">
        <f t="shared" si="15"/>
        <v>9.1116173120728838E-3</v>
      </c>
      <c r="M128" s="10">
        <f t="shared" si="11"/>
        <v>6.7281251608803938E-3</v>
      </c>
      <c r="N128" s="1"/>
      <c r="O128" s="2">
        <v>5670.97</v>
      </c>
      <c r="P128" s="12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:31" ht="15" thickBot="1" x14ac:dyDescent="0.35">
      <c r="A129" s="1">
        <v>45748</v>
      </c>
      <c r="B129">
        <v>110.15</v>
      </c>
      <c r="C129">
        <v>168.52</v>
      </c>
      <c r="D129">
        <v>268.45999999999998</v>
      </c>
      <c r="E129">
        <v>805.23</v>
      </c>
      <c r="F129">
        <v>48.29</v>
      </c>
      <c r="G129" s="6"/>
      <c r="H129" s="10">
        <f t="shared" si="10"/>
        <v>1.6331426462447007E-2</v>
      </c>
      <c r="I129" s="10">
        <f t="shared" si="12"/>
        <v>6.5101833602103643E-3</v>
      </c>
      <c r="J129" s="10">
        <f t="shared" si="13"/>
        <v>3.5885167464114742E-2</v>
      </c>
      <c r="K129" s="10">
        <f t="shared" si="14"/>
        <v>-2.5039047838142148E-2</v>
      </c>
      <c r="L129" s="10">
        <f t="shared" si="15"/>
        <v>2.0712510356246661E-4</v>
      </c>
      <c r="M129" s="10">
        <f t="shared" si="11"/>
        <v>3.7812842467277452E-3</v>
      </c>
      <c r="N129" s="1"/>
      <c r="O129" s="2">
        <v>5633.07</v>
      </c>
      <c r="P129" s="12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:31" ht="15" thickBot="1" x14ac:dyDescent="0.35">
      <c r="A130" s="1">
        <v>45747</v>
      </c>
      <c r="B130">
        <v>108.38</v>
      </c>
      <c r="C130">
        <v>167.43</v>
      </c>
      <c r="D130">
        <v>259.16000000000003</v>
      </c>
      <c r="E130">
        <v>825.91</v>
      </c>
      <c r="F130">
        <v>48.28</v>
      </c>
      <c r="G130" s="6"/>
      <c r="H130" s="10">
        <f t="shared" si="10"/>
        <v>-1.1762560408498324E-2</v>
      </c>
      <c r="I130" s="10">
        <f t="shared" si="12"/>
        <v>-9.9929044465467687E-3</v>
      </c>
      <c r="J130" s="10">
        <f t="shared" si="13"/>
        <v>-1.6657180800607074E-2</v>
      </c>
      <c r="K130" s="10">
        <f t="shared" si="14"/>
        <v>4.133688344214681E-3</v>
      </c>
      <c r="L130" s="10">
        <f t="shared" si="15"/>
        <v>4.1597337770382659E-3</v>
      </c>
      <c r="M130" s="10">
        <f t="shared" si="11"/>
        <v>5.5384935154294546E-3</v>
      </c>
      <c r="N130" s="1"/>
      <c r="O130" s="2">
        <v>5611.85</v>
      </c>
      <c r="P130" s="12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:31" ht="15" thickBot="1" x14ac:dyDescent="0.35">
      <c r="A131" s="1">
        <v>45744</v>
      </c>
      <c r="B131">
        <v>109.67</v>
      </c>
      <c r="C131">
        <v>169.12</v>
      </c>
      <c r="D131">
        <v>263.55</v>
      </c>
      <c r="E131">
        <v>822.51</v>
      </c>
      <c r="F131">
        <v>48.08</v>
      </c>
      <c r="G131" s="6"/>
      <c r="H131" s="10">
        <f t="shared" si="10"/>
        <v>-1.5794669299111552E-2</v>
      </c>
      <c r="I131" s="10">
        <f t="shared" si="12"/>
        <v>-1.6687016687016665E-2</v>
      </c>
      <c r="J131" s="10">
        <f t="shared" si="13"/>
        <v>-3.5074872771207799E-2</v>
      </c>
      <c r="K131" s="10">
        <f t="shared" si="14"/>
        <v>1.0223082259301908E-3</v>
      </c>
      <c r="L131" s="10">
        <f t="shared" si="15"/>
        <v>-6.4062822897292815E-3</v>
      </c>
      <c r="M131" s="10">
        <f t="shared" si="11"/>
        <v>-1.9737200328104554E-2</v>
      </c>
      <c r="N131" s="1"/>
      <c r="O131" s="2">
        <v>5580.94</v>
      </c>
      <c r="P131" s="12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:31" ht="15" thickBot="1" x14ac:dyDescent="0.35">
      <c r="A132" s="1">
        <v>45743</v>
      </c>
      <c r="B132">
        <v>111.43</v>
      </c>
      <c r="C132">
        <v>171.99</v>
      </c>
      <c r="D132">
        <v>273.13</v>
      </c>
      <c r="E132">
        <v>821.67</v>
      </c>
      <c r="F132">
        <v>48.39</v>
      </c>
      <c r="G132" s="6"/>
      <c r="H132" s="10">
        <f t="shared" ref="H132:H195" si="16">(B132/B133)-1</f>
        <v>-2.0481715893108321E-2</v>
      </c>
      <c r="I132" s="10">
        <f t="shared" si="12"/>
        <v>-4.0609137055837574E-2</v>
      </c>
      <c r="J132" s="10">
        <f t="shared" si="13"/>
        <v>3.9329559655958413E-3</v>
      </c>
      <c r="K132" s="10">
        <f t="shared" si="14"/>
        <v>-6.1565629686971546E-3</v>
      </c>
      <c r="L132" s="10">
        <f t="shared" si="15"/>
        <v>2.1101498206372638E-2</v>
      </c>
      <c r="M132" s="10">
        <f t="shared" ref="M132:M195" si="17">(O132/O133)-1</f>
        <v>-3.3069570393192693E-3</v>
      </c>
      <c r="N132" s="1"/>
      <c r="O132" s="2">
        <v>5693.31</v>
      </c>
      <c r="P132" s="12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:31" ht="15" thickBot="1" x14ac:dyDescent="0.35">
      <c r="A133" s="1">
        <v>45742</v>
      </c>
      <c r="B133">
        <v>113.76</v>
      </c>
      <c r="C133">
        <v>179.27</v>
      </c>
      <c r="D133">
        <v>272.06</v>
      </c>
      <c r="E133">
        <v>826.76</v>
      </c>
      <c r="F133">
        <v>47.39</v>
      </c>
      <c r="G133" s="6"/>
      <c r="H133" s="10">
        <f t="shared" si="16"/>
        <v>-5.7419835943325781E-2</v>
      </c>
      <c r="I133" s="10">
        <f t="shared" si="12"/>
        <v>-4.7753107404652995E-2</v>
      </c>
      <c r="J133" s="10">
        <f t="shared" si="13"/>
        <v>-5.5806205316859758E-2</v>
      </c>
      <c r="K133" s="10">
        <f t="shared" si="14"/>
        <v>-3.002287792573477E-2</v>
      </c>
      <c r="L133" s="10">
        <f t="shared" si="15"/>
        <v>-3.3648790746582113E-3</v>
      </c>
      <c r="M133" s="10">
        <f t="shared" si="17"/>
        <v>-1.115698545004451E-2</v>
      </c>
      <c r="N133" s="1"/>
      <c r="O133" s="2">
        <v>5712.2</v>
      </c>
      <c r="P133" s="12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:31" ht="15" thickBot="1" x14ac:dyDescent="0.35">
      <c r="A134" s="1">
        <v>45741</v>
      </c>
      <c r="B134">
        <v>120.69</v>
      </c>
      <c r="C134">
        <v>188.26</v>
      </c>
      <c r="D134">
        <v>288.14</v>
      </c>
      <c r="E134">
        <v>852.35</v>
      </c>
      <c r="F134">
        <v>47.55</v>
      </c>
      <c r="G134" s="6"/>
      <c r="H134" s="10">
        <f t="shared" si="16"/>
        <v>-5.9303187546330127E-3</v>
      </c>
      <c r="I134" s="10">
        <f t="shared" si="12"/>
        <v>-1.5633986928104582E-2</v>
      </c>
      <c r="J134" s="10">
        <f t="shared" si="13"/>
        <v>3.5022809727360826E-2</v>
      </c>
      <c r="K134" s="10">
        <f t="shared" si="14"/>
        <v>-1.4510348017111707E-2</v>
      </c>
      <c r="L134" s="10">
        <f t="shared" si="15"/>
        <v>1.5591627509611294E-2</v>
      </c>
      <c r="M134" s="10">
        <f t="shared" si="17"/>
        <v>1.5743198608773046E-3</v>
      </c>
      <c r="N134" s="1"/>
      <c r="O134" s="2">
        <v>5776.65</v>
      </c>
      <c r="P134" s="12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:31" ht="15" thickBot="1" x14ac:dyDescent="0.35">
      <c r="A135" s="1">
        <v>45740</v>
      </c>
      <c r="B135">
        <v>121.41</v>
      </c>
      <c r="C135">
        <v>191.25</v>
      </c>
      <c r="D135">
        <v>278.39</v>
      </c>
      <c r="E135">
        <v>864.9</v>
      </c>
      <c r="F135">
        <v>46.82</v>
      </c>
      <c r="G135" s="6"/>
      <c r="H135" s="10">
        <f t="shared" si="16"/>
        <v>3.152081563296516E-2</v>
      </c>
      <c r="I135" s="10">
        <f t="shared" si="12"/>
        <v>-2.1392048419075493E-3</v>
      </c>
      <c r="J135" s="10">
        <f t="shared" si="13"/>
        <v>0.11933577258654648</v>
      </c>
      <c r="K135" s="10">
        <f t="shared" si="14"/>
        <v>3.263010852824233E-2</v>
      </c>
      <c r="L135" s="10">
        <f t="shared" si="15"/>
        <v>-1.1402027027026973E-2</v>
      </c>
      <c r="M135" s="10">
        <f t="shared" si="17"/>
        <v>1.7646041682840563E-2</v>
      </c>
      <c r="N135" s="1"/>
      <c r="O135" s="2">
        <v>5767.57</v>
      </c>
      <c r="P135" s="12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:31" ht="15" thickBot="1" x14ac:dyDescent="0.35">
      <c r="A136" s="1">
        <v>45737</v>
      </c>
      <c r="B136">
        <v>117.7</v>
      </c>
      <c r="C136">
        <v>191.66</v>
      </c>
      <c r="D136">
        <v>248.71</v>
      </c>
      <c r="E136">
        <v>837.57</v>
      </c>
      <c r="F136">
        <v>47.36</v>
      </c>
      <c r="G136" s="6"/>
      <c r="H136" s="10">
        <f t="shared" si="16"/>
        <v>-7.002446637981885E-3</v>
      </c>
      <c r="I136" s="10">
        <f t="shared" si="12"/>
        <v>5.8780308596619868E-3</v>
      </c>
      <c r="J136" s="10">
        <f t="shared" si="13"/>
        <v>5.2696182172183192E-2</v>
      </c>
      <c r="K136" s="10">
        <f t="shared" si="14"/>
        <v>-5.9342250495507676E-3</v>
      </c>
      <c r="L136" s="10">
        <f t="shared" si="15"/>
        <v>-8.3752093802345051E-3</v>
      </c>
      <c r="M136" s="10">
        <f t="shared" si="17"/>
        <v>8.2466726353502828E-4</v>
      </c>
      <c r="N136" s="1"/>
      <c r="O136" s="2">
        <v>5667.56</v>
      </c>
      <c r="P136" s="12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:31" ht="15" thickBot="1" x14ac:dyDescent="0.35">
      <c r="A137" s="1">
        <v>45736</v>
      </c>
      <c r="B137">
        <v>118.53</v>
      </c>
      <c r="C137">
        <v>190.54</v>
      </c>
      <c r="D137">
        <v>236.26</v>
      </c>
      <c r="E137">
        <v>842.57</v>
      </c>
      <c r="F137">
        <v>47.76</v>
      </c>
      <c r="G137" s="6"/>
      <c r="H137" s="10">
        <f t="shared" si="16"/>
        <v>8.5942818243702757E-3</v>
      </c>
      <c r="I137" s="10">
        <f t="shared" si="12"/>
        <v>-2.5719691159175717E-2</v>
      </c>
      <c r="J137" s="10">
        <f t="shared" si="13"/>
        <v>1.6959213092511138E-3</v>
      </c>
      <c r="K137" s="10">
        <f t="shared" si="14"/>
        <v>6.642692440950615E-3</v>
      </c>
      <c r="L137" s="10">
        <f t="shared" si="15"/>
        <v>-4.7926651385705732E-3</v>
      </c>
      <c r="M137" s="10">
        <f t="shared" si="17"/>
        <v>-2.1849103746239829E-3</v>
      </c>
      <c r="N137" s="1"/>
      <c r="O137" s="2">
        <v>5662.89</v>
      </c>
      <c r="P137" s="12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:31" ht="15" thickBot="1" x14ac:dyDescent="0.35">
      <c r="A138" s="1">
        <v>45735</v>
      </c>
      <c r="B138">
        <v>117.52</v>
      </c>
      <c r="C138">
        <v>195.57</v>
      </c>
      <c r="D138">
        <v>235.86</v>
      </c>
      <c r="E138">
        <v>837.01</v>
      </c>
      <c r="F138">
        <v>47.99</v>
      </c>
      <c r="G138" s="6"/>
      <c r="H138" s="10">
        <f t="shared" si="16"/>
        <v>1.8106211556787599E-2</v>
      </c>
      <c r="I138" s="10">
        <f t="shared" si="12"/>
        <v>3.6571792017808802E-2</v>
      </c>
      <c r="J138" s="10">
        <f t="shared" si="13"/>
        <v>4.6824375305135169E-2</v>
      </c>
      <c r="K138" s="10">
        <f t="shared" si="14"/>
        <v>1.7628964997385976E-2</v>
      </c>
      <c r="L138" s="10">
        <f t="shared" si="15"/>
        <v>3.7649027400126212E-3</v>
      </c>
      <c r="M138" s="10">
        <f t="shared" si="17"/>
        <v>1.0798516740105457E-2</v>
      </c>
      <c r="N138" s="1"/>
      <c r="O138" s="2">
        <v>5675.29</v>
      </c>
      <c r="P138" s="12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:31" ht="15" thickBot="1" x14ac:dyDescent="0.35">
      <c r="A139" s="1">
        <v>45734</v>
      </c>
      <c r="B139">
        <v>115.43</v>
      </c>
      <c r="C139">
        <v>188.67</v>
      </c>
      <c r="D139">
        <v>225.31</v>
      </c>
      <c r="E139">
        <v>822.51</v>
      </c>
      <c r="F139">
        <v>47.81</v>
      </c>
      <c r="G139" s="6"/>
      <c r="H139" s="10">
        <f t="shared" si="16"/>
        <v>-3.4301012298167732E-2</v>
      </c>
      <c r="I139" s="10">
        <f t="shared" si="12"/>
        <v>-2.9974293059126023E-2</v>
      </c>
      <c r="J139" s="10">
        <f t="shared" si="13"/>
        <v>-5.3359102558716009E-2</v>
      </c>
      <c r="K139" s="10">
        <f t="shared" si="14"/>
        <v>-2.7280663465735211E-3</v>
      </c>
      <c r="L139" s="10">
        <f t="shared" si="15"/>
        <v>6.1026936026935541E-3</v>
      </c>
      <c r="M139" s="10">
        <f t="shared" si="17"/>
        <v>-1.0653519220738983E-2</v>
      </c>
      <c r="N139" s="1"/>
      <c r="O139" s="2">
        <v>5614.66</v>
      </c>
      <c r="P139" s="12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:31" ht="15" thickBot="1" x14ac:dyDescent="0.35">
      <c r="A140" s="1">
        <v>45733</v>
      </c>
      <c r="B140">
        <v>119.53</v>
      </c>
      <c r="C140">
        <v>194.5</v>
      </c>
      <c r="D140">
        <v>238.01</v>
      </c>
      <c r="E140">
        <v>824.76</v>
      </c>
      <c r="F140">
        <v>47.52</v>
      </c>
      <c r="G140" s="6"/>
      <c r="H140" s="10">
        <f t="shared" si="16"/>
        <v>-1.7588559217555644E-2</v>
      </c>
      <c r="I140" s="10">
        <f t="shared" si="12"/>
        <v>-5.3186048890252469E-3</v>
      </c>
      <c r="J140" s="10">
        <f t="shared" si="13"/>
        <v>-4.7883830706456521E-2</v>
      </c>
      <c r="K140" s="10">
        <f t="shared" si="14"/>
        <v>1.3866351969316959E-2</v>
      </c>
      <c r="L140" s="10">
        <f t="shared" si="15"/>
        <v>2.7681660899653959E-2</v>
      </c>
      <c r="M140" s="10">
        <f t="shared" si="17"/>
        <v>6.4160994796895743E-3</v>
      </c>
      <c r="N140" s="1"/>
      <c r="O140" s="2">
        <v>5675.12</v>
      </c>
      <c r="P140" s="12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:31" ht="15" thickBot="1" x14ac:dyDescent="0.35">
      <c r="A141" s="1">
        <v>45730</v>
      </c>
      <c r="B141">
        <v>121.67</v>
      </c>
      <c r="C141">
        <v>195.54</v>
      </c>
      <c r="D141">
        <v>249.98</v>
      </c>
      <c r="E141">
        <v>813.48</v>
      </c>
      <c r="F141">
        <v>46.24</v>
      </c>
      <c r="G141" s="6"/>
      <c r="H141" s="10">
        <f t="shared" si="16"/>
        <v>5.2690776951029639E-2</v>
      </c>
      <c r="I141" s="10">
        <f t="shared" si="12"/>
        <v>2.184364548494977E-2</v>
      </c>
      <c r="J141" s="10">
        <f t="shared" si="13"/>
        <v>3.8640518530829171E-2</v>
      </c>
      <c r="K141" s="10">
        <f t="shared" si="14"/>
        <v>1.4757063556414929E-2</v>
      </c>
      <c r="L141" s="10">
        <f t="shared" si="15"/>
        <v>1.2924424972617921E-2</v>
      </c>
      <c r="M141" s="10">
        <f t="shared" si="17"/>
        <v>2.1265883307494793E-2</v>
      </c>
      <c r="N141" s="1"/>
      <c r="O141" s="2">
        <v>5638.94</v>
      </c>
      <c r="P141" s="12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:31" ht="15" thickBot="1" x14ac:dyDescent="0.35">
      <c r="A142" s="1">
        <v>45729</v>
      </c>
      <c r="B142">
        <v>115.58</v>
      </c>
      <c r="C142">
        <v>191.36</v>
      </c>
      <c r="D142">
        <v>240.68</v>
      </c>
      <c r="E142">
        <v>801.65</v>
      </c>
      <c r="F142">
        <v>45.65</v>
      </c>
      <c r="G142" s="6"/>
      <c r="H142" s="10">
        <f t="shared" si="16"/>
        <v>-1.382408847416583E-3</v>
      </c>
      <c r="I142" s="10">
        <f t="shared" si="12"/>
        <v>-1.4776296143746981E-2</v>
      </c>
      <c r="J142" s="10">
        <f t="shared" si="13"/>
        <v>-2.9868192994477849E-2</v>
      </c>
      <c r="K142" s="10">
        <f t="shared" si="14"/>
        <v>-2.4590562869588495E-2</v>
      </c>
      <c r="L142" s="10">
        <f t="shared" si="15"/>
        <v>4.6298418519367335E-2</v>
      </c>
      <c r="M142" s="10">
        <f t="shared" si="17"/>
        <v>-1.3891022092047178E-2</v>
      </c>
      <c r="N142" s="1"/>
      <c r="O142" s="2">
        <v>5521.52</v>
      </c>
      <c r="P142" s="12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:31" ht="15" thickBot="1" x14ac:dyDescent="0.35">
      <c r="A143" s="1">
        <v>45728</v>
      </c>
      <c r="B143">
        <v>115.74</v>
      </c>
      <c r="C143">
        <v>194.23</v>
      </c>
      <c r="D143">
        <v>248.09</v>
      </c>
      <c r="E143">
        <v>821.86</v>
      </c>
      <c r="F143">
        <v>43.63</v>
      </c>
      <c r="G143" s="6"/>
      <c r="H143" s="10">
        <f t="shared" si="16"/>
        <v>6.4178006620080774E-2</v>
      </c>
      <c r="I143" s="10">
        <f t="shared" si="12"/>
        <v>2.1779157241306635E-2</v>
      </c>
      <c r="J143" s="10">
        <f t="shared" si="13"/>
        <v>7.5938936594674322E-2</v>
      </c>
      <c r="K143" s="10">
        <f t="shared" si="14"/>
        <v>-2.6697085163700507E-3</v>
      </c>
      <c r="L143" s="10">
        <f t="shared" si="15"/>
        <v>4.8364808843850415E-3</v>
      </c>
      <c r="M143" s="10">
        <f t="shared" si="17"/>
        <v>4.8868732804865367E-3</v>
      </c>
      <c r="N143" s="1"/>
      <c r="O143" s="2">
        <v>5599.3</v>
      </c>
      <c r="P143" s="12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:31" ht="15" thickBot="1" x14ac:dyDescent="0.35">
      <c r="A144" s="1">
        <v>45727</v>
      </c>
      <c r="B144">
        <v>108.76</v>
      </c>
      <c r="C144">
        <v>190.09</v>
      </c>
      <c r="D144">
        <v>230.58</v>
      </c>
      <c r="E144">
        <v>824.06</v>
      </c>
      <c r="F144">
        <v>43.42</v>
      </c>
      <c r="G144" s="6"/>
      <c r="H144" s="10">
        <f t="shared" si="16"/>
        <v>1.6638624041876993E-2</v>
      </c>
      <c r="I144" s="10">
        <f t="shared" si="12"/>
        <v>3.0577392247221447E-2</v>
      </c>
      <c r="J144" s="10">
        <f t="shared" si="13"/>
        <v>3.7947332883186968E-2</v>
      </c>
      <c r="K144" s="10">
        <f t="shared" si="14"/>
        <v>-6.8694562283070359E-3</v>
      </c>
      <c r="L144" s="10">
        <f t="shared" si="15"/>
        <v>2.478168515459056E-2</v>
      </c>
      <c r="M144" s="10">
        <f t="shared" si="17"/>
        <v>-7.5678236584880709E-3</v>
      </c>
      <c r="N144" s="1"/>
      <c r="O144" s="2">
        <v>5572.07</v>
      </c>
      <c r="P144" s="12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:31" ht="15" thickBot="1" x14ac:dyDescent="0.35">
      <c r="A145" s="1">
        <v>45726</v>
      </c>
      <c r="B145">
        <v>106.98</v>
      </c>
      <c r="C145">
        <v>184.45</v>
      </c>
      <c r="D145">
        <v>222.15</v>
      </c>
      <c r="E145">
        <v>829.76</v>
      </c>
      <c r="F145">
        <v>42.37</v>
      </c>
      <c r="G145" s="6"/>
      <c r="H145" s="10">
        <f t="shared" si="16"/>
        <v>-5.0669979590025727E-2</v>
      </c>
      <c r="I145" s="10">
        <f t="shared" si="12"/>
        <v>-5.3908494050061595E-2</v>
      </c>
      <c r="J145" s="10">
        <f t="shared" si="13"/>
        <v>-0.15426200175124682</v>
      </c>
      <c r="K145" s="10">
        <f t="shared" si="14"/>
        <v>-4.5792221532234056E-2</v>
      </c>
      <c r="L145" s="10">
        <f t="shared" si="15"/>
        <v>-3.4191930704353779E-2</v>
      </c>
      <c r="M145" s="10">
        <f t="shared" si="17"/>
        <v>-2.6973068524487775E-2</v>
      </c>
      <c r="N145" s="1"/>
      <c r="O145" s="2">
        <v>5614.56</v>
      </c>
      <c r="P145" s="12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:31" ht="15" thickBot="1" x14ac:dyDescent="0.35">
      <c r="A146" s="1">
        <v>45723</v>
      </c>
      <c r="B146">
        <v>112.69</v>
      </c>
      <c r="C146">
        <v>194.96</v>
      </c>
      <c r="D146">
        <v>262.67</v>
      </c>
      <c r="E146">
        <v>869.58</v>
      </c>
      <c r="F146">
        <v>43.87</v>
      </c>
      <c r="G146" s="6"/>
      <c r="H146" s="10">
        <f t="shared" si="16"/>
        <v>1.9173374333001814E-2</v>
      </c>
      <c r="I146" s="10">
        <f t="shared" si="12"/>
        <v>8.6430760657564942E-2</v>
      </c>
      <c r="J146" s="10">
        <f t="shared" si="13"/>
        <v>-2.9607136078951823E-3</v>
      </c>
      <c r="K146" s="10">
        <f t="shared" si="14"/>
        <v>-4.7307068670844443E-2</v>
      </c>
      <c r="L146" s="10">
        <f t="shared" si="15"/>
        <v>-1.1384335154828173E-3</v>
      </c>
      <c r="M146" s="10">
        <f t="shared" si="17"/>
        <v>5.5205871897281433E-3</v>
      </c>
      <c r="N146" s="1"/>
      <c r="O146" s="2">
        <v>5770.2</v>
      </c>
      <c r="P146" s="12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:31" ht="15" thickBot="1" x14ac:dyDescent="0.35">
      <c r="A147" s="1">
        <v>45722</v>
      </c>
      <c r="B147">
        <v>110.57</v>
      </c>
      <c r="C147">
        <v>179.45</v>
      </c>
      <c r="D147">
        <v>263.45</v>
      </c>
      <c r="E147">
        <v>912.76</v>
      </c>
      <c r="F147">
        <v>43.92</v>
      </c>
      <c r="G147" s="6"/>
      <c r="H147" s="10">
        <f t="shared" si="16"/>
        <v>-5.737425404944585E-2</v>
      </c>
      <c r="I147" s="10">
        <f t="shared" ref="I147:I210" si="18">(C147/C148)-1</f>
        <v>-6.3315586178098071E-2</v>
      </c>
      <c r="J147" s="10">
        <f t="shared" ref="J147:J210" si="19">(D147/D148)-1</f>
        <v>-5.6073092081691311E-2</v>
      </c>
      <c r="K147" s="10">
        <f t="shared" ref="K147:K210" si="20">(E147/E148)-1</f>
        <v>-1.8242051370305101E-2</v>
      </c>
      <c r="L147" s="10">
        <f t="shared" ref="L147:L210" si="21">(F147/F148)-1</f>
        <v>1.5963511972634237E-3</v>
      </c>
      <c r="M147" s="10">
        <f t="shared" si="17"/>
        <v>-1.7819030128555013E-2</v>
      </c>
      <c r="N147" s="1"/>
      <c r="O147" s="2">
        <v>5738.52</v>
      </c>
      <c r="P147" s="12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:31" ht="15" thickBot="1" x14ac:dyDescent="0.35">
      <c r="A148" s="1">
        <v>45721</v>
      </c>
      <c r="B148">
        <v>117.3</v>
      </c>
      <c r="C148">
        <v>191.58</v>
      </c>
      <c r="D148">
        <v>279.10000000000002</v>
      </c>
      <c r="E148">
        <v>929.72</v>
      </c>
      <c r="F148">
        <v>43.85</v>
      </c>
      <c r="G148" s="6"/>
      <c r="H148" s="10">
        <f t="shared" si="16"/>
        <v>1.1294077075610032E-2</v>
      </c>
      <c r="I148" s="10">
        <f t="shared" si="18"/>
        <v>2.1868999359931918E-2</v>
      </c>
      <c r="J148" s="10">
        <f t="shared" si="19"/>
        <v>2.5952065872665742E-2</v>
      </c>
      <c r="K148" s="10">
        <f t="shared" si="20"/>
        <v>2.0481636774746015E-2</v>
      </c>
      <c r="L148" s="10">
        <f t="shared" si="21"/>
        <v>3.1521994824747157E-2</v>
      </c>
      <c r="M148" s="10">
        <f t="shared" si="17"/>
        <v>1.1159281084776262E-2</v>
      </c>
      <c r="N148" s="1"/>
      <c r="O148" s="2">
        <v>5842.63</v>
      </c>
      <c r="P148" s="12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:31" ht="15" thickBot="1" x14ac:dyDescent="0.35">
      <c r="A149" s="1">
        <v>45720</v>
      </c>
      <c r="B149">
        <v>115.99</v>
      </c>
      <c r="C149">
        <v>187.48</v>
      </c>
      <c r="D149">
        <v>272.04000000000002</v>
      </c>
      <c r="E149">
        <v>911.06</v>
      </c>
      <c r="F149">
        <v>42.51</v>
      </c>
      <c r="G149" s="6"/>
      <c r="H149" s="10">
        <f t="shared" si="16"/>
        <v>1.6920918814658847E-2</v>
      </c>
      <c r="I149" s="10">
        <f t="shared" si="18"/>
        <v>5.8707370443489282E-4</v>
      </c>
      <c r="J149" s="10">
        <f t="shared" si="19"/>
        <v>-4.4300017565431116E-2</v>
      </c>
      <c r="K149" s="10">
        <f t="shared" si="20"/>
        <v>-2.0070558877941846E-2</v>
      </c>
      <c r="L149" s="10">
        <f t="shared" si="21"/>
        <v>3.5410764872521039E-3</v>
      </c>
      <c r="M149" s="10">
        <f t="shared" si="17"/>
        <v>-1.2234773630190987E-2</v>
      </c>
      <c r="N149" s="1"/>
      <c r="O149" s="2">
        <v>5778.15</v>
      </c>
      <c r="P149" s="12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:31" ht="15" thickBot="1" x14ac:dyDescent="0.35">
      <c r="A150" s="1">
        <v>45719</v>
      </c>
      <c r="B150">
        <v>114.06</v>
      </c>
      <c r="C150">
        <v>187.37</v>
      </c>
      <c r="D150">
        <v>284.64999999999998</v>
      </c>
      <c r="E150">
        <v>929.72</v>
      </c>
      <c r="F150">
        <v>42.36</v>
      </c>
      <c r="G150" s="6"/>
      <c r="H150" s="10">
        <f t="shared" si="16"/>
        <v>-8.6935638808837701E-2</v>
      </c>
      <c r="I150" s="10">
        <f t="shared" si="18"/>
        <v>-6.0472346186631887E-2</v>
      </c>
      <c r="J150" s="10">
        <f t="shared" si="19"/>
        <v>-2.8431974878831423E-2</v>
      </c>
      <c r="K150" s="10">
        <f t="shared" si="20"/>
        <v>9.8736734627375977E-3</v>
      </c>
      <c r="L150" s="10">
        <f t="shared" si="21"/>
        <v>-1.1204481792717158E-2</v>
      </c>
      <c r="M150" s="10">
        <f t="shared" si="17"/>
        <v>-1.7596775547904953E-2</v>
      </c>
      <c r="N150" s="1"/>
      <c r="O150" s="2">
        <v>5849.72</v>
      </c>
      <c r="P150" s="12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:31" ht="15" thickBot="1" x14ac:dyDescent="0.35">
      <c r="A151" s="1">
        <v>45716</v>
      </c>
      <c r="B151">
        <v>124.92</v>
      </c>
      <c r="C151">
        <v>199.43</v>
      </c>
      <c r="D151">
        <v>292.98</v>
      </c>
      <c r="E151">
        <v>920.63</v>
      </c>
      <c r="F151">
        <v>42.84</v>
      </c>
      <c r="G151" s="6"/>
      <c r="H151" s="10">
        <f t="shared" si="16"/>
        <v>3.970037453183517E-2</v>
      </c>
      <c r="I151" s="10">
        <f t="shared" si="18"/>
        <v>8.240647118301192E-3</v>
      </c>
      <c r="J151" s="10">
        <f t="shared" si="19"/>
        <v>3.9120411420464629E-2</v>
      </c>
      <c r="K151" s="10">
        <f t="shared" si="20"/>
        <v>1.7090901056166841E-2</v>
      </c>
      <c r="L151" s="10">
        <f t="shared" si="21"/>
        <v>1.7094017094017255E-2</v>
      </c>
      <c r="M151" s="10">
        <f t="shared" si="17"/>
        <v>1.5854114170776867E-2</v>
      </c>
      <c r="N151" s="1"/>
      <c r="O151" s="2">
        <v>5954.5</v>
      </c>
      <c r="P151" s="12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:31" ht="15" thickBot="1" x14ac:dyDescent="0.35">
      <c r="A152" s="1">
        <v>45715</v>
      </c>
      <c r="B152">
        <v>120.15</v>
      </c>
      <c r="C152">
        <v>197.8</v>
      </c>
      <c r="D152">
        <v>281.95</v>
      </c>
      <c r="E152">
        <v>905.16</v>
      </c>
      <c r="F152">
        <v>42.12</v>
      </c>
      <c r="G152" s="6"/>
      <c r="H152" s="10">
        <f t="shared" si="16"/>
        <v>-8.4780621572212E-2</v>
      </c>
      <c r="I152" s="10">
        <f t="shared" si="18"/>
        <v>-7.1099840330609454E-2</v>
      </c>
      <c r="J152" s="10">
        <f t="shared" si="19"/>
        <v>-3.0433287482806159E-2</v>
      </c>
      <c r="K152" s="10">
        <f t="shared" si="20"/>
        <v>-1.0764909673118384E-2</v>
      </c>
      <c r="L152" s="10">
        <f t="shared" si="21"/>
        <v>-3.3501606241395199E-2</v>
      </c>
      <c r="M152" s="10">
        <f t="shared" si="17"/>
        <v>-1.586451446090209E-2</v>
      </c>
      <c r="N152" s="1"/>
      <c r="O152" s="2">
        <v>5861.57</v>
      </c>
      <c r="P152" s="12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:31" ht="15" thickBot="1" x14ac:dyDescent="0.35">
      <c r="A153" s="1">
        <v>45714</v>
      </c>
      <c r="B153">
        <v>131.28</v>
      </c>
      <c r="C153">
        <v>212.94</v>
      </c>
      <c r="D153">
        <v>290.8</v>
      </c>
      <c r="E153">
        <v>915.01</v>
      </c>
      <c r="F153">
        <v>43.58</v>
      </c>
      <c r="G153" s="6"/>
      <c r="H153" s="10">
        <f t="shared" si="16"/>
        <v>3.6721156124141174E-2</v>
      </c>
      <c r="I153" s="10">
        <f t="shared" si="18"/>
        <v>5.1347881899871606E-2</v>
      </c>
      <c r="J153" s="10">
        <f t="shared" si="19"/>
        <v>-3.9630118890356725E-2</v>
      </c>
      <c r="K153" s="10">
        <f t="shared" si="20"/>
        <v>1.4648480816145559E-2</v>
      </c>
      <c r="L153" s="10">
        <f t="shared" si="21"/>
        <v>1.5140927090612655E-2</v>
      </c>
      <c r="M153" s="10">
        <f t="shared" si="17"/>
        <v>1.3601444103938931E-4</v>
      </c>
      <c r="N153" s="1"/>
      <c r="O153" s="2">
        <v>5956.06</v>
      </c>
      <c r="P153" s="12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1:31" ht="15" thickBot="1" x14ac:dyDescent="0.35">
      <c r="A154" s="1">
        <v>45713</v>
      </c>
      <c r="B154">
        <v>126.63</v>
      </c>
      <c r="C154">
        <v>202.54</v>
      </c>
      <c r="D154">
        <v>302.8</v>
      </c>
      <c r="E154">
        <v>901.8</v>
      </c>
      <c r="F154">
        <v>42.93</v>
      </c>
      <c r="G154" s="6"/>
      <c r="H154" s="10">
        <f t="shared" si="16"/>
        <v>-2.8016579674547182E-2</v>
      </c>
      <c r="I154" s="10">
        <f t="shared" si="18"/>
        <v>-2.5922185350839344E-2</v>
      </c>
      <c r="J154" s="10">
        <f t="shared" si="19"/>
        <v>-8.3895561673675512E-2</v>
      </c>
      <c r="K154" s="10">
        <f t="shared" si="20"/>
        <v>2.3144996596323963E-2</v>
      </c>
      <c r="L154" s="10">
        <f t="shared" si="21"/>
        <v>-2.5204359673024479E-2</v>
      </c>
      <c r="M154" s="10">
        <f t="shared" si="17"/>
        <v>-4.6797309154723576E-3</v>
      </c>
      <c r="N154" s="1"/>
      <c r="O154" s="2">
        <v>5955.25</v>
      </c>
      <c r="P154" s="12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:31" ht="15" thickBot="1" x14ac:dyDescent="0.35">
      <c r="A155" s="1">
        <v>45712</v>
      </c>
      <c r="B155">
        <v>130.28</v>
      </c>
      <c r="C155">
        <v>207.93</v>
      </c>
      <c r="D155">
        <v>330.53</v>
      </c>
      <c r="E155">
        <v>881.4</v>
      </c>
      <c r="F155">
        <v>44.04</v>
      </c>
      <c r="G155" s="6"/>
      <c r="H155" s="10">
        <f t="shared" si="16"/>
        <v>-3.0871085323216585E-2</v>
      </c>
      <c r="I155" s="10">
        <f t="shared" si="18"/>
        <v>-4.9071618037135223E-2</v>
      </c>
      <c r="J155" s="10">
        <f t="shared" si="19"/>
        <v>-2.1521610420367154E-2</v>
      </c>
      <c r="K155" s="10">
        <f t="shared" si="20"/>
        <v>8.8361871623479082E-3</v>
      </c>
      <c r="L155" s="10">
        <f t="shared" si="21"/>
        <v>-2.8457974851092027E-2</v>
      </c>
      <c r="M155" s="10">
        <f t="shared" si="17"/>
        <v>-4.9691258961639395E-3</v>
      </c>
      <c r="N155" s="1"/>
      <c r="O155" s="2">
        <v>5983.25</v>
      </c>
      <c r="P155" s="12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1:31" ht="15" thickBot="1" x14ac:dyDescent="0.35">
      <c r="A156" s="1">
        <v>45709</v>
      </c>
      <c r="B156">
        <v>134.43</v>
      </c>
      <c r="C156">
        <v>218.66</v>
      </c>
      <c r="D156">
        <v>337.8</v>
      </c>
      <c r="E156">
        <v>873.68</v>
      </c>
      <c r="F156">
        <v>45.33</v>
      </c>
      <c r="G156" s="6"/>
      <c r="H156" s="10">
        <f t="shared" si="16"/>
        <v>-4.0539576047391335E-2</v>
      </c>
      <c r="I156" s="10">
        <f t="shared" si="18"/>
        <v>-3.5635529681573686E-2</v>
      </c>
      <c r="J156" s="10">
        <f t="shared" si="19"/>
        <v>-4.683972911963874E-2</v>
      </c>
      <c r="K156" s="10">
        <f t="shared" si="20"/>
        <v>6.4137804654573749E-4</v>
      </c>
      <c r="L156" s="10">
        <f t="shared" si="21"/>
        <v>-5.7392389270118582E-2</v>
      </c>
      <c r="M156" s="10">
        <f t="shared" si="17"/>
        <v>-1.70641044083224E-2</v>
      </c>
      <c r="N156" s="1"/>
      <c r="O156" s="2">
        <v>6013.13</v>
      </c>
      <c r="P156" s="12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:31" ht="15" thickBot="1" x14ac:dyDescent="0.35">
      <c r="A157" s="1">
        <v>45708</v>
      </c>
      <c r="B157">
        <v>140.11000000000001</v>
      </c>
      <c r="C157">
        <v>226.74</v>
      </c>
      <c r="D157">
        <v>354.4</v>
      </c>
      <c r="E157">
        <v>873.12</v>
      </c>
      <c r="F157">
        <v>48.09</v>
      </c>
      <c r="G157" s="6"/>
      <c r="H157" s="10">
        <f t="shared" si="16"/>
        <v>6.3204769087124024E-3</v>
      </c>
      <c r="I157" s="10">
        <f t="shared" si="18"/>
        <v>-8.7002142263803428E-3</v>
      </c>
      <c r="J157" s="10">
        <f t="shared" si="19"/>
        <v>-1.708453516751729E-2</v>
      </c>
      <c r="K157" s="10">
        <f t="shared" si="20"/>
        <v>7.0007496684159065E-3</v>
      </c>
      <c r="L157" s="10">
        <f t="shared" si="21"/>
        <v>1.4342965619067893E-2</v>
      </c>
      <c r="M157" s="10">
        <f t="shared" si="17"/>
        <v>-4.3342040803039383E-3</v>
      </c>
      <c r="N157" s="1"/>
      <c r="O157" s="2">
        <v>6117.52</v>
      </c>
      <c r="P157" s="12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:31" ht="15" thickBot="1" x14ac:dyDescent="0.35">
      <c r="A158" s="1">
        <v>45707</v>
      </c>
      <c r="B158">
        <v>139.22999999999999</v>
      </c>
      <c r="C158">
        <v>228.73</v>
      </c>
      <c r="D158">
        <v>360.56</v>
      </c>
      <c r="E158">
        <v>867.05</v>
      </c>
      <c r="F158">
        <v>47.41</v>
      </c>
      <c r="G158" s="6"/>
      <c r="H158" s="10">
        <f t="shared" si="16"/>
        <v>-1.2195121951220633E-3</v>
      </c>
      <c r="I158" s="10">
        <f t="shared" si="18"/>
        <v>8.7515862250020504E-4</v>
      </c>
      <c r="J158" s="10">
        <f t="shared" si="19"/>
        <v>1.8214679054531002E-2</v>
      </c>
      <c r="K158" s="10">
        <f t="shared" si="20"/>
        <v>1.1490900606626164E-2</v>
      </c>
      <c r="L158" s="10">
        <f t="shared" si="21"/>
        <v>-2.104820037886812E-3</v>
      </c>
      <c r="M158" s="10">
        <f t="shared" si="17"/>
        <v>2.3769980977488281E-3</v>
      </c>
      <c r="N158" s="1"/>
      <c r="O158" s="2">
        <v>6144.15</v>
      </c>
      <c r="P158" s="12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:31" ht="15" thickBot="1" x14ac:dyDescent="0.35">
      <c r="A159" s="1">
        <v>45706</v>
      </c>
      <c r="B159">
        <v>139.4</v>
      </c>
      <c r="C159">
        <v>228.53</v>
      </c>
      <c r="D159">
        <v>354.11</v>
      </c>
      <c r="E159">
        <v>857.2</v>
      </c>
      <c r="F159">
        <v>47.51</v>
      </c>
      <c r="G159" s="6"/>
      <c r="H159" s="10">
        <f t="shared" si="16"/>
        <v>3.961109110551142E-3</v>
      </c>
      <c r="I159" s="10">
        <f t="shared" si="18"/>
        <v>-1.9352900789563976E-2</v>
      </c>
      <c r="J159" s="10">
        <f t="shared" si="19"/>
        <v>-4.8617356115107091E-3</v>
      </c>
      <c r="K159" s="10">
        <f t="shared" si="20"/>
        <v>1.5315005863053344E-2</v>
      </c>
      <c r="L159" s="10">
        <f t="shared" si="21"/>
        <v>2.0842286205414728E-2</v>
      </c>
      <c r="M159" s="10">
        <f t="shared" si="17"/>
        <v>2.4449557863681637E-3</v>
      </c>
      <c r="N159" s="1"/>
      <c r="O159" s="2">
        <v>6129.58</v>
      </c>
      <c r="P159" s="12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1:31" ht="15" thickBot="1" x14ac:dyDescent="0.35">
      <c r="A160" s="1">
        <v>45702</v>
      </c>
      <c r="B160">
        <v>138.85</v>
      </c>
      <c r="C160">
        <v>233.04</v>
      </c>
      <c r="D160">
        <v>355.84</v>
      </c>
      <c r="E160">
        <v>844.27</v>
      </c>
      <c r="F160">
        <v>46.54</v>
      </c>
      <c r="G160" s="6"/>
      <c r="H160" s="10">
        <f t="shared" si="16"/>
        <v>2.6313844334392877E-2</v>
      </c>
      <c r="I160" s="10">
        <f t="shared" si="18"/>
        <v>-1.1704834605598013E-2</v>
      </c>
      <c r="J160" s="10">
        <f t="shared" si="19"/>
        <v>-2.8094622689223137E-4</v>
      </c>
      <c r="K160" s="10">
        <f t="shared" si="20"/>
        <v>-3.1644988874360624E-2</v>
      </c>
      <c r="L160" s="10">
        <f t="shared" si="21"/>
        <v>-2.5340314136125697E-2</v>
      </c>
      <c r="M160" s="10">
        <f t="shared" si="17"/>
        <v>-7.195338728738232E-5</v>
      </c>
      <c r="N160" s="1"/>
      <c r="O160" s="2">
        <v>6114.63</v>
      </c>
      <c r="P160" s="12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 ht="15" thickBot="1" x14ac:dyDescent="0.35">
      <c r="A161" s="1">
        <v>45701</v>
      </c>
      <c r="B161">
        <v>135.29</v>
      </c>
      <c r="C161">
        <v>235.8</v>
      </c>
      <c r="D161">
        <v>355.94</v>
      </c>
      <c r="E161">
        <v>871.86</v>
      </c>
      <c r="F161">
        <v>47.75</v>
      </c>
      <c r="G161" s="6"/>
      <c r="H161" s="10">
        <f t="shared" si="16"/>
        <v>3.1645569620253111E-2</v>
      </c>
      <c r="I161" s="10">
        <f t="shared" si="18"/>
        <v>-2.3270573302305309E-3</v>
      </c>
      <c r="J161" s="10">
        <f t="shared" si="19"/>
        <v>5.7739740275177587E-2</v>
      </c>
      <c r="K161" s="10">
        <f t="shared" si="20"/>
        <v>-1.2715213581222518E-3</v>
      </c>
      <c r="L161" s="10">
        <f t="shared" si="21"/>
        <v>2.0081179235206026E-2</v>
      </c>
      <c r="M161" s="10">
        <f t="shared" si="17"/>
        <v>1.0426357037460532E-2</v>
      </c>
      <c r="N161" s="1"/>
      <c r="O161" s="2">
        <v>6115.07</v>
      </c>
      <c r="P161" s="12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1" ht="15" thickBot="1" x14ac:dyDescent="0.35">
      <c r="A162" s="1">
        <v>45700</v>
      </c>
      <c r="B162">
        <v>131.13999999999999</v>
      </c>
      <c r="C162">
        <v>236.35</v>
      </c>
      <c r="D162">
        <v>336.51</v>
      </c>
      <c r="E162">
        <v>872.97</v>
      </c>
      <c r="F162">
        <v>46.81</v>
      </c>
      <c r="G162" s="6"/>
      <c r="H162" s="10">
        <f t="shared" si="16"/>
        <v>-1.2500000000000178E-2</v>
      </c>
      <c r="I162" s="10">
        <f t="shared" si="18"/>
        <v>5.5735194009529643E-3</v>
      </c>
      <c r="J162" s="10">
        <f t="shared" si="19"/>
        <v>2.4383561643835483E-2</v>
      </c>
      <c r="K162" s="10">
        <f t="shared" si="20"/>
        <v>9.2138728323700736E-3</v>
      </c>
      <c r="L162" s="10">
        <f t="shared" si="21"/>
        <v>2.9017366454165749E-2</v>
      </c>
      <c r="M162" s="10">
        <f t="shared" si="17"/>
        <v>-2.7239021174919609E-3</v>
      </c>
      <c r="N162" s="1"/>
      <c r="O162" s="2">
        <v>6051.97</v>
      </c>
      <c r="P162" s="12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 ht="15" thickBot="1" x14ac:dyDescent="0.35">
      <c r="A163" s="1">
        <v>45699</v>
      </c>
      <c r="B163">
        <v>132.80000000000001</v>
      </c>
      <c r="C163">
        <v>235.04</v>
      </c>
      <c r="D163">
        <v>328.5</v>
      </c>
      <c r="E163">
        <v>865</v>
      </c>
      <c r="F163">
        <v>45.49</v>
      </c>
      <c r="G163" s="6"/>
      <c r="H163" s="10">
        <f t="shared" si="16"/>
        <v>-5.7647675376205632E-3</v>
      </c>
      <c r="I163" s="10">
        <f t="shared" si="18"/>
        <v>0</v>
      </c>
      <c r="J163" s="10">
        <f t="shared" si="19"/>
        <v>-6.3382088786245849E-2</v>
      </c>
      <c r="K163" s="10">
        <f t="shared" si="20"/>
        <v>-4.4655188288371672E-3</v>
      </c>
      <c r="L163" s="10">
        <f t="shared" si="21"/>
        <v>-2.0878174773999114E-2</v>
      </c>
      <c r="M163" s="10">
        <f t="shared" si="17"/>
        <v>3.3957312690802155E-4</v>
      </c>
      <c r="N163" s="1"/>
      <c r="O163" s="2">
        <v>6068.5</v>
      </c>
      <c r="P163" s="12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:31" ht="15" thickBot="1" x14ac:dyDescent="0.35">
      <c r="A164" s="1">
        <v>45698</v>
      </c>
      <c r="B164">
        <v>133.57</v>
      </c>
      <c r="C164">
        <v>235.04</v>
      </c>
      <c r="D164">
        <v>350.73</v>
      </c>
      <c r="E164">
        <v>868.88</v>
      </c>
      <c r="F164">
        <v>46.46</v>
      </c>
      <c r="G164" s="6"/>
      <c r="H164" s="10">
        <f t="shared" si="16"/>
        <v>2.8727664818237741E-2</v>
      </c>
      <c r="I164" s="10">
        <f t="shared" si="18"/>
        <v>4.5226130653266194E-2</v>
      </c>
      <c r="J164" s="10">
        <f t="shared" si="19"/>
        <v>-3.0114484818317577E-2</v>
      </c>
      <c r="K164" s="10">
        <f t="shared" si="20"/>
        <v>-1.0736528105110943E-2</v>
      </c>
      <c r="L164" s="10">
        <f t="shared" si="21"/>
        <v>3.6128456735057934E-2</v>
      </c>
      <c r="M164" s="10">
        <f t="shared" si="17"/>
        <v>6.712589964470439E-3</v>
      </c>
      <c r="N164" s="1"/>
      <c r="O164" s="2">
        <v>6066.44</v>
      </c>
      <c r="P164" s="12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 ht="15" thickBot="1" x14ac:dyDescent="0.35">
      <c r="A165" s="1">
        <v>45695</v>
      </c>
      <c r="B165">
        <v>129.84</v>
      </c>
      <c r="C165">
        <v>224.87</v>
      </c>
      <c r="D165">
        <v>361.62</v>
      </c>
      <c r="E165">
        <v>878.31</v>
      </c>
      <c r="F165">
        <v>44.84</v>
      </c>
      <c r="G165" s="6"/>
      <c r="H165" s="10">
        <f t="shared" si="16"/>
        <v>9.0146098849859246E-3</v>
      </c>
      <c r="I165" s="10">
        <f t="shared" si="18"/>
        <v>-2.805152143845091E-2</v>
      </c>
      <c r="J165" s="10">
        <f t="shared" si="19"/>
        <v>-3.3928189784141916E-2</v>
      </c>
      <c r="K165" s="10">
        <f t="shared" si="20"/>
        <v>9.1225570734285721E-3</v>
      </c>
      <c r="L165" s="10">
        <f t="shared" si="21"/>
        <v>-8.9126559714791664E-4</v>
      </c>
      <c r="M165" s="10">
        <f t="shared" si="17"/>
        <v>-9.464837258386094E-3</v>
      </c>
      <c r="N165" s="1"/>
      <c r="O165" s="2">
        <v>6025.99</v>
      </c>
      <c r="P165" s="12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:31" ht="15" thickBot="1" x14ac:dyDescent="0.35">
      <c r="A166" s="1">
        <v>45694</v>
      </c>
      <c r="B166">
        <v>128.68</v>
      </c>
      <c r="C166">
        <v>231.36</v>
      </c>
      <c r="D166">
        <v>374.32</v>
      </c>
      <c r="E166">
        <v>870.37</v>
      </c>
      <c r="F166">
        <v>44.88</v>
      </c>
      <c r="G166" s="6"/>
      <c r="H166" s="10">
        <f t="shared" si="16"/>
        <v>3.0841945045261721E-2</v>
      </c>
      <c r="I166" s="10">
        <f t="shared" si="18"/>
        <v>-2.7586206896551557E-3</v>
      </c>
      <c r="J166" s="10">
        <f t="shared" si="19"/>
        <v>-1.0180606605494913E-2</v>
      </c>
      <c r="K166" s="10">
        <f t="shared" si="20"/>
        <v>3.3472654301930804E-2</v>
      </c>
      <c r="L166" s="10">
        <f t="shared" si="21"/>
        <v>-1.779359430604921E-3</v>
      </c>
      <c r="M166" s="10">
        <f t="shared" si="17"/>
        <v>3.64432448840879E-3</v>
      </c>
      <c r="N166" s="1"/>
      <c r="O166" s="2">
        <v>6083.57</v>
      </c>
      <c r="P166" s="12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 ht="15" thickBot="1" x14ac:dyDescent="0.35">
      <c r="A167" s="1">
        <v>45693</v>
      </c>
      <c r="B167">
        <v>124.83</v>
      </c>
      <c r="C167">
        <v>232</v>
      </c>
      <c r="D167">
        <v>378.17</v>
      </c>
      <c r="E167">
        <v>842.18</v>
      </c>
      <c r="F167">
        <v>44.96</v>
      </c>
      <c r="G167" s="6"/>
      <c r="H167" s="10">
        <f t="shared" si="16"/>
        <v>5.2085967130214961E-2</v>
      </c>
      <c r="I167" s="10">
        <f t="shared" si="18"/>
        <v>4.3024771838331199E-2</v>
      </c>
      <c r="J167" s="10">
        <f t="shared" si="19"/>
        <v>-3.5797149486244573E-2</v>
      </c>
      <c r="K167" s="10">
        <f t="shared" si="20"/>
        <v>1.9501979251152823E-2</v>
      </c>
      <c r="L167" s="10">
        <f t="shared" si="21"/>
        <v>3.7139561707035806E-2</v>
      </c>
      <c r="M167" s="10">
        <f t="shared" si="17"/>
        <v>3.9086566808217427E-3</v>
      </c>
      <c r="N167" s="1"/>
      <c r="O167" s="2">
        <v>6061.48</v>
      </c>
      <c r="P167" s="12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:31" ht="15" thickBot="1" x14ac:dyDescent="0.35">
      <c r="A168" s="1">
        <v>45692</v>
      </c>
      <c r="B168">
        <v>118.65</v>
      </c>
      <c r="C168">
        <v>222.43</v>
      </c>
      <c r="D168">
        <v>392.21</v>
      </c>
      <c r="E168">
        <v>826.07</v>
      </c>
      <c r="F168">
        <v>43.35</v>
      </c>
      <c r="G168" s="6"/>
      <c r="H168" s="10">
        <f t="shared" si="16"/>
        <v>1.705811760672038E-2</v>
      </c>
      <c r="I168" s="10">
        <f t="shared" si="18"/>
        <v>2.1586368437973791E-2</v>
      </c>
      <c r="J168" s="10">
        <f t="shared" si="19"/>
        <v>2.223206839032521E-2</v>
      </c>
      <c r="K168" s="10">
        <f t="shared" si="20"/>
        <v>1.9298397147193613E-2</v>
      </c>
      <c r="L168" s="10">
        <f t="shared" si="21"/>
        <v>5.3339517625232702E-3</v>
      </c>
      <c r="M168" s="10">
        <f t="shared" si="17"/>
        <v>7.2248718423506553E-3</v>
      </c>
      <c r="N168" s="1"/>
      <c r="O168" s="2">
        <v>6037.88</v>
      </c>
      <c r="P168" s="12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 ht="15" thickBot="1" x14ac:dyDescent="0.35">
      <c r="A169" s="1">
        <v>45691</v>
      </c>
      <c r="B169">
        <v>116.66</v>
      </c>
      <c r="C169">
        <v>217.73</v>
      </c>
      <c r="D169">
        <v>383.68</v>
      </c>
      <c r="E169">
        <v>810.43</v>
      </c>
      <c r="F169">
        <v>43.12</v>
      </c>
      <c r="G169" s="6"/>
      <c r="H169" s="10">
        <f t="shared" si="16"/>
        <v>-2.8400099941700674E-2</v>
      </c>
      <c r="I169" s="10">
        <f t="shared" si="18"/>
        <v>-1.5998553803046156E-2</v>
      </c>
      <c r="J169" s="10">
        <f t="shared" si="19"/>
        <v>-5.1705388037567968E-2</v>
      </c>
      <c r="K169" s="10">
        <f t="shared" si="20"/>
        <v>-8.0140060166700167E-4</v>
      </c>
      <c r="L169" s="10">
        <f t="shared" si="21"/>
        <v>9.3632958801497246E-3</v>
      </c>
      <c r="M169" s="10">
        <f t="shared" si="17"/>
        <v>-7.6086038807853251E-3</v>
      </c>
      <c r="N169" s="1"/>
      <c r="O169" s="2">
        <v>5994.57</v>
      </c>
      <c r="P169" s="12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:31" ht="15" thickBot="1" x14ac:dyDescent="0.35">
      <c r="A170" s="1">
        <v>45688</v>
      </c>
      <c r="B170">
        <v>120.07</v>
      </c>
      <c r="C170">
        <v>221.27</v>
      </c>
      <c r="D170">
        <v>404.6</v>
      </c>
      <c r="E170">
        <v>811.08</v>
      </c>
      <c r="F170">
        <v>42.72</v>
      </c>
      <c r="G170" s="6"/>
      <c r="H170" s="10">
        <f t="shared" si="16"/>
        <v>-3.6742880064179806E-2</v>
      </c>
      <c r="I170" s="10">
        <f t="shared" si="18"/>
        <v>2.6013168876936055E-2</v>
      </c>
      <c r="J170" s="10">
        <f t="shared" si="19"/>
        <v>1.0792445288298369E-2</v>
      </c>
      <c r="K170" s="10">
        <f t="shared" si="20"/>
        <v>-1.4758937356510349E-2</v>
      </c>
      <c r="L170" s="10">
        <f t="shared" si="21"/>
        <v>-8.586679043861789E-3</v>
      </c>
      <c r="M170" s="10">
        <f t="shared" si="17"/>
        <v>-5.0468031697350479E-3</v>
      </c>
      <c r="N170" s="1"/>
      <c r="O170" s="2">
        <v>6040.53</v>
      </c>
      <c r="P170" s="12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 ht="15" thickBot="1" x14ac:dyDescent="0.35">
      <c r="A171" s="1">
        <v>45687</v>
      </c>
      <c r="B171">
        <v>124.65</v>
      </c>
      <c r="C171">
        <v>215.66</v>
      </c>
      <c r="D171">
        <v>400.28</v>
      </c>
      <c r="E171">
        <v>823.23</v>
      </c>
      <c r="F171">
        <v>43.09</v>
      </c>
      <c r="G171" s="6"/>
      <c r="H171" s="10">
        <f t="shared" si="16"/>
        <v>7.6798706548100171E-3</v>
      </c>
      <c r="I171" s="10">
        <f t="shared" si="18"/>
        <v>4.5117518778774013E-2</v>
      </c>
      <c r="J171" s="10">
        <f t="shared" si="19"/>
        <v>2.873297352865567E-2</v>
      </c>
      <c r="K171" s="10">
        <f t="shared" si="20"/>
        <v>2.3816038205153767E-2</v>
      </c>
      <c r="L171" s="10">
        <f t="shared" si="21"/>
        <v>3.6066362106275562E-2</v>
      </c>
      <c r="M171" s="10">
        <f t="shared" si="17"/>
        <v>5.2754370946348494E-3</v>
      </c>
      <c r="N171" s="1"/>
      <c r="O171" s="2">
        <v>6071.17</v>
      </c>
      <c r="P171" s="12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:31" ht="15" thickBot="1" x14ac:dyDescent="0.35">
      <c r="A172" s="1">
        <v>45686</v>
      </c>
      <c r="B172">
        <v>123.7</v>
      </c>
      <c r="C172">
        <v>206.35</v>
      </c>
      <c r="D172">
        <v>389.1</v>
      </c>
      <c r="E172">
        <v>804.08</v>
      </c>
      <c r="F172">
        <v>41.59</v>
      </c>
      <c r="G172" s="6"/>
      <c r="H172" s="10">
        <f t="shared" si="16"/>
        <v>-4.1010931079928703E-2</v>
      </c>
      <c r="I172" s="10">
        <f t="shared" si="18"/>
        <v>-4.8707561728396076E-3</v>
      </c>
      <c r="J172" s="10">
        <f t="shared" si="19"/>
        <v>-2.2582833027707139E-2</v>
      </c>
      <c r="K172" s="10">
        <f t="shared" si="20"/>
        <v>-1.1304488254512135E-3</v>
      </c>
      <c r="L172" s="10">
        <f t="shared" si="21"/>
        <v>5.8041112454656485E-3</v>
      </c>
      <c r="M172" s="10">
        <f t="shared" si="17"/>
        <v>-4.6788733787100911E-3</v>
      </c>
      <c r="N172" s="1"/>
      <c r="O172" s="2">
        <v>6039.31</v>
      </c>
      <c r="P172" s="12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 ht="15" thickBot="1" x14ac:dyDescent="0.35">
      <c r="A173" s="1">
        <v>45685</v>
      </c>
      <c r="B173">
        <v>128.99</v>
      </c>
      <c r="C173">
        <v>207.36</v>
      </c>
      <c r="D173">
        <v>398.09</v>
      </c>
      <c r="E173">
        <v>804.99</v>
      </c>
      <c r="F173">
        <v>41.35</v>
      </c>
      <c r="G173" s="6"/>
      <c r="H173" s="10">
        <f t="shared" si="16"/>
        <v>8.9258571187299518E-2</v>
      </c>
      <c r="I173" s="10">
        <f t="shared" si="18"/>
        <v>2.5874437243358361E-2</v>
      </c>
      <c r="J173" s="10">
        <f t="shared" si="19"/>
        <v>2.3668639053253671E-3</v>
      </c>
      <c r="K173" s="10">
        <f t="shared" si="20"/>
        <v>-3.9348156947176527E-3</v>
      </c>
      <c r="L173" s="10">
        <f t="shared" si="21"/>
        <v>-5.2922780851575313E-3</v>
      </c>
      <c r="M173" s="10">
        <f t="shared" si="17"/>
        <v>9.2178009008230255E-3</v>
      </c>
      <c r="N173" s="1"/>
      <c r="O173" s="2">
        <v>6067.7</v>
      </c>
      <c r="P173" s="12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:31" ht="15" thickBot="1" x14ac:dyDescent="0.35">
      <c r="A174" s="1">
        <v>45684</v>
      </c>
      <c r="B174">
        <v>118.42</v>
      </c>
      <c r="C174">
        <v>202.13</v>
      </c>
      <c r="D174">
        <v>397.15</v>
      </c>
      <c r="E174">
        <v>808.17</v>
      </c>
      <c r="F174">
        <v>41.57</v>
      </c>
      <c r="G174" s="6"/>
      <c r="H174" s="10">
        <f t="shared" si="16"/>
        <v>-0.16968167157481417</v>
      </c>
      <c r="I174" s="10">
        <f t="shared" si="18"/>
        <v>-0.17396812423375563</v>
      </c>
      <c r="J174" s="10">
        <f t="shared" si="19"/>
        <v>-2.3193467460278394E-2</v>
      </c>
      <c r="K174" s="10">
        <f t="shared" si="20"/>
        <v>2.8978495308183083E-2</v>
      </c>
      <c r="L174" s="10">
        <f t="shared" si="21"/>
        <v>-1.1179828734538488E-2</v>
      </c>
      <c r="M174" s="10">
        <f t="shared" si="17"/>
        <v>-1.45806426234667E-2</v>
      </c>
      <c r="N174" s="1"/>
      <c r="O174" s="2">
        <v>6012.28</v>
      </c>
      <c r="P174" s="12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 ht="15" thickBot="1" x14ac:dyDescent="0.35">
      <c r="A175" s="1">
        <v>45681</v>
      </c>
      <c r="B175">
        <v>142.62</v>
      </c>
      <c r="C175">
        <v>244.7</v>
      </c>
      <c r="D175">
        <v>406.58</v>
      </c>
      <c r="E175">
        <v>785.41</v>
      </c>
      <c r="F175">
        <v>42.04</v>
      </c>
      <c r="G175" s="6"/>
      <c r="H175" s="10">
        <f t="shared" si="16"/>
        <v>-3.1245754652900359E-2</v>
      </c>
      <c r="I175" s="10">
        <f t="shared" si="18"/>
        <v>1.8395205593474184E-2</v>
      </c>
      <c r="J175" s="10">
        <f t="shared" si="19"/>
        <v>-1.406469760900142E-2</v>
      </c>
      <c r="K175" s="10">
        <f t="shared" si="20"/>
        <v>2.4536916253587115E-2</v>
      </c>
      <c r="L175" s="10">
        <f t="shared" si="21"/>
        <v>2.1454112038139517E-3</v>
      </c>
      <c r="M175" s="10">
        <f t="shared" si="17"/>
        <v>-2.8551769899211044E-3</v>
      </c>
      <c r="N175" s="1"/>
      <c r="O175" s="2">
        <v>6101.24</v>
      </c>
      <c r="P175" s="12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:31" ht="15" thickBot="1" x14ac:dyDescent="0.35">
      <c r="A176" s="1">
        <v>45680</v>
      </c>
      <c r="B176">
        <v>147.22</v>
      </c>
      <c r="C176">
        <v>240.28</v>
      </c>
      <c r="D176">
        <v>412.38</v>
      </c>
      <c r="E176">
        <v>766.6</v>
      </c>
      <c r="F176">
        <v>41.95</v>
      </c>
      <c r="G176" s="6"/>
      <c r="H176" s="10">
        <f t="shared" si="16"/>
        <v>1.0199224858911116E-3</v>
      </c>
      <c r="I176" s="10">
        <f t="shared" si="18"/>
        <v>-2.6150844713793697E-3</v>
      </c>
      <c r="J176" s="10">
        <f t="shared" si="19"/>
        <v>-6.57657006576573E-3</v>
      </c>
      <c r="K176" s="10">
        <f t="shared" si="20"/>
        <v>1.6737844505159361E-2</v>
      </c>
      <c r="L176" s="10">
        <f t="shared" si="21"/>
        <v>6.4779270633397168E-3</v>
      </c>
      <c r="M176" s="10">
        <f t="shared" si="17"/>
        <v>5.31351199483443E-3</v>
      </c>
      <c r="N176" s="1"/>
      <c r="O176" s="2">
        <v>6118.71</v>
      </c>
      <c r="P176" s="12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:31" ht="15" thickBot="1" x14ac:dyDescent="0.35">
      <c r="A177" s="1">
        <v>45679</v>
      </c>
      <c r="B177">
        <v>147.07</v>
      </c>
      <c r="C177">
        <v>240.91</v>
      </c>
      <c r="D177">
        <v>415.11</v>
      </c>
      <c r="E177">
        <v>753.98</v>
      </c>
      <c r="F177">
        <v>41.68</v>
      </c>
      <c r="G177" s="6"/>
      <c r="H177" s="10">
        <f t="shared" si="16"/>
        <v>4.43087410352907E-2</v>
      </c>
      <c r="I177" s="10">
        <f t="shared" si="18"/>
        <v>2.4967749989597277E-3</v>
      </c>
      <c r="J177" s="10">
        <f t="shared" si="19"/>
        <v>-2.1128587261536991E-2</v>
      </c>
      <c r="K177" s="10">
        <f t="shared" si="20"/>
        <v>1.5666464605644137E-2</v>
      </c>
      <c r="L177" s="10">
        <f t="shared" si="21"/>
        <v>-1.5820543093270412E-2</v>
      </c>
      <c r="M177" s="10">
        <f t="shared" si="17"/>
        <v>6.1379611323075789E-3</v>
      </c>
      <c r="N177" s="1"/>
      <c r="O177" s="2">
        <v>6086.37</v>
      </c>
      <c r="P177" s="12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:31" ht="15" thickBot="1" x14ac:dyDescent="0.35">
      <c r="A178" s="1">
        <v>45678</v>
      </c>
      <c r="B178">
        <v>140.83000000000001</v>
      </c>
      <c r="C178">
        <v>240.31</v>
      </c>
      <c r="D178">
        <v>424.07</v>
      </c>
      <c r="E178">
        <v>742.35</v>
      </c>
      <c r="F178">
        <v>42.35</v>
      </c>
      <c r="G178" s="6"/>
      <c r="H178" s="10">
        <f t="shared" si="16"/>
        <v>2.265630673153729E-2</v>
      </c>
      <c r="I178" s="10">
        <f t="shared" si="18"/>
        <v>1.2087264150943522E-2</v>
      </c>
      <c r="J178" s="10">
        <f t="shared" si="19"/>
        <v>-5.6975381008206316E-3</v>
      </c>
      <c r="K178" s="10">
        <f t="shared" si="20"/>
        <v>2.2915173896268515E-2</v>
      </c>
      <c r="L178" s="10">
        <f t="shared" si="21"/>
        <v>1.6318694504439568E-2</v>
      </c>
      <c r="M178" s="10">
        <f t="shared" si="17"/>
        <v>8.7682143059637507E-3</v>
      </c>
      <c r="N178" s="1"/>
      <c r="O178" s="2">
        <v>6049.24</v>
      </c>
      <c r="P178" s="12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:31" ht="15" thickBot="1" x14ac:dyDescent="0.35">
      <c r="A179" s="1">
        <v>45674</v>
      </c>
      <c r="B179">
        <v>137.71</v>
      </c>
      <c r="C179">
        <v>237.44</v>
      </c>
      <c r="D179">
        <v>426.5</v>
      </c>
      <c r="E179">
        <v>725.72</v>
      </c>
      <c r="F179">
        <v>41.67</v>
      </c>
      <c r="G179" s="6"/>
      <c r="H179" s="10">
        <f t="shared" si="16"/>
        <v>3.0994983903571249E-2</v>
      </c>
      <c r="I179" s="10">
        <f t="shared" si="18"/>
        <v>3.5002833355128438E-2</v>
      </c>
      <c r="J179" s="10">
        <f t="shared" si="19"/>
        <v>3.0641341646126419E-2</v>
      </c>
      <c r="K179" s="10">
        <f t="shared" si="20"/>
        <v>-4.2080253431890147E-2</v>
      </c>
      <c r="L179" s="10">
        <f t="shared" si="21"/>
        <v>4.8019207683069887E-4</v>
      </c>
      <c r="M179" s="10">
        <f t="shared" si="17"/>
        <v>9.9910060734267336E-3</v>
      </c>
      <c r="N179" s="1"/>
      <c r="O179" s="2">
        <v>5996.66</v>
      </c>
      <c r="P179" s="12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1:31" ht="15" thickBot="1" x14ac:dyDescent="0.35">
      <c r="A180" s="1">
        <v>45673</v>
      </c>
      <c r="B180">
        <v>133.57</v>
      </c>
      <c r="C180">
        <v>229.41</v>
      </c>
      <c r="D180">
        <v>413.82</v>
      </c>
      <c r="E180">
        <v>757.6</v>
      </c>
      <c r="F180">
        <v>41.65</v>
      </c>
      <c r="G180" s="6"/>
      <c r="H180" s="10">
        <f t="shared" si="16"/>
        <v>-1.9597768643570324E-2</v>
      </c>
      <c r="I180" s="10">
        <f t="shared" si="18"/>
        <v>6.184210526315681E-3</v>
      </c>
      <c r="J180" s="10">
        <f t="shared" si="19"/>
        <v>-3.3627574611181266E-2</v>
      </c>
      <c r="K180" s="10">
        <f t="shared" si="20"/>
        <v>1.4543214505718272E-2</v>
      </c>
      <c r="L180" s="10">
        <f t="shared" si="21"/>
        <v>6.7681895093063549E-3</v>
      </c>
      <c r="M180" s="10">
        <f t="shared" si="17"/>
        <v>-2.112636997870454E-3</v>
      </c>
      <c r="N180" s="1"/>
      <c r="O180" s="2">
        <v>5937.34</v>
      </c>
      <c r="P180" s="12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:31" ht="15" thickBot="1" x14ac:dyDescent="0.35">
      <c r="A181" s="1">
        <v>45672</v>
      </c>
      <c r="B181">
        <v>136.24</v>
      </c>
      <c r="C181">
        <v>228</v>
      </c>
      <c r="D181">
        <v>428.22</v>
      </c>
      <c r="E181">
        <v>746.74</v>
      </c>
      <c r="F181">
        <v>41.37</v>
      </c>
      <c r="G181" s="6"/>
      <c r="H181" s="10">
        <f t="shared" si="16"/>
        <v>3.4001214329083318E-2</v>
      </c>
      <c r="I181" s="10">
        <f t="shared" si="18"/>
        <v>1.4686248331108098E-2</v>
      </c>
      <c r="J181" s="10">
        <f t="shared" si="19"/>
        <v>8.0381471389645798E-2</v>
      </c>
      <c r="K181" s="10">
        <f t="shared" si="20"/>
        <v>2.4566726181687315E-3</v>
      </c>
      <c r="L181" s="10">
        <f t="shared" si="21"/>
        <v>3.0129482071713065E-2</v>
      </c>
      <c r="M181" s="10">
        <f t="shared" si="17"/>
        <v>1.8312792769356268E-2</v>
      </c>
      <c r="N181" s="1"/>
      <c r="O181" s="2">
        <v>5949.91</v>
      </c>
      <c r="P181" s="12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:31" ht="15" thickBot="1" x14ac:dyDescent="0.35">
      <c r="A182" s="1">
        <v>45671</v>
      </c>
      <c r="B182">
        <v>131.76</v>
      </c>
      <c r="C182">
        <v>224.7</v>
      </c>
      <c r="D182">
        <v>396.36</v>
      </c>
      <c r="E182">
        <v>744.91</v>
      </c>
      <c r="F182">
        <v>40.159999999999997</v>
      </c>
      <c r="G182" s="6"/>
      <c r="H182" s="10">
        <f t="shared" si="16"/>
        <v>-1.103355100202652E-2</v>
      </c>
      <c r="I182" s="10">
        <f t="shared" si="18"/>
        <v>-2.61884681965463E-3</v>
      </c>
      <c r="J182" s="10">
        <f t="shared" si="19"/>
        <v>-1.7232401874488601E-2</v>
      </c>
      <c r="K182" s="10">
        <f t="shared" si="20"/>
        <v>-6.5920148467673245E-2</v>
      </c>
      <c r="L182" s="10">
        <f t="shared" si="21"/>
        <v>2.5274444728108136E-2</v>
      </c>
      <c r="M182" s="10">
        <f t="shared" si="17"/>
        <v>1.146289893115604E-3</v>
      </c>
      <c r="N182" s="1"/>
      <c r="O182" s="2">
        <v>5842.91</v>
      </c>
      <c r="P182" s="12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:31" ht="15" thickBot="1" x14ac:dyDescent="0.35">
      <c r="A183" s="1">
        <v>45670</v>
      </c>
      <c r="B183">
        <v>133.22999999999999</v>
      </c>
      <c r="C183">
        <v>225.29</v>
      </c>
      <c r="D183">
        <v>403.31</v>
      </c>
      <c r="E183">
        <v>797.48</v>
      </c>
      <c r="F183">
        <v>39.17</v>
      </c>
      <c r="G183" s="6"/>
      <c r="H183" s="10">
        <f t="shared" si="16"/>
        <v>-1.9718931645942184E-2</v>
      </c>
      <c r="I183" s="10">
        <f t="shared" si="18"/>
        <v>4.3689536801747586E-3</v>
      </c>
      <c r="J183" s="10">
        <f t="shared" si="19"/>
        <v>2.1710492982722762E-2</v>
      </c>
      <c r="K183" s="10">
        <f t="shared" si="20"/>
        <v>-3.0253781722714423E-3</v>
      </c>
      <c r="L183" s="10">
        <f t="shared" si="21"/>
        <v>1.7902813299233156E-3</v>
      </c>
      <c r="M183" s="10">
        <f t="shared" si="17"/>
        <v>1.5754139322881056E-3</v>
      </c>
      <c r="N183" s="1"/>
      <c r="O183" s="2">
        <v>5836.22</v>
      </c>
      <c r="P183" s="12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1:31" ht="15" thickBot="1" x14ac:dyDescent="0.35">
      <c r="A184" s="1">
        <v>45667</v>
      </c>
      <c r="B184">
        <v>135.91</v>
      </c>
      <c r="C184">
        <v>224.31</v>
      </c>
      <c r="D184">
        <v>394.74</v>
      </c>
      <c r="E184">
        <v>799.9</v>
      </c>
      <c r="F184">
        <v>39.1</v>
      </c>
      <c r="G184" s="6"/>
      <c r="H184" s="10">
        <f t="shared" si="16"/>
        <v>-2.997644707729652E-2</v>
      </c>
      <c r="I184" s="10">
        <f t="shared" si="18"/>
        <v>-2.1804544066983511E-2</v>
      </c>
      <c r="J184" s="10">
        <f t="shared" si="19"/>
        <v>-5.0640603635987436E-4</v>
      </c>
      <c r="K184" s="10">
        <f t="shared" si="20"/>
        <v>1.6107314346688328E-2</v>
      </c>
      <c r="L184" s="10">
        <f t="shared" si="21"/>
        <v>-7.6667518527984146E-4</v>
      </c>
      <c r="M184" s="10">
        <f t="shared" si="17"/>
        <v>-1.5411650403413191E-2</v>
      </c>
      <c r="N184" s="1"/>
      <c r="O184" s="2">
        <v>5827.04</v>
      </c>
      <c r="P184" s="12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:31" ht="15" thickBot="1" x14ac:dyDescent="0.35">
      <c r="A185" s="1">
        <v>45665</v>
      </c>
      <c r="B185">
        <v>140.11000000000001</v>
      </c>
      <c r="C185">
        <v>229.31</v>
      </c>
      <c r="D185">
        <v>394.94</v>
      </c>
      <c r="E185">
        <v>787.22</v>
      </c>
      <c r="F185">
        <v>39.130000000000003</v>
      </c>
      <c r="G185" s="6"/>
      <c r="H185" s="10">
        <f t="shared" si="16"/>
        <v>-2.1407164264286571E-4</v>
      </c>
      <c r="I185" s="10">
        <f t="shared" si="18"/>
        <v>2.9303708887333801E-3</v>
      </c>
      <c r="J185" s="10">
        <f t="shared" si="19"/>
        <v>1.4707373973019688E-3</v>
      </c>
      <c r="K185" s="10">
        <f t="shared" si="20"/>
        <v>1.8013940436317544E-2</v>
      </c>
      <c r="L185" s="10">
        <f t="shared" si="21"/>
        <v>2.5419287211740249E-2</v>
      </c>
      <c r="M185" s="10">
        <f t="shared" si="17"/>
        <v>1.5603237756451893E-3</v>
      </c>
      <c r="N185" s="1"/>
      <c r="O185" s="2">
        <v>5918.25</v>
      </c>
      <c r="P185" s="12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:31" ht="15" thickBot="1" x14ac:dyDescent="0.35">
      <c r="A186" s="1">
        <v>45664</v>
      </c>
      <c r="B186">
        <v>140.13999999999999</v>
      </c>
      <c r="C186">
        <v>228.64</v>
      </c>
      <c r="D186">
        <v>394.36</v>
      </c>
      <c r="E186">
        <v>773.29</v>
      </c>
      <c r="F186">
        <v>38.159999999999997</v>
      </c>
      <c r="G186" s="6"/>
      <c r="H186" s="10">
        <f t="shared" si="16"/>
        <v>-6.2169577728702574E-2</v>
      </c>
      <c r="I186" s="10">
        <f t="shared" si="18"/>
        <v>-3.2866630007190922E-2</v>
      </c>
      <c r="J186" s="10">
        <f t="shared" si="19"/>
        <v>-4.0603332927867664E-2</v>
      </c>
      <c r="K186" s="10">
        <f t="shared" si="20"/>
        <v>1.0704483074107873E-2</v>
      </c>
      <c r="L186" s="10">
        <f t="shared" si="21"/>
        <v>9.7909499867689931E-3</v>
      </c>
      <c r="M186" s="10">
        <f t="shared" si="17"/>
        <v>-1.1103896321238205E-2</v>
      </c>
      <c r="N186" s="1"/>
      <c r="O186" s="2">
        <v>5909.03</v>
      </c>
      <c r="P186" s="12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:31" ht="15" thickBot="1" x14ac:dyDescent="0.35">
      <c r="A187" s="1">
        <v>45663</v>
      </c>
      <c r="B187">
        <v>149.43</v>
      </c>
      <c r="C187">
        <v>236.41</v>
      </c>
      <c r="D187">
        <v>411.05</v>
      </c>
      <c r="E187">
        <v>765.1</v>
      </c>
      <c r="F187">
        <v>37.79</v>
      </c>
      <c r="G187" s="6"/>
      <c r="H187" s="10">
        <f t="shared" si="16"/>
        <v>3.4332387346854176E-2</v>
      </c>
      <c r="I187" s="10">
        <f t="shared" si="18"/>
        <v>1.6598580950333286E-2</v>
      </c>
      <c r="J187" s="10">
        <f t="shared" si="19"/>
        <v>1.4862099210604107E-3</v>
      </c>
      <c r="K187" s="10">
        <f t="shared" si="20"/>
        <v>-2.1586229826849768E-2</v>
      </c>
      <c r="L187" s="10">
        <f t="shared" si="21"/>
        <v>-8.396746260823984E-3</v>
      </c>
      <c r="M187" s="10">
        <f t="shared" si="17"/>
        <v>5.5381011599553442E-3</v>
      </c>
      <c r="N187" s="1"/>
      <c r="O187" s="2">
        <v>5975.38</v>
      </c>
      <c r="P187" s="12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:31" ht="15" thickBot="1" x14ac:dyDescent="0.35">
      <c r="A188" s="1">
        <v>45660</v>
      </c>
      <c r="B188">
        <v>144.47</v>
      </c>
      <c r="C188">
        <v>232.55</v>
      </c>
      <c r="D188">
        <v>410.44</v>
      </c>
      <c r="E188">
        <v>781.98</v>
      </c>
      <c r="F188">
        <v>38.11</v>
      </c>
      <c r="G188" s="6"/>
      <c r="H188" s="10">
        <f t="shared" si="16"/>
        <v>4.4537632853734355E-2</v>
      </c>
      <c r="I188" s="10">
        <f t="shared" si="18"/>
        <v>2.4571083714113318E-3</v>
      </c>
      <c r="J188" s="10">
        <f t="shared" si="19"/>
        <v>8.2155663362159848E-2</v>
      </c>
      <c r="K188" s="10">
        <f t="shared" si="20"/>
        <v>5.0252547971261219E-3</v>
      </c>
      <c r="L188" s="10">
        <f t="shared" si="21"/>
        <v>-6.7761271826947134E-3</v>
      </c>
      <c r="M188" s="10">
        <f t="shared" si="17"/>
        <v>1.2595956411720177E-2</v>
      </c>
      <c r="N188" s="1"/>
      <c r="O188" s="2">
        <v>5942.47</v>
      </c>
      <c r="P188" s="12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:31" ht="15" thickBot="1" x14ac:dyDescent="0.35">
      <c r="A189" s="1">
        <v>45659</v>
      </c>
      <c r="B189">
        <v>138.31</v>
      </c>
      <c r="C189">
        <v>231.98</v>
      </c>
      <c r="D189">
        <v>379.28</v>
      </c>
      <c r="E189">
        <v>778.07</v>
      </c>
      <c r="F189">
        <v>38.369999999999997</v>
      </c>
      <c r="G189" s="6"/>
      <c r="H189" s="10">
        <f t="shared" si="16"/>
        <v>2.9935214833569201E-2</v>
      </c>
      <c r="I189" s="10">
        <f t="shared" si="18"/>
        <v>6.0386473429940857E-4</v>
      </c>
      <c r="J189" s="10">
        <f t="shared" si="19"/>
        <v>-6.0816164817749652E-2</v>
      </c>
      <c r="K189" s="10">
        <f t="shared" si="20"/>
        <v>7.8626943005182248E-3</v>
      </c>
      <c r="L189" s="10">
        <f t="shared" si="21"/>
        <v>3.0897367006985421E-2</v>
      </c>
      <c r="M189" s="10">
        <f t="shared" si="17"/>
        <v>-2.2238733140302891E-3</v>
      </c>
      <c r="N189" s="1"/>
      <c r="O189" s="2">
        <v>5868.55</v>
      </c>
      <c r="P189" s="12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1:31" ht="15" thickBot="1" x14ac:dyDescent="0.35">
      <c r="A190" s="1">
        <v>45657</v>
      </c>
      <c r="B190">
        <v>134.29</v>
      </c>
      <c r="C190">
        <v>231.84</v>
      </c>
      <c r="D190">
        <v>403.84</v>
      </c>
      <c r="E190">
        <v>772</v>
      </c>
      <c r="F190">
        <v>37.22</v>
      </c>
      <c r="G190" s="6"/>
      <c r="H190" s="10">
        <f t="shared" si="16"/>
        <v>-2.3274419957815207E-2</v>
      </c>
      <c r="I190" s="10">
        <f t="shared" si="18"/>
        <v>-1.5875711011121507E-2</v>
      </c>
      <c r="J190" s="10">
        <f t="shared" si="19"/>
        <v>-3.2510002156153517E-2</v>
      </c>
      <c r="K190" s="10">
        <f t="shared" si="20"/>
        <v>-2.3777525069782479E-3</v>
      </c>
      <c r="L190" s="10">
        <f t="shared" si="21"/>
        <v>5.9459459459458852E-3</v>
      </c>
      <c r="M190" s="10">
        <f t="shared" si="17"/>
        <v>-4.2847904329482711E-3</v>
      </c>
      <c r="N190" s="1"/>
      <c r="O190" s="2">
        <v>5881.63</v>
      </c>
      <c r="P190" s="12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:31" ht="15" thickBot="1" x14ac:dyDescent="0.35">
      <c r="A191" s="1">
        <v>45656</v>
      </c>
      <c r="B191">
        <v>137.49</v>
      </c>
      <c r="C191">
        <v>235.58</v>
      </c>
      <c r="D191">
        <v>417.41</v>
      </c>
      <c r="E191">
        <v>773.84</v>
      </c>
      <c r="F191">
        <v>37</v>
      </c>
      <c r="G191" s="6"/>
      <c r="H191" s="10">
        <f t="shared" si="16"/>
        <v>3.5033939128532587E-3</v>
      </c>
      <c r="I191" s="10">
        <f t="shared" si="18"/>
        <v>-2.5522233712512832E-2</v>
      </c>
      <c r="J191" s="10">
        <f t="shared" si="19"/>
        <v>-3.3012092850854824E-2</v>
      </c>
      <c r="K191" s="10">
        <f t="shared" si="20"/>
        <v>-1.191312231060937E-2</v>
      </c>
      <c r="L191" s="10">
        <f t="shared" si="21"/>
        <v>-2.2198731501057223E-2</v>
      </c>
      <c r="M191" s="10">
        <f t="shared" si="17"/>
        <v>-1.0702011777237508E-2</v>
      </c>
      <c r="N191" s="1"/>
      <c r="O191" s="2">
        <v>5906.94</v>
      </c>
      <c r="P191" s="12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1:31" ht="15" thickBot="1" x14ac:dyDescent="0.35">
      <c r="A192" s="1">
        <v>45653</v>
      </c>
      <c r="B192">
        <v>137.01</v>
      </c>
      <c r="C192">
        <v>241.75</v>
      </c>
      <c r="D192">
        <v>431.66</v>
      </c>
      <c r="E192">
        <v>783.17</v>
      </c>
      <c r="F192">
        <v>37.840000000000003</v>
      </c>
      <c r="G192" s="6"/>
      <c r="H192" s="10">
        <f t="shared" si="16"/>
        <v>-2.086757664546568E-2</v>
      </c>
      <c r="I192" s="10">
        <f t="shared" si="18"/>
        <v>-1.4713074665797299E-2</v>
      </c>
      <c r="J192" s="10">
        <f t="shared" si="19"/>
        <v>-4.9479224010745781E-2</v>
      </c>
      <c r="K192" s="10">
        <f t="shared" si="20"/>
        <v>-1.3813685244415397E-2</v>
      </c>
      <c r="L192" s="10">
        <f t="shared" si="21"/>
        <v>-6.5634024678393743E-3</v>
      </c>
      <c r="M192" s="10">
        <f t="shared" si="17"/>
        <v>-1.1055735815118317E-2</v>
      </c>
      <c r="N192" s="1"/>
      <c r="O192" s="2">
        <v>5970.84</v>
      </c>
      <c r="P192" s="12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:31" ht="15" thickBot="1" x14ac:dyDescent="0.35">
      <c r="A193" s="1">
        <v>45652</v>
      </c>
      <c r="B193">
        <v>139.93</v>
      </c>
      <c r="C193">
        <v>245.36</v>
      </c>
      <c r="D193">
        <v>454.13</v>
      </c>
      <c r="E193">
        <v>794.14</v>
      </c>
      <c r="F193">
        <v>38.090000000000003</v>
      </c>
      <c r="G193" s="6"/>
      <c r="H193" s="10">
        <f t="shared" si="16"/>
        <v>-2.068178576522528E-3</v>
      </c>
      <c r="I193" s="10">
        <f t="shared" si="18"/>
        <v>2.3698264352469911E-2</v>
      </c>
      <c r="J193" s="10">
        <f t="shared" si="19"/>
        <v>-1.7630007787488022E-2</v>
      </c>
      <c r="K193" s="10">
        <f t="shared" si="20"/>
        <v>-1.9229077381326398E-3</v>
      </c>
      <c r="L193" s="10">
        <f t="shared" si="21"/>
        <v>-5.7426259462280971E-3</v>
      </c>
      <c r="M193" s="10">
        <f t="shared" si="17"/>
        <v>-4.0562645280495246E-4</v>
      </c>
      <c r="N193" s="1"/>
      <c r="O193" s="2">
        <v>6037.59</v>
      </c>
      <c r="P193" s="12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1:31" ht="15" thickBot="1" x14ac:dyDescent="0.35">
      <c r="A194" s="1">
        <v>45650</v>
      </c>
      <c r="B194">
        <v>140.22</v>
      </c>
      <c r="C194">
        <v>239.68</v>
      </c>
      <c r="D194">
        <v>462.28</v>
      </c>
      <c r="E194">
        <v>795.67</v>
      </c>
      <c r="F194">
        <v>38.31</v>
      </c>
      <c r="G194" s="6"/>
      <c r="H194" s="10">
        <f t="shared" si="16"/>
        <v>3.9378535118494984E-3</v>
      </c>
      <c r="I194" s="10">
        <f t="shared" si="18"/>
        <v>3.1547234775123778E-2</v>
      </c>
      <c r="J194" s="10">
        <f t="shared" si="19"/>
        <v>7.3571760334417036E-2</v>
      </c>
      <c r="K194" s="10">
        <f t="shared" si="20"/>
        <v>-7.6606218917973923E-4</v>
      </c>
      <c r="L194" s="10">
        <f t="shared" si="21"/>
        <v>3.9308176100629755E-3</v>
      </c>
      <c r="M194" s="10">
        <f t="shared" si="17"/>
        <v>1.1042722967758989E-2</v>
      </c>
      <c r="N194" s="1"/>
      <c r="O194" s="2">
        <v>6040.04</v>
      </c>
      <c r="P194" s="12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:31" ht="15" thickBot="1" x14ac:dyDescent="0.35">
      <c r="A195" s="1">
        <v>45649</v>
      </c>
      <c r="B195">
        <v>139.66999999999999</v>
      </c>
      <c r="C195">
        <v>232.35</v>
      </c>
      <c r="D195">
        <v>430.6</v>
      </c>
      <c r="E195">
        <v>796.28</v>
      </c>
      <c r="F195">
        <v>38.159999999999997</v>
      </c>
      <c r="G195" s="6"/>
      <c r="H195" s="10">
        <f t="shared" si="16"/>
        <v>3.6896807720861124E-2</v>
      </c>
      <c r="I195" s="10">
        <f t="shared" si="18"/>
        <v>5.2357443724806441E-2</v>
      </c>
      <c r="J195" s="10">
        <f t="shared" si="19"/>
        <v>2.2657103500688835E-2</v>
      </c>
      <c r="K195" s="10">
        <f t="shared" si="20"/>
        <v>3.7147025112014065E-2</v>
      </c>
      <c r="L195" s="10">
        <f t="shared" si="21"/>
        <v>-3.1347962382446415E-3</v>
      </c>
      <c r="M195" s="10">
        <f t="shared" si="17"/>
        <v>7.2873196927927264E-3</v>
      </c>
      <c r="N195" s="1"/>
      <c r="O195" s="2">
        <v>5974.07</v>
      </c>
      <c r="P195" s="12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1:31" ht="15" thickBot="1" x14ac:dyDescent="0.35">
      <c r="A196" s="1">
        <v>45646</v>
      </c>
      <c r="B196">
        <v>134.69999999999999</v>
      </c>
      <c r="C196">
        <v>220.79</v>
      </c>
      <c r="D196">
        <v>421.06</v>
      </c>
      <c r="E196">
        <v>767.76</v>
      </c>
      <c r="F196">
        <v>38.28</v>
      </c>
      <c r="G196" s="6"/>
      <c r="H196" s="10">
        <f t="shared" ref="H196:H259" si="22">(B196/B197)-1</f>
        <v>3.0762167125803375E-2</v>
      </c>
      <c r="I196" s="10">
        <f t="shared" si="18"/>
        <v>1.1313668010260125E-2</v>
      </c>
      <c r="J196" s="10">
        <f t="shared" si="19"/>
        <v>-3.4642455923149296E-2</v>
      </c>
      <c r="K196" s="10">
        <f t="shared" si="20"/>
        <v>1.3491036776935861E-2</v>
      </c>
      <c r="L196" s="10">
        <f t="shared" si="21"/>
        <v>3.4035656401944836E-2</v>
      </c>
      <c r="M196" s="10">
        <f t="shared" ref="M196:M259" si="23">(O196/O197)-1</f>
        <v>1.0869120584686254E-2</v>
      </c>
      <c r="N196" s="1"/>
      <c r="O196" s="2">
        <v>5930.85</v>
      </c>
      <c r="P196" s="12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:31" ht="15" thickBot="1" x14ac:dyDescent="0.35">
      <c r="A197" s="1">
        <v>45645</v>
      </c>
      <c r="B197">
        <v>130.68</v>
      </c>
      <c r="C197">
        <v>218.32</v>
      </c>
      <c r="D197">
        <v>436.17</v>
      </c>
      <c r="E197">
        <v>757.54</v>
      </c>
      <c r="F197">
        <v>37.020000000000003</v>
      </c>
      <c r="G197" s="6"/>
      <c r="H197" s="10">
        <f t="shared" si="22"/>
        <v>1.3730509657901013E-2</v>
      </c>
      <c r="I197" s="10">
        <f t="shared" si="18"/>
        <v>-2.3700921205616732E-2</v>
      </c>
      <c r="J197" s="10">
        <f t="shared" si="19"/>
        <v>-8.9973416944992834E-3</v>
      </c>
      <c r="K197" s="10">
        <f t="shared" si="20"/>
        <v>-9.3761033594434995E-3</v>
      </c>
      <c r="L197" s="10">
        <f t="shared" si="21"/>
        <v>-1.6471838469713007E-2</v>
      </c>
      <c r="M197" s="10">
        <f t="shared" si="23"/>
        <v>-8.6509904362275236E-4</v>
      </c>
      <c r="N197" s="1"/>
      <c r="O197" s="2">
        <v>5867.08</v>
      </c>
      <c r="P197" s="12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1:31" ht="15" thickBot="1" x14ac:dyDescent="0.35">
      <c r="A198" s="1">
        <v>45644</v>
      </c>
      <c r="B198">
        <v>128.91</v>
      </c>
      <c r="C198">
        <v>223.62</v>
      </c>
      <c r="D198">
        <v>440.13</v>
      </c>
      <c r="E198">
        <v>764.71</v>
      </c>
      <c r="F198">
        <v>37.64</v>
      </c>
      <c r="G198" s="6"/>
      <c r="H198" s="10">
        <f t="shared" si="22"/>
        <v>-1.135056369353471E-2</v>
      </c>
      <c r="I198" s="10">
        <f t="shared" si="18"/>
        <v>-6.9142072180826686E-2</v>
      </c>
      <c r="J198" s="10">
        <f t="shared" si="19"/>
        <v>-8.2794981869712014E-2</v>
      </c>
      <c r="K198" s="10">
        <f t="shared" si="20"/>
        <v>-1.7864940535819773E-2</v>
      </c>
      <c r="L198" s="10">
        <f t="shared" si="21"/>
        <v>-5.4271356783919478E-2</v>
      </c>
      <c r="M198" s="10">
        <f t="shared" si="23"/>
        <v>-2.9492894104891865E-2</v>
      </c>
      <c r="N198" s="1"/>
      <c r="O198" s="2">
        <v>5872.16</v>
      </c>
      <c r="P198" s="12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1:31" ht="15" thickBot="1" x14ac:dyDescent="0.35">
      <c r="A199" s="1">
        <v>45643</v>
      </c>
      <c r="B199">
        <v>130.38999999999999</v>
      </c>
      <c r="C199">
        <v>240.23</v>
      </c>
      <c r="D199">
        <v>479.86</v>
      </c>
      <c r="E199">
        <v>778.62</v>
      </c>
      <c r="F199">
        <v>39.799999999999997</v>
      </c>
      <c r="G199" s="6"/>
      <c r="H199" s="10">
        <f t="shared" si="22"/>
        <v>-1.2196969696969817E-2</v>
      </c>
      <c r="I199" s="10">
        <f t="shared" si="18"/>
        <v>-3.9080000000000004E-2</v>
      </c>
      <c r="J199" s="10">
        <f t="shared" si="19"/>
        <v>3.6369919225951453E-2</v>
      </c>
      <c r="K199" s="10">
        <f t="shared" si="20"/>
        <v>-4.8780487804878092E-4</v>
      </c>
      <c r="L199" s="10">
        <f t="shared" si="21"/>
        <v>-6.98602794411185E-3</v>
      </c>
      <c r="M199" s="10">
        <f t="shared" si="23"/>
        <v>-3.8639596449174807E-3</v>
      </c>
      <c r="N199" s="1"/>
      <c r="O199" s="2">
        <v>6050.61</v>
      </c>
      <c r="P199" s="12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1:31" ht="15" thickBot="1" x14ac:dyDescent="0.35">
      <c r="A200" s="1">
        <v>45642</v>
      </c>
      <c r="B200">
        <v>132</v>
      </c>
      <c r="C200">
        <v>250</v>
      </c>
      <c r="D200">
        <v>463.02</v>
      </c>
      <c r="E200">
        <v>779</v>
      </c>
      <c r="F200">
        <v>40.08</v>
      </c>
      <c r="G200" s="6"/>
      <c r="H200" s="10">
        <f t="shared" si="22"/>
        <v>-1.6759776536312887E-2</v>
      </c>
      <c r="I200" s="10">
        <f t="shared" si="18"/>
        <v>0.11209964412811391</v>
      </c>
      <c r="J200" s="10">
        <f t="shared" si="19"/>
        <v>6.1412557595763584E-2</v>
      </c>
      <c r="K200" s="10">
        <f t="shared" si="20"/>
        <v>-1.2824412003244134E-2</v>
      </c>
      <c r="L200" s="10">
        <f t="shared" si="21"/>
        <v>-3.4808552958727201E-3</v>
      </c>
      <c r="M200" s="10">
        <f t="shared" si="23"/>
        <v>3.7993154952247199E-3</v>
      </c>
      <c r="N200" s="1"/>
      <c r="O200" s="2">
        <v>6074.08</v>
      </c>
      <c r="P200" s="12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1:31" ht="15" thickBot="1" x14ac:dyDescent="0.35">
      <c r="A201" s="1">
        <v>45639</v>
      </c>
      <c r="B201">
        <v>134.25</v>
      </c>
      <c r="C201">
        <v>224.8</v>
      </c>
      <c r="D201">
        <v>436.23</v>
      </c>
      <c r="E201">
        <v>789.12</v>
      </c>
      <c r="F201">
        <v>40.22</v>
      </c>
      <c r="G201" s="6"/>
      <c r="H201" s="10">
        <f t="shared" si="22"/>
        <v>-2.249890782000874E-2</v>
      </c>
      <c r="I201" s="10">
        <f t="shared" si="18"/>
        <v>0.24432635890623278</v>
      </c>
      <c r="J201" s="10">
        <f t="shared" si="19"/>
        <v>4.3362831858407169E-2</v>
      </c>
      <c r="K201" s="10">
        <f t="shared" si="20"/>
        <v>8.6534159902855734E-3</v>
      </c>
      <c r="L201" s="10">
        <f t="shared" si="21"/>
        <v>-3.2242540904716122E-2</v>
      </c>
      <c r="M201" s="10">
        <f t="shared" si="23"/>
        <v>-2.6440818012729572E-5</v>
      </c>
      <c r="N201" s="1"/>
      <c r="O201" s="2">
        <v>6051.09</v>
      </c>
      <c r="P201" s="12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1:31" ht="15" thickBot="1" x14ac:dyDescent="0.35">
      <c r="A202" s="1">
        <v>45638</v>
      </c>
      <c r="B202">
        <v>137.34</v>
      </c>
      <c r="C202">
        <v>180.66</v>
      </c>
      <c r="D202">
        <v>418.1</v>
      </c>
      <c r="E202">
        <v>782.35</v>
      </c>
      <c r="F202">
        <v>41.56</v>
      </c>
      <c r="G202" s="6"/>
      <c r="H202" s="10">
        <f t="shared" si="22"/>
        <v>-1.4141124111693326E-2</v>
      </c>
      <c r="I202" s="10">
        <f t="shared" si="18"/>
        <v>-1.3864628820960623E-2</v>
      </c>
      <c r="J202" s="10">
        <f t="shared" si="19"/>
        <v>-1.5702615533111919E-2</v>
      </c>
      <c r="K202" s="10">
        <f t="shared" si="20"/>
        <v>-1.7185281961735077E-2</v>
      </c>
      <c r="L202" s="10">
        <f t="shared" si="21"/>
        <v>-1.7029328287606393E-2</v>
      </c>
      <c r="M202" s="10">
        <f t="shared" si="23"/>
        <v>-5.4140321061636465E-3</v>
      </c>
      <c r="N202" s="1"/>
      <c r="O202" s="2">
        <v>6051.25</v>
      </c>
      <c r="P202" s="12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:31" ht="15" thickBot="1" x14ac:dyDescent="0.35">
      <c r="A203" s="1">
        <v>45637</v>
      </c>
      <c r="B203">
        <v>139.31</v>
      </c>
      <c r="C203">
        <v>183.2</v>
      </c>
      <c r="D203">
        <v>424.77</v>
      </c>
      <c r="E203">
        <v>796.03</v>
      </c>
      <c r="F203">
        <v>42.28</v>
      </c>
      <c r="G203" s="6"/>
      <c r="H203" s="10">
        <f t="shared" si="22"/>
        <v>3.1391130524913047E-2</v>
      </c>
      <c r="I203" s="10">
        <f t="shared" si="18"/>
        <v>6.6294162155869696E-2</v>
      </c>
      <c r="J203" s="10">
        <f t="shared" si="19"/>
        <v>5.9303224519314579E-2</v>
      </c>
      <c r="K203" s="10">
        <f t="shared" si="20"/>
        <v>-4.4398309112284595E-3</v>
      </c>
      <c r="L203" s="10">
        <f t="shared" si="21"/>
        <v>1.9040732706676389E-2</v>
      </c>
      <c r="M203" s="10">
        <f t="shared" si="23"/>
        <v>8.1658218598121834E-3</v>
      </c>
      <c r="N203" s="1"/>
      <c r="O203" s="2">
        <v>6084.19</v>
      </c>
      <c r="P203" s="12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1:31" ht="15" thickBot="1" x14ac:dyDescent="0.35">
      <c r="A204" s="1">
        <v>45636</v>
      </c>
      <c r="B204">
        <v>135.07</v>
      </c>
      <c r="C204">
        <v>171.81</v>
      </c>
      <c r="D204">
        <v>400.99</v>
      </c>
      <c r="E204">
        <v>799.58</v>
      </c>
      <c r="F204">
        <v>41.49</v>
      </c>
      <c r="G204" s="6"/>
      <c r="H204" s="10">
        <f t="shared" si="22"/>
        <v>-2.6943303796556517E-2</v>
      </c>
      <c r="I204" s="10">
        <f t="shared" si="18"/>
        <v>-3.9845758354755789E-2</v>
      </c>
      <c r="J204" s="10">
        <f t="shared" si="19"/>
        <v>2.8733420559788669E-2</v>
      </c>
      <c r="K204" s="10">
        <f t="shared" si="20"/>
        <v>-4.9777246820478238E-3</v>
      </c>
      <c r="L204" s="10">
        <f t="shared" si="21"/>
        <v>-5.7512580877066011E-3</v>
      </c>
      <c r="M204" s="10">
        <f t="shared" si="23"/>
        <v>-2.9638930421207466E-3</v>
      </c>
      <c r="N204" s="1"/>
      <c r="O204" s="2">
        <v>6034.91</v>
      </c>
      <c r="P204" s="12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:31" ht="15" thickBot="1" x14ac:dyDescent="0.35">
      <c r="A205" s="1">
        <v>45635</v>
      </c>
      <c r="B205">
        <v>138.81</v>
      </c>
      <c r="C205">
        <v>178.94</v>
      </c>
      <c r="D205">
        <v>389.79</v>
      </c>
      <c r="E205">
        <v>803.58</v>
      </c>
      <c r="F205">
        <v>41.73</v>
      </c>
      <c r="G205" s="6"/>
      <c r="H205" s="10">
        <f t="shared" si="22"/>
        <v>-2.5484414490311691E-2</v>
      </c>
      <c r="I205" s="10">
        <f t="shared" si="18"/>
        <v>-3.2863588258229548E-3</v>
      </c>
      <c r="J205" s="10">
        <f t="shared" si="19"/>
        <v>1.4644673963311039E-3</v>
      </c>
      <c r="K205" s="10">
        <f t="shared" si="20"/>
        <v>-2.7978372101462368E-2</v>
      </c>
      <c r="L205" s="10">
        <f t="shared" si="21"/>
        <v>1.5081488688883482E-2</v>
      </c>
      <c r="M205" s="10">
        <f t="shared" si="23"/>
        <v>-6.1442267748391677E-3</v>
      </c>
      <c r="N205" s="1"/>
      <c r="O205" s="2">
        <v>6052.85</v>
      </c>
      <c r="P205" s="12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1:31" ht="15" thickBot="1" x14ac:dyDescent="0.35">
      <c r="A206" s="1">
        <v>45632</v>
      </c>
      <c r="B206">
        <v>142.44</v>
      </c>
      <c r="C206">
        <v>179.53</v>
      </c>
      <c r="D206">
        <v>389.22</v>
      </c>
      <c r="E206">
        <v>826.71</v>
      </c>
      <c r="F206">
        <v>41.11</v>
      </c>
      <c r="G206" s="6"/>
      <c r="H206" s="10">
        <f t="shared" si="22"/>
        <v>-1.8061491796498075E-2</v>
      </c>
      <c r="I206" s="10">
        <f t="shared" si="18"/>
        <v>5.3147181322226844E-2</v>
      </c>
      <c r="J206" s="10">
        <f t="shared" si="19"/>
        <v>5.339792687217515E-2</v>
      </c>
      <c r="K206" s="10">
        <f t="shared" si="20"/>
        <v>1.3202199559119165E-3</v>
      </c>
      <c r="L206" s="10">
        <f t="shared" si="21"/>
        <v>9.7394691989283189E-4</v>
      </c>
      <c r="M206" s="10">
        <f t="shared" si="23"/>
        <v>2.4954280663231909E-3</v>
      </c>
      <c r="N206" s="1"/>
      <c r="O206" s="2">
        <v>6090.27</v>
      </c>
      <c r="P206" s="12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:31" ht="15" thickBot="1" x14ac:dyDescent="0.35">
      <c r="A207" s="1">
        <v>45631</v>
      </c>
      <c r="B207">
        <v>145.06</v>
      </c>
      <c r="C207">
        <v>170.47</v>
      </c>
      <c r="D207">
        <v>369.49</v>
      </c>
      <c r="E207">
        <v>825.62</v>
      </c>
      <c r="F207">
        <v>41.07</v>
      </c>
      <c r="G207" s="6"/>
      <c r="H207" s="10">
        <f t="shared" si="22"/>
        <v>-5.5119195259734077E-4</v>
      </c>
      <c r="I207" s="10">
        <f t="shared" si="18"/>
        <v>-5.2767354596627847E-4</v>
      </c>
      <c r="J207" s="10">
        <f t="shared" si="19"/>
        <v>3.2296817813538992E-2</v>
      </c>
      <c r="K207" s="10">
        <f t="shared" si="20"/>
        <v>-5.0853176515954779E-3</v>
      </c>
      <c r="L207" s="10">
        <f t="shared" si="21"/>
        <v>-8.2105771552763995E-3</v>
      </c>
      <c r="M207" s="10">
        <f t="shared" si="23"/>
        <v>-1.8697147288503357E-3</v>
      </c>
      <c r="N207" s="1"/>
      <c r="O207" s="2">
        <v>6075.11</v>
      </c>
      <c r="P207" s="12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1:31" ht="15" thickBot="1" x14ac:dyDescent="0.35">
      <c r="A208" s="1">
        <v>45630</v>
      </c>
      <c r="B208">
        <v>145.13999999999999</v>
      </c>
      <c r="C208">
        <v>170.56</v>
      </c>
      <c r="D208">
        <v>357.93</v>
      </c>
      <c r="E208">
        <v>829.84</v>
      </c>
      <c r="F208">
        <v>41.41</v>
      </c>
      <c r="G208" s="6"/>
      <c r="H208" s="10">
        <f t="shared" si="22"/>
        <v>3.4792528161984748E-2</v>
      </c>
      <c r="I208" s="10">
        <f t="shared" si="18"/>
        <v>1.433244127267308E-2</v>
      </c>
      <c r="J208" s="10">
        <f t="shared" si="19"/>
        <v>1.8524842069318703E-2</v>
      </c>
      <c r="K208" s="10">
        <f t="shared" si="20"/>
        <v>2.0299263521571742E-2</v>
      </c>
      <c r="L208" s="10">
        <f t="shared" si="21"/>
        <v>-3.8489295164783055E-3</v>
      </c>
      <c r="M208" s="10">
        <f t="shared" si="23"/>
        <v>6.0513596963907013E-3</v>
      </c>
      <c r="N208" s="1"/>
      <c r="O208" s="2">
        <v>6086.49</v>
      </c>
      <c r="P208" s="12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1:31" ht="15" thickBot="1" x14ac:dyDescent="0.35">
      <c r="A209" s="1">
        <v>45629</v>
      </c>
      <c r="B209">
        <v>140.26</v>
      </c>
      <c r="C209">
        <v>168.15</v>
      </c>
      <c r="D209">
        <v>351.42</v>
      </c>
      <c r="E209">
        <v>813.33</v>
      </c>
      <c r="F209">
        <v>41.57</v>
      </c>
      <c r="G209" s="6"/>
      <c r="H209" s="10">
        <f t="shared" si="22"/>
        <v>1.1757916756834685E-2</v>
      </c>
      <c r="I209" s="10">
        <f t="shared" si="18"/>
        <v>9.8492583028046976E-3</v>
      </c>
      <c r="J209" s="10">
        <f t="shared" si="19"/>
        <v>-1.587834999579929E-2</v>
      </c>
      <c r="K209" s="10">
        <f t="shared" si="20"/>
        <v>1.6916729182295587E-2</v>
      </c>
      <c r="L209" s="10">
        <f t="shared" si="21"/>
        <v>1.6132974822781865E-2</v>
      </c>
      <c r="M209" s="10">
        <f t="shared" si="23"/>
        <v>4.5145233705135013E-4</v>
      </c>
      <c r="N209" s="1"/>
      <c r="O209" s="2">
        <v>6049.88</v>
      </c>
      <c r="P209" s="12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1:31" ht="15" thickBot="1" x14ac:dyDescent="0.35">
      <c r="A210" s="1">
        <v>45628</v>
      </c>
      <c r="B210">
        <v>138.63</v>
      </c>
      <c r="C210">
        <v>166.51</v>
      </c>
      <c r="D210">
        <v>357.09</v>
      </c>
      <c r="E210">
        <v>799.8</v>
      </c>
      <c r="F210">
        <v>40.909999999999997</v>
      </c>
      <c r="G210" s="6"/>
      <c r="H210" s="10">
        <f t="shared" si="22"/>
        <v>2.7486437613020165E-3</v>
      </c>
      <c r="I210" s="10">
        <f t="shared" si="18"/>
        <v>2.7332181638696884E-2</v>
      </c>
      <c r="J210" s="10">
        <f t="shared" si="19"/>
        <v>3.456368061189008E-2</v>
      </c>
      <c r="K210" s="10">
        <f t="shared" si="20"/>
        <v>5.5950210599107209E-3</v>
      </c>
      <c r="L210" s="10">
        <f t="shared" si="21"/>
        <v>-2.4558893657606107E-2</v>
      </c>
      <c r="M210" s="10">
        <f t="shared" si="23"/>
        <v>2.4484531809998433E-3</v>
      </c>
      <c r="N210" s="1"/>
      <c r="O210" s="2">
        <v>6047.15</v>
      </c>
      <c r="P210" s="12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1:31" ht="15" thickBot="1" x14ac:dyDescent="0.35">
      <c r="A211" s="1">
        <v>45625</v>
      </c>
      <c r="B211">
        <v>138.25</v>
      </c>
      <c r="C211">
        <v>162.08000000000001</v>
      </c>
      <c r="D211">
        <v>345.16</v>
      </c>
      <c r="E211">
        <v>795.35</v>
      </c>
      <c r="F211">
        <v>41.94</v>
      </c>
      <c r="G211" s="6"/>
      <c r="H211" s="10">
        <f t="shared" si="22"/>
        <v>2.1501403871730496E-2</v>
      </c>
      <c r="I211" s="10">
        <f t="shared" ref="I211:I274" si="24">(C211/C212)-1</f>
        <v>1.509363061313973E-2</v>
      </c>
      <c r="J211" s="10">
        <f t="shared" ref="J211:J274" si="25">(D211/D212)-1</f>
        <v>3.6859022499925009E-2</v>
      </c>
      <c r="K211" s="10">
        <f t="shared" ref="K211:K274" si="26">(E211/E212)-1</f>
        <v>9.0841040865781153E-3</v>
      </c>
      <c r="L211" s="10">
        <f t="shared" ref="L211:L274" si="27">(F211/F212)-1</f>
        <v>-2.3786869647954845E-3</v>
      </c>
      <c r="M211" s="10">
        <f t="shared" si="23"/>
        <v>5.6078443139726541E-3</v>
      </c>
      <c r="N211" s="1"/>
      <c r="O211" s="2">
        <v>6032.38</v>
      </c>
      <c r="P211" s="12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1:31" ht="15" thickBot="1" x14ac:dyDescent="0.35">
      <c r="A212" s="1">
        <v>45623</v>
      </c>
      <c r="B212">
        <v>135.34</v>
      </c>
      <c r="C212">
        <v>159.66999999999999</v>
      </c>
      <c r="D212">
        <v>332.89</v>
      </c>
      <c r="E212">
        <v>788.19</v>
      </c>
      <c r="F212">
        <v>42.04</v>
      </c>
      <c r="G212" s="6"/>
      <c r="H212" s="10">
        <f t="shared" si="22"/>
        <v>-1.1539585159216936E-2</v>
      </c>
      <c r="I212" s="10">
        <f t="shared" si="24"/>
        <v>-3.0775767876654259E-2</v>
      </c>
      <c r="J212" s="10">
        <f t="shared" si="25"/>
        <v>-1.5788073204624165E-2</v>
      </c>
      <c r="K212" s="10">
        <f t="shared" si="26"/>
        <v>-1.4316120204732607E-3</v>
      </c>
      <c r="L212" s="10">
        <f t="shared" si="27"/>
        <v>-4.9704142011834929E-3</v>
      </c>
      <c r="M212" s="10">
        <f t="shared" si="23"/>
        <v>-3.8012963267421984E-3</v>
      </c>
      <c r="N212" s="1"/>
      <c r="O212" s="2">
        <v>5998.74</v>
      </c>
      <c r="P212" s="12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1:31" ht="15" thickBot="1" x14ac:dyDescent="0.35">
      <c r="A213" s="1">
        <v>45622</v>
      </c>
      <c r="B213">
        <v>136.91999999999999</v>
      </c>
      <c r="C213">
        <v>164.74</v>
      </c>
      <c r="D213">
        <v>338.23</v>
      </c>
      <c r="E213">
        <v>789.32</v>
      </c>
      <c r="F213">
        <v>42.25</v>
      </c>
      <c r="G213" s="6"/>
      <c r="H213" s="10">
        <f t="shared" si="22"/>
        <v>6.6166740185265027E-3</v>
      </c>
      <c r="I213" s="10">
        <f t="shared" si="24"/>
        <v>-4.853779881081044E-4</v>
      </c>
      <c r="J213" s="10">
        <f t="shared" si="25"/>
        <v>-1.0632328184528861E-3</v>
      </c>
      <c r="K213" s="10">
        <f t="shared" si="26"/>
        <v>4.5456953642384113E-2</v>
      </c>
      <c r="L213" s="10">
        <f t="shared" si="27"/>
        <v>-4.9458313707018142E-3</v>
      </c>
      <c r="M213" s="10">
        <f t="shared" si="23"/>
        <v>5.722044904524104E-3</v>
      </c>
      <c r="N213" s="1"/>
      <c r="O213" s="2">
        <v>6021.63</v>
      </c>
      <c r="P213" s="12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1:31" ht="15" thickBot="1" x14ac:dyDescent="0.35">
      <c r="A214" s="1">
        <v>45621</v>
      </c>
      <c r="B214">
        <v>136.02000000000001</v>
      </c>
      <c r="C214">
        <v>164.82</v>
      </c>
      <c r="D214">
        <v>338.59</v>
      </c>
      <c r="E214">
        <v>755</v>
      </c>
      <c r="F214">
        <v>42.46</v>
      </c>
      <c r="G214" s="6"/>
      <c r="H214" s="10">
        <f t="shared" si="22"/>
        <v>-4.1775272983444744E-2</v>
      </c>
      <c r="I214" s="10">
        <f t="shared" si="24"/>
        <v>3.5925226816051481E-3</v>
      </c>
      <c r="J214" s="10">
        <f t="shared" si="25"/>
        <v>-3.962446108463813E-2</v>
      </c>
      <c r="K214" s="10">
        <f t="shared" si="26"/>
        <v>9.3447948556837357E-3</v>
      </c>
      <c r="L214" s="10">
        <f t="shared" si="27"/>
        <v>-2.1207929921622903E-2</v>
      </c>
      <c r="M214" s="10">
        <f t="shared" si="23"/>
        <v>3.0204344198856425E-3</v>
      </c>
      <c r="N214" s="1"/>
      <c r="O214" s="2">
        <v>5987.37</v>
      </c>
      <c r="P214" s="12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1:31" ht="15" thickBot="1" x14ac:dyDescent="0.35">
      <c r="A215" s="1">
        <v>45618</v>
      </c>
      <c r="B215">
        <v>141.94999999999999</v>
      </c>
      <c r="C215">
        <v>164.23</v>
      </c>
      <c r="D215">
        <v>352.56</v>
      </c>
      <c r="E215">
        <v>748.01</v>
      </c>
      <c r="F215">
        <v>43.38</v>
      </c>
      <c r="G215" s="6"/>
      <c r="H215" s="10">
        <f t="shared" si="22"/>
        <v>-3.2181086793481972E-2</v>
      </c>
      <c r="I215" s="10">
        <f t="shared" si="24"/>
        <v>1.76893985604476E-3</v>
      </c>
      <c r="J215" s="10">
        <f t="shared" si="25"/>
        <v>3.8040277941349787E-2</v>
      </c>
      <c r="K215" s="10">
        <f t="shared" si="26"/>
        <v>-2.5469383400895662E-3</v>
      </c>
      <c r="L215" s="10">
        <f t="shared" si="27"/>
        <v>1.3850415512466352E-3</v>
      </c>
      <c r="M215" s="10">
        <f t="shared" si="23"/>
        <v>3.4679787718681077E-3</v>
      </c>
      <c r="N215" s="1"/>
      <c r="O215" s="2">
        <v>5969.34</v>
      </c>
      <c r="P215" s="12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1:31" ht="15" thickBot="1" x14ac:dyDescent="0.35">
      <c r="A216" s="1">
        <v>45617</v>
      </c>
      <c r="B216">
        <v>146.66999999999999</v>
      </c>
      <c r="C216">
        <v>163.94</v>
      </c>
      <c r="D216">
        <v>339.64</v>
      </c>
      <c r="E216">
        <v>749.92</v>
      </c>
      <c r="F216">
        <v>43.32</v>
      </c>
      <c r="G216" s="6"/>
      <c r="H216" s="10">
        <f t="shared" si="22"/>
        <v>5.3464939337857231E-3</v>
      </c>
      <c r="I216" s="10">
        <f t="shared" si="24"/>
        <v>4.2266462480857747E-3</v>
      </c>
      <c r="J216" s="10">
        <f t="shared" si="25"/>
        <v>-6.9876911382041884E-3</v>
      </c>
      <c r="K216" s="10">
        <f t="shared" si="26"/>
        <v>-4.632271936926835E-3</v>
      </c>
      <c r="L216" s="10">
        <f t="shared" si="27"/>
        <v>7.6762037683182349E-3</v>
      </c>
      <c r="M216" s="10">
        <f t="shared" si="23"/>
        <v>5.3404449131417842E-3</v>
      </c>
      <c r="N216" s="1"/>
      <c r="O216" s="2">
        <v>5948.71</v>
      </c>
      <c r="P216" s="12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1:31" ht="15" thickBot="1" x14ac:dyDescent="0.35">
      <c r="A217" s="1">
        <v>45616</v>
      </c>
      <c r="B217">
        <v>145.88999999999999</v>
      </c>
      <c r="C217">
        <v>163.25</v>
      </c>
      <c r="D217">
        <v>342.03</v>
      </c>
      <c r="E217">
        <v>753.41</v>
      </c>
      <c r="F217">
        <v>42.99</v>
      </c>
      <c r="G217" s="6"/>
      <c r="H217" s="10">
        <f t="shared" si="22"/>
        <v>-7.618529351744785E-3</v>
      </c>
      <c r="I217" s="10">
        <f t="shared" si="24"/>
        <v>-1.270033262775927E-2</v>
      </c>
      <c r="J217" s="10">
        <f t="shared" si="25"/>
        <v>-1.1473988439306471E-2</v>
      </c>
      <c r="K217" s="10">
        <f t="shared" si="26"/>
        <v>3.2450358351719055E-2</v>
      </c>
      <c r="L217" s="10">
        <f t="shared" si="27"/>
        <v>-4.4001852709587563E-3</v>
      </c>
      <c r="M217" s="10">
        <f t="shared" si="23"/>
        <v>2.1970667468895755E-5</v>
      </c>
      <c r="N217" s="1"/>
      <c r="O217" s="2">
        <v>5917.11</v>
      </c>
      <c r="P217" s="12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1:31" ht="15" thickBot="1" x14ac:dyDescent="0.35">
      <c r="A218" s="1">
        <v>45615</v>
      </c>
      <c r="B218">
        <v>147.01</v>
      </c>
      <c r="C218">
        <v>165.35</v>
      </c>
      <c r="D218">
        <v>346</v>
      </c>
      <c r="E218">
        <v>729.73</v>
      </c>
      <c r="F218">
        <v>43.18</v>
      </c>
      <c r="G218" s="6"/>
      <c r="H218" s="10">
        <f t="shared" si="22"/>
        <v>4.8947556189796515E-2</v>
      </c>
      <c r="I218" s="10">
        <f t="shared" si="24"/>
        <v>-1.9315506730246401E-3</v>
      </c>
      <c r="J218" s="10">
        <f t="shared" si="25"/>
        <v>2.1432367007144126E-2</v>
      </c>
      <c r="K218" s="10">
        <f t="shared" si="26"/>
        <v>3.4790979097909513E-3</v>
      </c>
      <c r="L218" s="10">
        <f t="shared" si="27"/>
        <v>1.9357884796978198E-2</v>
      </c>
      <c r="M218" s="10">
        <f t="shared" si="23"/>
        <v>3.9636081050355987E-3</v>
      </c>
      <c r="N218" s="1"/>
      <c r="O218" s="2">
        <v>5916.98</v>
      </c>
      <c r="P218" s="12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1:31" ht="15" thickBot="1" x14ac:dyDescent="0.35">
      <c r="A219" s="1">
        <v>45614</v>
      </c>
      <c r="B219">
        <v>140.15</v>
      </c>
      <c r="C219">
        <v>165.67</v>
      </c>
      <c r="D219">
        <v>338.74</v>
      </c>
      <c r="E219">
        <v>727.2</v>
      </c>
      <c r="F219">
        <v>42.36</v>
      </c>
      <c r="G219" s="6"/>
      <c r="H219" s="10">
        <f t="shared" si="22"/>
        <v>-1.288913931539637E-2</v>
      </c>
      <c r="I219" s="10">
        <f t="shared" si="24"/>
        <v>5.0351856345545176E-3</v>
      </c>
      <c r="J219" s="10">
        <f t="shared" si="25"/>
        <v>5.6186081317036507E-2</v>
      </c>
      <c r="K219" s="10">
        <f t="shared" si="26"/>
        <v>-2.5462342535513272E-2</v>
      </c>
      <c r="L219" s="10">
        <f t="shared" si="27"/>
        <v>3.4937698509650561E-2</v>
      </c>
      <c r="M219" s="10">
        <f t="shared" si="23"/>
        <v>3.9178144727474162E-3</v>
      </c>
      <c r="N219" s="1"/>
      <c r="O219" s="2">
        <v>5893.62</v>
      </c>
      <c r="P219" s="12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1:31" ht="15" thickBot="1" x14ac:dyDescent="0.35">
      <c r="A220" s="1">
        <v>45611</v>
      </c>
      <c r="B220">
        <v>141.97999999999999</v>
      </c>
      <c r="C220">
        <v>164.84</v>
      </c>
      <c r="D220">
        <v>320.72000000000003</v>
      </c>
      <c r="E220">
        <v>746.2</v>
      </c>
      <c r="F220">
        <v>40.93</v>
      </c>
      <c r="G220" s="6"/>
      <c r="H220" s="10">
        <f t="shared" si="22"/>
        <v>-3.2570182611065701E-2</v>
      </c>
      <c r="I220" s="10">
        <f t="shared" si="24"/>
        <v>-3.2515553468716929E-2</v>
      </c>
      <c r="J220" s="10">
        <f t="shared" si="25"/>
        <v>3.0657497268462119E-2</v>
      </c>
      <c r="K220" s="10">
        <f t="shared" si="26"/>
        <v>-5.091385472444443E-2</v>
      </c>
      <c r="L220" s="10">
        <f t="shared" si="27"/>
        <v>6.1455260570304482E-3</v>
      </c>
      <c r="M220" s="10">
        <f t="shared" si="23"/>
        <v>-1.3203522508181798E-2</v>
      </c>
      <c r="N220" s="1"/>
      <c r="O220" s="2">
        <v>5870.62</v>
      </c>
      <c r="P220" s="12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1:31" ht="15" thickBot="1" x14ac:dyDescent="0.35">
      <c r="A221" s="1">
        <v>45610</v>
      </c>
      <c r="B221">
        <v>146.76</v>
      </c>
      <c r="C221">
        <v>170.38</v>
      </c>
      <c r="D221">
        <v>311.18</v>
      </c>
      <c r="E221">
        <v>786.23</v>
      </c>
      <c r="F221">
        <v>40.68</v>
      </c>
      <c r="G221" s="6"/>
      <c r="H221" s="10">
        <f t="shared" si="22"/>
        <v>3.3499692349763244E-3</v>
      </c>
      <c r="I221" s="10">
        <f t="shared" si="24"/>
        <v>-1.8435303606406328E-2</v>
      </c>
      <c r="J221" s="10">
        <f t="shared" si="25"/>
        <v>-5.7715600775193776E-2</v>
      </c>
      <c r="K221" s="10">
        <f t="shared" si="26"/>
        <v>-3.1509836045379935E-2</v>
      </c>
      <c r="L221" s="10">
        <f t="shared" si="27"/>
        <v>-1.333980111569244E-2</v>
      </c>
      <c r="M221" s="10">
        <f t="shared" si="23"/>
        <v>-6.0497412027306074E-3</v>
      </c>
      <c r="N221" s="1"/>
      <c r="O221" s="2">
        <v>5949.17</v>
      </c>
      <c r="P221" s="12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1:31" ht="15" thickBot="1" x14ac:dyDescent="0.35">
      <c r="A222" s="1">
        <v>45609</v>
      </c>
      <c r="B222">
        <v>146.27000000000001</v>
      </c>
      <c r="C222">
        <v>173.58</v>
      </c>
      <c r="D222">
        <v>330.24</v>
      </c>
      <c r="E222">
        <v>811.81</v>
      </c>
      <c r="F222">
        <v>41.23</v>
      </c>
      <c r="G222" s="6"/>
      <c r="H222" s="10">
        <f t="shared" si="22"/>
        <v>-1.3621956976195171E-2</v>
      </c>
      <c r="I222" s="10">
        <f t="shared" si="24"/>
        <v>-1.4981273408239626E-2</v>
      </c>
      <c r="J222" s="10">
        <f t="shared" si="25"/>
        <v>5.3274072270084183E-3</v>
      </c>
      <c r="K222" s="10">
        <f t="shared" si="26"/>
        <v>-8.6095303226437769E-3</v>
      </c>
      <c r="L222" s="10">
        <f t="shared" si="27"/>
        <v>-8.4175084175084347E-3</v>
      </c>
      <c r="M222" s="10">
        <f t="shared" si="23"/>
        <v>2.3228648443596178E-4</v>
      </c>
      <c r="N222" s="1"/>
      <c r="O222" s="2">
        <v>5985.38</v>
      </c>
      <c r="P222" s="12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:31" ht="15" thickBot="1" x14ac:dyDescent="0.35">
      <c r="A223" s="1">
        <v>45608</v>
      </c>
      <c r="B223">
        <v>148.29</v>
      </c>
      <c r="C223">
        <v>176.22</v>
      </c>
      <c r="D223">
        <v>328.49</v>
      </c>
      <c r="E223">
        <v>818.86</v>
      </c>
      <c r="F223">
        <v>41.58</v>
      </c>
      <c r="G223" s="6"/>
      <c r="H223" s="10">
        <f t="shared" si="22"/>
        <v>2.0859149111937203E-2</v>
      </c>
      <c r="I223" s="10">
        <f t="shared" si="24"/>
        <v>-1.5035492705829712E-2</v>
      </c>
      <c r="J223" s="10">
        <f t="shared" si="25"/>
        <v>-6.1457142857142877E-2</v>
      </c>
      <c r="K223" s="10">
        <f t="shared" si="26"/>
        <v>-1.6313488059199521E-2</v>
      </c>
      <c r="L223" s="10">
        <f t="shared" si="27"/>
        <v>-1.7717930545712246E-2</v>
      </c>
      <c r="M223" s="10">
        <f t="shared" si="23"/>
        <v>-2.8926824797754769E-3</v>
      </c>
      <c r="N223" s="1"/>
      <c r="O223" s="2">
        <v>5983.99</v>
      </c>
      <c r="P223" s="12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spans="1:31" ht="15" thickBot="1" x14ac:dyDescent="0.35">
      <c r="A224" s="1">
        <v>45607</v>
      </c>
      <c r="B224">
        <v>145.26</v>
      </c>
      <c r="C224">
        <v>178.91</v>
      </c>
      <c r="D224">
        <v>350</v>
      </c>
      <c r="E224">
        <v>832.44</v>
      </c>
      <c r="F224">
        <v>42.33</v>
      </c>
      <c r="G224" s="6"/>
      <c r="H224" s="10">
        <f t="shared" si="22"/>
        <v>-1.6053647632594981E-2</v>
      </c>
      <c r="I224" s="10">
        <f t="shared" si="24"/>
        <v>-2.5756915704639449E-2</v>
      </c>
      <c r="J224" s="10">
        <f t="shared" si="25"/>
        <v>8.9595915571882179E-2</v>
      </c>
      <c r="K224" s="10">
        <f t="shared" si="26"/>
        <v>1.0823291723791595E-3</v>
      </c>
      <c r="L224" s="10">
        <f t="shared" si="27"/>
        <v>-6.0168738898756735E-2</v>
      </c>
      <c r="M224" s="10">
        <f t="shared" si="23"/>
        <v>9.6905366322297404E-4</v>
      </c>
      <c r="N224" s="1"/>
      <c r="O224" s="2">
        <v>6001.35</v>
      </c>
      <c r="P224" s="12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1:31" ht="15" thickBot="1" x14ac:dyDescent="0.35">
      <c r="A225" s="1">
        <v>45604</v>
      </c>
      <c r="B225">
        <v>147.63</v>
      </c>
      <c r="C225">
        <v>183.64</v>
      </c>
      <c r="D225">
        <v>321.22000000000003</v>
      </c>
      <c r="E225">
        <v>831.54</v>
      </c>
      <c r="F225">
        <v>45.04</v>
      </c>
      <c r="G225" s="6"/>
      <c r="H225" s="10">
        <f t="shared" si="22"/>
        <v>-8.396023643202577E-3</v>
      </c>
      <c r="I225" s="10">
        <f t="shared" si="24"/>
        <v>-9.2486807029001916E-4</v>
      </c>
      <c r="J225" s="10">
        <f t="shared" si="25"/>
        <v>8.1876662961840374E-2</v>
      </c>
      <c r="K225" s="10">
        <f t="shared" si="26"/>
        <v>4.2748761677848135E-2</v>
      </c>
      <c r="L225" s="10">
        <f t="shared" si="27"/>
        <v>-2.6572187776793266E-3</v>
      </c>
      <c r="M225" s="10">
        <f t="shared" si="23"/>
        <v>3.7568431802581514E-3</v>
      </c>
      <c r="N225" s="1"/>
      <c r="O225" s="2">
        <v>5995.54</v>
      </c>
      <c r="P225" s="12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spans="1:31" ht="15" thickBot="1" x14ac:dyDescent="0.35">
      <c r="A226" s="1">
        <v>45603</v>
      </c>
      <c r="B226">
        <v>148.88</v>
      </c>
      <c r="C226">
        <v>183.81</v>
      </c>
      <c r="D226">
        <v>296.91000000000003</v>
      </c>
      <c r="E226">
        <v>797.45</v>
      </c>
      <c r="F226">
        <v>45.16</v>
      </c>
      <c r="G226" s="6"/>
      <c r="H226" s="10">
        <f t="shared" si="22"/>
        <v>2.2457248815328512E-2</v>
      </c>
      <c r="I226" s="10">
        <f t="shared" si="24"/>
        <v>2.3725981620718484E-2</v>
      </c>
      <c r="J226" s="10">
        <f t="shared" si="25"/>
        <v>2.9043773611063139E-2</v>
      </c>
      <c r="K226" s="10">
        <f t="shared" si="26"/>
        <v>2.7138772250701937E-2</v>
      </c>
      <c r="L226" s="10">
        <f t="shared" si="27"/>
        <v>1.5287769784172678E-2</v>
      </c>
      <c r="M226" s="10">
        <f t="shared" si="23"/>
        <v>7.4312198939459062E-3</v>
      </c>
      <c r="N226" s="1"/>
      <c r="O226" s="2">
        <v>5973.1</v>
      </c>
      <c r="P226" s="12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spans="1:31" ht="15" thickBot="1" x14ac:dyDescent="0.35">
      <c r="A227" s="1">
        <v>45602</v>
      </c>
      <c r="B227">
        <v>145.61000000000001</v>
      </c>
      <c r="C227">
        <v>179.55</v>
      </c>
      <c r="D227">
        <v>288.52999999999997</v>
      </c>
      <c r="E227">
        <v>776.38</v>
      </c>
      <c r="F227">
        <v>44.48</v>
      </c>
      <c r="G227" s="6"/>
      <c r="H227" s="10">
        <f t="shared" si="22"/>
        <v>4.0740476020298955E-2</v>
      </c>
      <c r="I227" s="10">
        <f t="shared" si="24"/>
        <v>3.2489936745256021E-2</v>
      </c>
      <c r="J227" s="10">
        <f t="shared" si="25"/>
        <v>0.14751034043907096</v>
      </c>
      <c r="K227" s="10">
        <f t="shared" si="26"/>
        <v>-3.6821080316601695E-2</v>
      </c>
      <c r="L227" s="10">
        <f t="shared" si="27"/>
        <v>-3.3043478260869619E-2</v>
      </c>
      <c r="M227" s="10">
        <f t="shared" si="23"/>
        <v>2.5295879476236127E-2</v>
      </c>
      <c r="N227" s="1"/>
      <c r="O227" s="2">
        <v>5929.04</v>
      </c>
      <c r="P227" s="12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spans="1:31" ht="15" thickBot="1" x14ac:dyDescent="0.35">
      <c r="A228" s="1">
        <v>45601</v>
      </c>
      <c r="B228">
        <v>139.91</v>
      </c>
      <c r="C228">
        <v>173.9</v>
      </c>
      <c r="D228">
        <v>251.44</v>
      </c>
      <c r="E228">
        <v>806.06</v>
      </c>
      <c r="F228">
        <v>46</v>
      </c>
      <c r="G228" s="6"/>
      <c r="H228" s="10">
        <f t="shared" si="22"/>
        <v>2.8371922087467638E-2</v>
      </c>
      <c r="I228" s="10">
        <f t="shared" si="24"/>
        <v>3.1741323049540249E-2</v>
      </c>
      <c r="J228" s="10">
        <f t="shared" si="25"/>
        <v>3.5414264536320239E-2</v>
      </c>
      <c r="K228" s="10">
        <f t="shared" si="26"/>
        <v>-9.9238345696806007E-5</v>
      </c>
      <c r="L228" s="10">
        <f t="shared" si="27"/>
        <v>5.2447552447552059E-3</v>
      </c>
      <c r="M228" s="10">
        <f t="shared" si="23"/>
        <v>1.2265675189796932E-2</v>
      </c>
      <c r="N228" s="1"/>
      <c r="O228" s="2">
        <v>5782.76</v>
      </c>
      <c r="P228" s="12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spans="1:31" ht="15" thickBot="1" x14ac:dyDescent="0.35">
      <c r="A229" s="1">
        <v>45600</v>
      </c>
      <c r="B229">
        <v>136.05000000000001</v>
      </c>
      <c r="C229">
        <v>168.55</v>
      </c>
      <c r="D229">
        <v>242.84</v>
      </c>
      <c r="E229">
        <v>806.14</v>
      </c>
      <c r="F229">
        <v>45.76</v>
      </c>
      <c r="G229" s="6"/>
      <c r="H229" s="10">
        <f t="shared" si="22"/>
        <v>4.8005908419497256E-3</v>
      </c>
      <c r="I229" s="10">
        <f t="shared" si="24"/>
        <v>-2.1903859815295412E-3</v>
      </c>
      <c r="J229" s="10">
        <f t="shared" si="25"/>
        <v>-2.4660615310466705E-2</v>
      </c>
      <c r="K229" s="10">
        <f t="shared" si="26"/>
        <v>-1.5617940483313553E-2</v>
      </c>
      <c r="L229" s="10">
        <f t="shared" si="27"/>
        <v>1.1047282368537248E-2</v>
      </c>
      <c r="M229" s="10">
        <f t="shared" si="23"/>
        <v>-2.8121072475911779E-3</v>
      </c>
      <c r="N229" s="1"/>
      <c r="O229" s="2">
        <v>5712.69</v>
      </c>
      <c r="P229" s="12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spans="1:31" ht="15" thickBot="1" x14ac:dyDescent="0.35">
      <c r="A230" s="1">
        <v>45597</v>
      </c>
      <c r="B230">
        <v>135.4</v>
      </c>
      <c r="C230">
        <v>168.92</v>
      </c>
      <c r="D230">
        <v>248.98</v>
      </c>
      <c r="E230">
        <v>818.93</v>
      </c>
      <c r="F230">
        <v>45.26</v>
      </c>
      <c r="G230" s="6"/>
      <c r="H230" s="10">
        <f t="shared" si="22"/>
        <v>1.9885507683037096E-2</v>
      </c>
      <c r="I230" s="10">
        <f t="shared" si="24"/>
        <v>-5.006773870530834E-3</v>
      </c>
      <c r="J230" s="10">
        <f t="shared" si="25"/>
        <v>-3.4820892535522008E-3</v>
      </c>
      <c r="K230" s="10">
        <f t="shared" si="26"/>
        <v>-1.3028177501386073E-2</v>
      </c>
      <c r="L230" s="10">
        <f t="shared" si="27"/>
        <v>-3.9612676056337559E-3</v>
      </c>
      <c r="M230" s="10">
        <f t="shared" si="23"/>
        <v>4.0925781489629109E-3</v>
      </c>
      <c r="N230" s="1"/>
      <c r="O230" s="2">
        <v>5728.8</v>
      </c>
      <c r="P230" s="12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spans="1:31" ht="15" thickBot="1" x14ac:dyDescent="0.35">
      <c r="A231" s="1">
        <v>45596</v>
      </c>
      <c r="B231">
        <v>132.76</v>
      </c>
      <c r="C231">
        <v>169.77</v>
      </c>
      <c r="D231">
        <v>249.85</v>
      </c>
      <c r="E231">
        <v>829.74</v>
      </c>
      <c r="F231">
        <v>45.44</v>
      </c>
      <c r="G231" s="6"/>
      <c r="H231" s="10">
        <f t="shared" si="22"/>
        <v>-4.7222620927228398E-2</v>
      </c>
      <c r="I231" s="10">
        <f t="shared" si="24"/>
        <v>-3.889266304347816E-2</v>
      </c>
      <c r="J231" s="10">
        <f t="shared" si="25"/>
        <v>-2.9897107357794717E-2</v>
      </c>
      <c r="K231" s="10">
        <f t="shared" si="26"/>
        <v>-2.0181146156843743E-2</v>
      </c>
      <c r="L231" s="10">
        <f t="shared" si="27"/>
        <v>-3.195568811248406E-2</v>
      </c>
      <c r="M231" s="10">
        <f t="shared" si="23"/>
        <v>-1.8614747655095742E-2</v>
      </c>
      <c r="N231" s="1"/>
      <c r="O231" s="2">
        <v>5705.45</v>
      </c>
      <c r="P231" s="12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spans="1:31" ht="15" thickBot="1" x14ac:dyDescent="0.35">
      <c r="A232" s="1">
        <v>45595</v>
      </c>
      <c r="B232">
        <v>139.34</v>
      </c>
      <c r="C232">
        <v>176.64</v>
      </c>
      <c r="D232">
        <v>257.55</v>
      </c>
      <c r="E232">
        <v>846.83</v>
      </c>
      <c r="F232">
        <v>46.94</v>
      </c>
      <c r="G232" s="6"/>
      <c r="H232" s="10">
        <f t="shared" si="22"/>
        <v>-1.3522123893805249E-2</v>
      </c>
      <c r="I232" s="10">
        <f t="shared" si="24"/>
        <v>-1.4505690694041617E-2</v>
      </c>
      <c r="J232" s="10">
        <f t="shared" si="25"/>
        <v>-7.5909371146731797E-3</v>
      </c>
      <c r="K232" s="10">
        <f t="shared" si="26"/>
        <v>-6.280572832510678E-2</v>
      </c>
      <c r="L232" s="10">
        <f t="shared" si="27"/>
        <v>-1.7991631799163188E-2</v>
      </c>
      <c r="M232" s="10">
        <f t="shared" si="23"/>
        <v>-3.3002338451409985E-3</v>
      </c>
      <c r="N232" s="1"/>
      <c r="O232" s="2">
        <v>5813.67</v>
      </c>
      <c r="P232" s="12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spans="1:31" ht="15" thickBot="1" x14ac:dyDescent="0.35">
      <c r="A233" s="1">
        <v>45594</v>
      </c>
      <c r="B233">
        <v>141.25</v>
      </c>
      <c r="C233">
        <v>179.24</v>
      </c>
      <c r="D233">
        <v>259.52</v>
      </c>
      <c r="E233">
        <v>903.58</v>
      </c>
      <c r="F233">
        <v>47.8</v>
      </c>
      <c r="G233" s="6"/>
      <c r="H233" s="10">
        <f t="shared" si="22"/>
        <v>5.1949900370054092E-3</v>
      </c>
      <c r="I233" s="10">
        <f t="shared" si="24"/>
        <v>4.197186373677475E-2</v>
      </c>
      <c r="J233" s="10">
        <f t="shared" si="25"/>
        <v>-1.1390042284103452E-2</v>
      </c>
      <c r="K233" s="10">
        <f t="shared" si="26"/>
        <v>8.9214930939380821E-3</v>
      </c>
      <c r="L233" s="10">
        <f t="shared" si="27"/>
        <v>-1.1579818031430933E-2</v>
      </c>
      <c r="M233" s="10">
        <f t="shared" si="23"/>
        <v>1.6141440228589765E-3</v>
      </c>
      <c r="N233" s="1"/>
      <c r="O233" s="2">
        <v>5832.92</v>
      </c>
      <c r="P233" s="12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spans="1:31" ht="15" thickBot="1" x14ac:dyDescent="0.35">
      <c r="A234" s="1">
        <v>45593</v>
      </c>
      <c r="B234">
        <v>140.52000000000001</v>
      </c>
      <c r="C234">
        <v>172.02</v>
      </c>
      <c r="D234">
        <v>262.51</v>
      </c>
      <c r="E234">
        <v>895.59</v>
      </c>
      <c r="F234">
        <v>48.36</v>
      </c>
      <c r="G234" s="6"/>
      <c r="H234" s="10">
        <f t="shared" si="22"/>
        <v>-7.2064434082237394E-3</v>
      </c>
      <c r="I234" s="10">
        <f t="shared" si="24"/>
        <v>-5.6647398843929775E-3</v>
      </c>
      <c r="J234" s="10">
        <f t="shared" si="25"/>
        <v>-2.4815186299639636E-2</v>
      </c>
      <c r="K234" s="10">
        <f t="shared" si="26"/>
        <v>3.2373697770806675E-3</v>
      </c>
      <c r="L234" s="10">
        <f t="shared" si="27"/>
        <v>-1.2391573729864103E-3</v>
      </c>
      <c r="M234" s="10">
        <f t="shared" si="23"/>
        <v>2.6514603692762151E-3</v>
      </c>
      <c r="N234" s="1"/>
      <c r="O234" s="2">
        <v>5823.52</v>
      </c>
      <c r="P234" s="12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spans="1:31" ht="15" thickBot="1" x14ac:dyDescent="0.35">
      <c r="A235" s="1">
        <v>45590</v>
      </c>
      <c r="B235">
        <v>141.54</v>
      </c>
      <c r="C235">
        <v>173</v>
      </c>
      <c r="D235">
        <v>269.19</v>
      </c>
      <c r="E235">
        <v>892.7</v>
      </c>
      <c r="F235">
        <v>48.42</v>
      </c>
      <c r="G235" s="6"/>
      <c r="H235" s="10">
        <f t="shared" si="22"/>
        <v>8.0478598390427702E-3</v>
      </c>
      <c r="I235" s="10">
        <f t="shared" si="24"/>
        <v>9.6294134811789611E-3</v>
      </c>
      <c r="J235" s="10">
        <f t="shared" si="25"/>
        <v>3.3438267813267641E-2</v>
      </c>
      <c r="K235" s="10">
        <f t="shared" si="26"/>
        <v>1.5482654938743234E-3</v>
      </c>
      <c r="L235" s="10">
        <f t="shared" si="27"/>
        <v>-1.6852791878172568E-2</v>
      </c>
      <c r="M235" s="10">
        <f t="shared" si="23"/>
        <v>-2.994908655286066E-4</v>
      </c>
      <c r="N235" s="1"/>
      <c r="O235" s="2">
        <v>5808.12</v>
      </c>
      <c r="P235" s="12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spans="1:31" ht="15" thickBot="1" x14ac:dyDescent="0.35">
      <c r="A236" s="1">
        <v>45589</v>
      </c>
      <c r="B236">
        <v>140.41</v>
      </c>
      <c r="C236">
        <v>171.35</v>
      </c>
      <c r="D236">
        <v>260.48</v>
      </c>
      <c r="E236">
        <v>891.32</v>
      </c>
      <c r="F236">
        <v>49.25</v>
      </c>
      <c r="G236" s="6"/>
      <c r="H236" s="10">
        <f t="shared" si="22"/>
        <v>6.0905703640010689E-3</v>
      </c>
      <c r="I236" s="10">
        <f t="shared" si="24"/>
        <v>-1.2448850210362461E-2</v>
      </c>
      <c r="J236" s="10">
        <f t="shared" si="25"/>
        <v>0.21919026445120537</v>
      </c>
      <c r="K236" s="10">
        <f t="shared" si="26"/>
        <v>-1.3207860503736457E-2</v>
      </c>
      <c r="L236" s="10">
        <f t="shared" si="27"/>
        <v>-0.14703844821614132</v>
      </c>
      <c r="M236" s="10">
        <f t="shared" si="23"/>
        <v>2.1457820892740731E-3</v>
      </c>
      <c r="N236" s="1"/>
      <c r="O236" s="2">
        <v>5809.86</v>
      </c>
      <c r="P236" s="12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spans="1:31" ht="15" thickBot="1" x14ac:dyDescent="0.35">
      <c r="A237" s="1">
        <v>45588</v>
      </c>
      <c r="B237">
        <v>139.56</v>
      </c>
      <c r="C237">
        <v>173.51</v>
      </c>
      <c r="D237">
        <v>213.65</v>
      </c>
      <c r="E237">
        <v>903.25</v>
      </c>
      <c r="F237">
        <v>57.74</v>
      </c>
      <c r="G237" s="6"/>
      <c r="H237" s="10">
        <f t="shared" si="22"/>
        <v>-2.8066021310676259E-2</v>
      </c>
      <c r="I237" s="10">
        <f t="shared" si="24"/>
        <v>-3.2723826513546661E-2</v>
      </c>
      <c r="J237" s="10">
        <f t="shared" si="25"/>
        <v>-1.9819241179978908E-2</v>
      </c>
      <c r="K237" s="10">
        <f t="shared" si="26"/>
        <v>-6.4895781774184647E-3</v>
      </c>
      <c r="L237" s="10">
        <f t="shared" si="27"/>
        <v>-1.6019086571233743E-2</v>
      </c>
      <c r="M237" s="10">
        <f t="shared" si="23"/>
        <v>-9.1912770030079249E-3</v>
      </c>
      <c r="N237" s="1"/>
      <c r="O237" s="2">
        <v>5797.42</v>
      </c>
      <c r="P237" s="12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spans="1:31" ht="15" thickBot="1" x14ac:dyDescent="0.35">
      <c r="A238" s="1">
        <v>45587</v>
      </c>
      <c r="B238">
        <v>143.59</v>
      </c>
      <c r="C238">
        <v>179.38</v>
      </c>
      <c r="D238">
        <v>217.97</v>
      </c>
      <c r="E238">
        <v>909.15</v>
      </c>
      <c r="F238">
        <v>58.68</v>
      </c>
      <c r="G238" s="6"/>
      <c r="H238" s="10">
        <f t="shared" si="22"/>
        <v>-8.3501496068472125E-4</v>
      </c>
      <c r="I238" s="10">
        <f t="shared" si="24"/>
        <v>-3.3890771709540468E-3</v>
      </c>
      <c r="J238" s="10">
        <f t="shared" si="25"/>
        <v>-4.0210189627598591E-3</v>
      </c>
      <c r="K238" s="10">
        <f t="shared" si="26"/>
        <v>3.3328551090903158E-3</v>
      </c>
      <c r="L238" s="10">
        <f t="shared" si="27"/>
        <v>1.9280875455966573E-2</v>
      </c>
      <c r="M238" s="10">
        <f t="shared" si="23"/>
        <v>-4.7489058725858069E-4</v>
      </c>
      <c r="N238" s="1"/>
      <c r="O238" s="2">
        <v>5851.2</v>
      </c>
      <c r="P238" s="12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spans="1:31" ht="15" thickBot="1" x14ac:dyDescent="0.35">
      <c r="A239" s="1">
        <v>45586</v>
      </c>
      <c r="B239">
        <v>143.71</v>
      </c>
      <c r="C239">
        <v>179.99</v>
      </c>
      <c r="D239">
        <v>218.85</v>
      </c>
      <c r="E239">
        <v>906.13</v>
      </c>
      <c r="F239">
        <v>57.57</v>
      </c>
      <c r="G239" s="6"/>
      <c r="H239" s="10">
        <f t="shared" si="22"/>
        <v>4.1376811594203033E-2</v>
      </c>
      <c r="I239" s="10">
        <f t="shared" si="24"/>
        <v>5.5589526933141897E-4</v>
      </c>
      <c r="J239" s="10">
        <f t="shared" si="25"/>
        <v>-8.3824195740824781E-3</v>
      </c>
      <c r="K239" s="10">
        <f t="shared" si="26"/>
        <v>-1.2898024989923429E-2</v>
      </c>
      <c r="L239" s="10">
        <f t="shared" si="27"/>
        <v>-8.6775425199581147E-4</v>
      </c>
      <c r="M239" s="10">
        <f t="shared" si="23"/>
        <v>-1.8227794573267841E-3</v>
      </c>
      <c r="N239" s="1"/>
      <c r="O239" s="2">
        <v>5853.98</v>
      </c>
      <c r="P239" s="12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spans="1:31" ht="15" thickBot="1" x14ac:dyDescent="0.35">
      <c r="A240" s="1">
        <v>45583</v>
      </c>
      <c r="B240">
        <v>138</v>
      </c>
      <c r="C240">
        <v>179.89</v>
      </c>
      <c r="D240">
        <v>220.7</v>
      </c>
      <c r="E240">
        <v>917.97</v>
      </c>
      <c r="F240">
        <v>57.62</v>
      </c>
      <c r="G240" s="6"/>
      <c r="H240" s="10">
        <f t="shared" si="22"/>
        <v>7.814211640984503E-3</v>
      </c>
      <c r="I240" s="10">
        <f t="shared" si="24"/>
        <v>-9.0343193962431068E-3</v>
      </c>
      <c r="J240" s="10">
        <f t="shared" si="25"/>
        <v>-8.6015663905114614E-4</v>
      </c>
      <c r="K240" s="10">
        <f t="shared" si="26"/>
        <v>9.2681437543618017E-4</v>
      </c>
      <c r="L240" s="10">
        <f t="shared" si="27"/>
        <v>1.9823008849557455E-2</v>
      </c>
      <c r="M240" s="10">
        <f t="shared" si="23"/>
        <v>3.9716030382763723E-3</v>
      </c>
      <c r="N240" s="1"/>
      <c r="O240" s="2">
        <v>5864.67</v>
      </c>
      <c r="P240" s="12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spans="1:31" ht="15" thickBot="1" x14ac:dyDescent="0.35">
      <c r="A241" s="1">
        <v>45582</v>
      </c>
      <c r="B241">
        <v>136.93</v>
      </c>
      <c r="C241">
        <v>181.53</v>
      </c>
      <c r="D241">
        <v>220.89</v>
      </c>
      <c r="E241">
        <v>917.12</v>
      </c>
      <c r="F241">
        <v>56.5</v>
      </c>
      <c r="G241" s="6"/>
      <c r="H241" s="10">
        <f t="shared" si="22"/>
        <v>8.915414087828033E-3</v>
      </c>
      <c r="I241" s="10">
        <f t="shared" si="24"/>
        <v>2.6637258228707106E-2</v>
      </c>
      <c r="J241" s="10">
        <f t="shared" si="25"/>
        <v>-1.9879817467132188E-3</v>
      </c>
      <c r="K241" s="10">
        <f t="shared" si="26"/>
        <v>7.6384190654943396E-4</v>
      </c>
      <c r="L241" s="10">
        <f t="shared" si="27"/>
        <v>4.0874355784610295E-3</v>
      </c>
      <c r="M241" s="10">
        <f t="shared" si="23"/>
        <v>-1.7116048520571248E-4</v>
      </c>
      <c r="N241" s="1"/>
      <c r="O241" s="2">
        <v>5841.47</v>
      </c>
      <c r="P241" s="12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spans="1:31" ht="15" thickBot="1" x14ac:dyDescent="0.35">
      <c r="A242" s="1">
        <v>45581</v>
      </c>
      <c r="B242">
        <v>135.72</v>
      </c>
      <c r="C242">
        <v>176.82</v>
      </c>
      <c r="D242">
        <v>221.33</v>
      </c>
      <c r="E242">
        <v>916.42</v>
      </c>
      <c r="F242">
        <v>56.27</v>
      </c>
      <c r="G242" s="6"/>
      <c r="H242" s="10">
        <f t="shared" si="22"/>
        <v>3.130699088145894E-2</v>
      </c>
      <c r="I242" s="10">
        <f t="shared" si="24"/>
        <v>4.7732696897375693E-3</v>
      </c>
      <c r="J242" s="10">
        <f t="shared" si="25"/>
        <v>8.0156669854716256E-3</v>
      </c>
      <c r="K242" s="10">
        <f t="shared" si="26"/>
        <v>3.3942101344544007E-3</v>
      </c>
      <c r="L242" s="10">
        <f t="shared" si="27"/>
        <v>1.0596264367816133E-2</v>
      </c>
      <c r="M242" s="10">
        <f t="shared" si="23"/>
        <v>4.6790685197222182E-3</v>
      </c>
      <c r="N242" s="1"/>
      <c r="O242" s="2">
        <v>5842.47</v>
      </c>
      <c r="P242" s="12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spans="1:31" ht="15" thickBot="1" x14ac:dyDescent="0.35">
      <c r="A243" s="1">
        <v>45580</v>
      </c>
      <c r="B243">
        <v>131.6</v>
      </c>
      <c r="C243">
        <v>175.98</v>
      </c>
      <c r="D243">
        <v>219.57</v>
      </c>
      <c r="E243">
        <v>913.32</v>
      </c>
      <c r="F243">
        <v>55.68</v>
      </c>
      <c r="G243" s="4"/>
      <c r="H243" s="10">
        <f t="shared" si="22"/>
        <v>-4.6860288259578442E-2</v>
      </c>
      <c r="I243" s="10">
        <f t="shared" si="24"/>
        <v>-3.4721079480006689E-2</v>
      </c>
      <c r="J243" s="10">
        <f t="shared" si="25"/>
        <v>1.8707793392955807E-3</v>
      </c>
      <c r="K243" s="10">
        <f t="shared" si="26"/>
        <v>-1.7417779260040178E-2</v>
      </c>
      <c r="L243" s="10">
        <f t="shared" si="27"/>
        <v>1.5687705217074077E-2</v>
      </c>
      <c r="M243" s="10">
        <f t="shared" si="23"/>
        <v>-7.6094097971791674E-3</v>
      </c>
      <c r="N243" s="1"/>
      <c r="O243" s="2">
        <v>5815.26</v>
      </c>
      <c r="P243" s="12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spans="1:31" ht="15" thickBot="1" x14ac:dyDescent="0.35">
      <c r="A244" s="1">
        <v>45579</v>
      </c>
      <c r="B244">
        <v>138.07</v>
      </c>
      <c r="C244">
        <v>182.31</v>
      </c>
      <c r="D244">
        <v>219.16</v>
      </c>
      <c r="E244">
        <v>929.51</v>
      </c>
      <c r="F244">
        <v>54.82</v>
      </c>
      <c r="G244" s="4"/>
      <c r="H244" s="10">
        <f t="shared" si="22"/>
        <v>2.4258160237388582E-2</v>
      </c>
      <c r="I244" s="10">
        <f t="shared" si="24"/>
        <v>4.573506722503895E-3</v>
      </c>
      <c r="J244" s="10">
        <f t="shared" si="25"/>
        <v>6.2442607897152946E-3</v>
      </c>
      <c r="K244" s="10">
        <f t="shared" si="26"/>
        <v>-2.7358753728300433E-3</v>
      </c>
      <c r="L244" s="10">
        <f t="shared" si="27"/>
        <v>9.576427255985287E-3</v>
      </c>
      <c r="M244" s="10">
        <f t="shared" si="23"/>
        <v>7.7076128584032677E-3</v>
      </c>
      <c r="N244" s="1"/>
      <c r="O244" s="2">
        <v>5859.85</v>
      </c>
      <c r="P244" s="12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spans="1:31" ht="15" thickBot="1" x14ac:dyDescent="0.35">
      <c r="A245" s="1">
        <v>45576</v>
      </c>
      <c r="B245">
        <v>134.80000000000001</v>
      </c>
      <c r="C245">
        <v>181.48</v>
      </c>
      <c r="D245">
        <v>217.8</v>
      </c>
      <c r="E245">
        <v>932.06</v>
      </c>
      <c r="F245">
        <v>54.3</v>
      </c>
      <c r="G245" s="4"/>
      <c r="H245" s="10">
        <f t="shared" si="22"/>
        <v>-7.4178473406960599E-5</v>
      </c>
      <c r="I245" s="10">
        <f t="shared" si="24"/>
        <v>-2.2672195594808597E-2</v>
      </c>
      <c r="J245" s="10">
        <f t="shared" si="25"/>
        <v>-8.782510365623819E-2</v>
      </c>
      <c r="K245" s="10">
        <f t="shared" si="26"/>
        <v>2.3465723791850079E-2</v>
      </c>
      <c r="L245" s="10">
        <f t="shared" si="27"/>
        <v>1.6853932584269593E-2</v>
      </c>
      <c r="M245" s="10">
        <f t="shared" si="23"/>
        <v>6.0518507625366702E-3</v>
      </c>
      <c r="N245" s="1"/>
      <c r="O245" s="2">
        <v>5815.03</v>
      </c>
      <c r="P245" s="12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spans="1:31" ht="15" thickBot="1" x14ac:dyDescent="0.35">
      <c r="A246" s="1">
        <v>45575</v>
      </c>
      <c r="B246">
        <v>134.81</v>
      </c>
      <c r="C246">
        <v>185.69</v>
      </c>
      <c r="D246">
        <v>238.77</v>
      </c>
      <c r="E246">
        <v>910.69</v>
      </c>
      <c r="F246">
        <v>53.4</v>
      </c>
      <c r="G246" s="4"/>
      <c r="H246" s="10">
        <f t="shared" si="22"/>
        <v>1.6283452695062151E-2</v>
      </c>
      <c r="I246" s="10">
        <f t="shared" si="24"/>
        <v>-1.3982253293896019E-3</v>
      </c>
      <c r="J246" s="10">
        <f t="shared" si="25"/>
        <v>-9.4586185438705339E-3</v>
      </c>
      <c r="K246" s="10">
        <f t="shared" si="26"/>
        <v>-9.839737317067776E-3</v>
      </c>
      <c r="L246" s="10">
        <f t="shared" si="27"/>
        <v>1.270623933244841E-2</v>
      </c>
      <c r="M246" s="10">
        <f t="shared" si="23"/>
        <v>-2.0700823889336917E-3</v>
      </c>
      <c r="N246" s="1"/>
      <c r="O246" s="2">
        <v>5780.05</v>
      </c>
      <c r="P246" s="12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spans="1:31" ht="15" thickBot="1" x14ac:dyDescent="0.35">
      <c r="A247" s="1">
        <v>45574</v>
      </c>
      <c r="B247">
        <v>132.65</v>
      </c>
      <c r="C247">
        <v>185.95</v>
      </c>
      <c r="D247">
        <v>241.05</v>
      </c>
      <c r="E247">
        <v>919.74</v>
      </c>
      <c r="F247">
        <v>52.73</v>
      </c>
      <c r="G247" s="4"/>
      <c r="H247" s="10">
        <f t="shared" si="22"/>
        <v>-1.8060049665135081E-3</v>
      </c>
      <c r="I247" s="10">
        <f t="shared" si="24"/>
        <v>2.8882863940685066E-2</v>
      </c>
      <c r="J247" s="10">
        <f t="shared" si="25"/>
        <v>-1.4110429447852679E-2</v>
      </c>
      <c r="K247" s="10">
        <f t="shared" si="26"/>
        <v>6.5884516044301122E-3</v>
      </c>
      <c r="L247" s="10">
        <f t="shared" si="27"/>
        <v>-1.8960940462653397E-4</v>
      </c>
      <c r="M247" s="10">
        <f t="shared" si="23"/>
        <v>7.1133846739683815E-3</v>
      </c>
      <c r="N247" s="1"/>
      <c r="O247" s="2">
        <v>5792.04</v>
      </c>
      <c r="P247" s="12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spans="1:31" ht="15" thickBot="1" x14ac:dyDescent="0.35">
      <c r="A248" s="1">
        <v>45573</v>
      </c>
      <c r="B248">
        <v>132.88999999999999</v>
      </c>
      <c r="C248">
        <v>180.73</v>
      </c>
      <c r="D248">
        <v>244.5</v>
      </c>
      <c r="E248">
        <v>913.72</v>
      </c>
      <c r="F248">
        <v>52.74</v>
      </c>
      <c r="G248" s="4"/>
      <c r="H248" s="10">
        <f t="shared" si="22"/>
        <v>4.0479173191356077E-2</v>
      </c>
      <c r="I248" s="10">
        <f t="shared" si="24"/>
        <v>3.227096184601308E-2</v>
      </c>
      <c r="J248" s="10">
        <f t="shared" si="25"/>
        <v>1.5238965245193636E-2</v>
      </c>
      <c r="K248" s="10">
        <f t="shared" si="26"/>
        <v>1.7052537845057891E-2</v>
      </c>
      <c r="L248" s="10">
        <f t="shared" si="27"/>
        <v>-4.5300113250281715E-3</v>
      </c>
      <c r="M248" s="10">
        <f t="shared" si="23"/>
        <v>9.68935768284096E-3</v>
      </c>
      <c r="N248" s="1"/>
      <c r="O248" s="2">
        <v>5751.13</v>
      </c>
      <c r="P248" s="12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spans="1:31" ht="15" thickBot="1" x14ac:dyDescent="0.35">
      <c r="A249" s="1">
        <v>45572</v>
      </c>
      <c r="B249">
        <v>127.72</v>
      </c>
      <c r="C249">
        <v>175.08</v>
      </c>
      <c r="D249">
        <v>240.83</v>
      </c>
      <c r="E249">
        <v>898.4</v>
      </c>
      <c r="F249">
        <v>52.98</v>
      </c>
      <c r="G249" s="4"/>
      <c r="H249" s="10">
        <f t="shared" si="22"/>
        <v>2.2414345180915785E-2</v>
      </c>
      <c r="I249" s="10">
        <f t="shared" si="24"/>
        <v>-8.8315217391302658E-3</v>
      </c>
      <c r="J249" s="10">
        <f t="shared" si="25"/>
        <v>-3.6988163787587958E-2</v>
      </c>
      <c r="K249" s="10">
        <f t="shared" si="26"/>
        <v>1.2669642454574248E-2</v>
      </c>
      <c r="L249" s="10">
        <f t="shared" si="27"/>
        <v>-6.7491563554556988E-3</v>
      </c>
      <c r="M249" s="10">
        <f t="shared" si="23"/>
        <v>-9.5860422495291919E-3</v>
      </c>
      <c r="N249" s="1"/>
      <c r="O249" s="2">
        <v>5695.94</v>
      </c>
      <c r="P249" s="12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spans="1:31" ht="15" thickBot="1" x14ac:dyDescent="0.35">
      <c r="A250" s="1">
        <v>45569</v>
      </c>
      <c r="B250">
        <v>124.92</v>
      </c>
      <c r="C250">
        <v>176.64</v>
      </c>
      <c r="D250">
        <v>250.08</v>
      </c>
      <c r="E250">
        <v>887.16</v>
      </c>
      <c r="F250">
        <v>53.34</v>
      </c>
      <c r="G250" s="4"/>
      <c r="H250" s="10">
        <f t="shared" si="22"/>
        <v>1.6849816849817012E-2</v>
      </c>
      <c r="I250" s="10">
        <f t="shared" si="24"/>
        <v>2.7633951946012036E-2</v>
      </c>
      <c r="J250" s="10">
        <f t="shared" si="25"/>
        <v>3.9142358514086428E-2</v>
      </c>
      <c r="K250" s="10">
        <f t="shared" si="26"/>
        <v>1.8180791598441104E-3</v>
      </c>
      <c r="L250" s="10">
        <f t="shared" si="27"/>
        <v>2.6315789473685403E-3</v>
      </c>
      <c r="M250" s="10">
        <f t="shared" si="23"/>
        <v>8.9702698624898325E-3</v>
      </c>
      <c r="N250" s="1"/>
      <c r="O250" s="2">
        <v>5751.07</v>
      </c>
      <c r="P250" s="12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spans="1:31" ht="15" thickBot="1" x14ac:dyDescent="0.35">
      <c r="A251" s="1">
        <v>45568</v>
      </c>
      <c r="B251">
        <v>122.85</v>
      </c>
      <c r="C251">
        <v>171.89</v>
      </c>
      <c r="D251">
        <v>240.66</v>
      </c>
      <c r="E251">
        <v>885.55</v>
      </c>
      <c r="F251">
        <v>53.2</v>
      </c>
      <c r="G251" s="4"/>
      <c r="H251" s="10">
        <f t="shared" si="22"/>
        <v>3.3655868742112016E-2</v>
      </c>
      <c r="I251" s="10">
        <f t="shared" si="24"/>
        <v>7.2073127856555619E-3</v>
      </c>
      <c r="J251" s="10">
        <f t="shared" si="25"/>
        <v>-3.3571600674644708E-2</v>
      </c>
      <c r="K251" s="10">
        <f t="shared" si="26"/>
        <v>-6.194799510700677E-3</v>
      </c>
      <c r="L251" s="10">
        <f t="shared" si="27"/>
        <v>-1.4814814814814725E-2</v>
      </c>
      <c r="M251" s="10">
        <f t="shared" si="23"/>
        <v>-1.681396399709989E-3</v>
      </c>
      <c r="N251" s="1"/>
      <c r="O251" s="2">
        <v>5699.94</v>
      </c>
      <c r="P251" s="12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spans="1:31" ht="15" thickBot="1" x14ac:dyDescent="0.35">
      <c r="A252" s="1">
        <v>45567</v>
      </c>
      <c r="B252">
        <v>118.85</v>
      </c>
      <c r="C252">
        <v>170.66</v>
      </c>
      <c r="D252">
        <v>249.02</v>
      </c>
      <c r="E252">
        <v>891.07</v>
      </c>
      <c r="F252">
        <v>54</v>
      </c>
      <c r="G252" s="4"/>
      <c r="H252" s="10">
        <f t="shared" si="22"/>
        <v>1.5811965811965756E-2</v>
      </c>
      <c r="I252" s="10">
        <f t="shared" si="24"/>
        <v>1.9048187735116739E-2</v>
      </c>
      <c r="J252" s="10">
        <f t="shared" si="25"/>
        <v>-3.4881016975428114E-2</v>
      </c>
      <c r="K252" s="10">
        <f t="shared" si="26"/>
        <v>7.4507054992765109E-3</v>
      </c>
      <c r="L252" s="10">
        <f t="shared" si="27"/>
        <v>-2.5858884373846092E-3</v>
      </c>
      <c r="M252" s="10">
        <f t="shared" si="23"/>
        <v>1.3838405955768351E-4</v>
      </c>
      <c r="N252" s="1"/>
      <c r="O252" s="2">
        <v>5709.54</v>
      </c>
      <c r="P252" s="12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spans="1:31" ht="15" thickBot="1" x14ac:dyDescent="0.35">
      <c r="A253" s="1">
        <v>45566</v>
      </c>
      <c r="B253">
        <v>117</v>
      </c>
      <c r="C253">
        <v>167.47</v>
      </c>
      <c r="D253">
        <v>258.02</v>
      </c>
      <c r="E253">
        <v>884.48</v>
      </c>
      <c r="F253">
        <v>54.14</v>
      </c>
      <c r="G253" s="4"/>
      <c r="H253" s="10">
        <f t="shared" si="22"/>
        <v>-3.6561264822134398E-2</v>
      </c>
      <c r="I253" s="10">
        <f t="shared" si="24"/>
        <v>-2.9159420289855076E-2</v>
      </c>
      <c r="J253" s="10">
        <f t="shared" si="25"/>
        <v>-1.3798111837327598E-2</v>
      </c>
      <c r="K253" s="10">
        <f t="shared" si="26"/>
        <v>-1.6479671309569399E-3</v>
      </c>
      <c r="L253" s="10">
        <f t="shared" si="27"/>
        <v>1.2909260991580851E-2</v>
      </c>
      <c r="M253" s="10">
        <f t="shared" si="23"/>
        <v>-9.3241104524439677E-3</v>
      </c>
      <c r="N253" s="1"/>
      <c r="O253" s="2">
        <v>5708.75</v>
      </c>
      <c r="P253" s="12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spans="1:31" ht="15" thickBot="1" x14ac:dyDescent="0.35">
      <c r="A254" s="1">
        <v>45565</v>
      </c>
      <c r="B254">
        <v>121.44</v>
      </c>
      <c r="C254">
        <v>172.5</v>
      </c>
      <c r="D254">
        <v>261.63</v>
      </c>
      <c r="E254">
        <v>885.94</v>
      </c>
      <c r="F254">
        <v>53.45</v>
      </c>
      <c r="G254" s="4"/>
      <c r="H254" s="10">
        <f t="shared" si="22"/>
        <v>3.2948929159792861E-4</v>
      </c>
      <c r="I254" s="10">
        <f t="shared" si="24"/>
        <v>-1.1002374196537046E-3</v>
      </c>
      <c r="J254" s="10">
        <f t="shared" si="25"/>
        <v>4.4920525224603214E-3</v>
      </c>
      <c r="K254" s="10">
        <f t="shared" si="26"/>
        <v>9.2846808462161423E-3</v>
      </c>
      <c r="L254" s="10">
        <f t="shared" si="27"/>
        <v>-8.3487940630796453E-3</v>
      </c>
      <c r="M254" s="10">
        <f t="shared" si="23"/>
        <v>4.2365423122701085E-3</v>
      </c>
      <c r="N254" s="1"/>
      <c r="O254" s="2">
        <v>5762.48</v>
      </c>
      <c r="P254" s="12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spans="1:31" ht="15" thickBot="1" x14ac:dyDescent="0.35">
      <c r="A255" s="1">
        <v>45562</v>
      </c>
      <c r="B255">
        <v>121.4</v>
      </c>
      <c r="C255">
        <v>172.69</v>
      </c>
      <c r="D255">
        <v>260.45999999999998</v>
      </c>
      <c r="E255">
        <v>877.79</v>
      </c>
      <c r="F255">
        <v>53.9</v>
      </c>
      <c r="G255" s="4"/>
      <c r="H255" s="10">
        <f t="shared" si="22"/>
        <v>-2.1283456949371171E-2</v>
      </c>
      <c r="I255" s="10">
        <f t="shared" si="24"/>
        <v>-3.0321747431074186E-2</v>
      </c>
      <c r="J255" s="10">
        <f t="shared" si="25"/>
        <v>2.4545669105499046E-2</v>
      </c>
      <c r="K255" s="10">
        <f t="shared" si="26"/>
        <v>-3.4674262085954477E-2</v>
      </c>
      <c r="L255" s="10">
        <f t="shared" si="27"/>
        <v>-2.9353502611201177E-2</v>
      </c>
      <c r="M255" s="10">
        <f t="shared" si="23"/>
        <v>-1.2531829977877607E-3</v>
      </c>
      <c r="N255" s="1"/>
      <c r="O255" s="2">
        <v>5738.17</v>
      </c>
      <c r="P255" s="12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spans="1:31" ht="15" thickBot="1" x14ac:dyDescent="0.35">
      <c r="A256" s="1">
        <v>45561</v>
      </c>
      <c r="B256">
        <v>124.04</v>
      </c>
      <c r="C256">
        <v>178.09</v>
      </c>
      <c r="D256">
        <v>254.22</v>
      </c>
      <c r="E256">
        <v>909.32</v>
      </c>
      <c r="F256">
        <v>55.53</v>
      </c>
      <c r="G256" s="4"/>
      <c r="H256" s="10">
        <f t="shared" si="22"/>
        <v>4.2911505141283168E-3</v>
      </c>
      <c r="I256" s="10">
        <f t="shared" si="24"/>
        <v>1.4642206016408421E-2</v>
      </c>
      <c r="J256" s="10">
        <f t="shared" si="25"/>
        <v>-1.0894093844836861E-2</v>
      </c>
      <c r="K256" s="10">
        <f t="shared" si="26"/>
        <v>-1.6483516483516425E-2</v>
      </c>
      <c r="L256" s="10">
        <f t="shared" si="27"/>
        <v>4.8859934853420217E-3</v>
      </c>
      <c r="M256" s="10">
        <f t="shared" si="23"/>
        <v>4.0386141140038578E-3</v>
      </c>
      <c r="N256" s="1"/>
      <c r="O256" s="2">
        <v>5745.37</v>
      </c>
      <c r="P256" s="12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spans="1:31" ht="15" thickBot="1" x14ac:dyDescent="0.35">
      <c r="A257" s="1">
        <v>45560</v>
      </c>
      <c r="B257">
        <v>123.51</v>
      </c>
      <c r="C257">
        <v>175.52</v>
      </c>
      <c r="D257">
        <v>257.02</v>
      </c>
      <c r="E257">
        <v>924.56</v>
      </c>
      <c r="F257">
        <v>55.26</v>
      </c>
      <c r="G257" s="4"/>
      <c r="H257" s="10">
        <f t="shared" si="22"/>
        <v>2.1841648051625695E-2</v>
      </c>
      <c r="I257" s="10">
        <f t="shared" si="24"/>
        <v>3.8892701898878279E-3</v>
      </c>
      <c r="J257" s="10">
        <f t="shared" si="25"/>
        <v>1.0815275101270228E-2</v>
      </c>
      <c r="K257" s="10">
        <f t="shared" si="26"/>
        <v>1.4062719729990292E-4</v>
      </c>
      <c r="L257" s="10">
        <f t="shared" si="27"/>
        <v>-1.0564010743061791E-2</v>
      </c>
      <c r="M257" s="10">
        <f t="shared" si="23"/>
        <v>-1.8611774432969463E-3</v>
      </c>
      <c r="N257" s="1"/>
      <c r="O257" s="2">
        <v>5722.26</v>
      </c>
      <c r="P257" s="12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spans="1:31" ht="15" thickBot="1" x14ac:dyDescent="0.35">
      <c r="A258" s="1">
        <v>45559</v>
      </c>
      <c r="B258">
        <v>120.87</v>
      </c>
      <c r="C258">
        <v>174.84</v>
      </c>
      <c r="D258">
        <v>254.27</v>
      </c>
      <c r="E258">
        <v>924.43</v>
      </c>
      <c r="F258">
        <v>55.85</v>
      </c>
      <c r="G258" s="4"/>
      <c r="H258" s="10">
        <f t="shared" si="22"/>
        <v>3.9652503010493723E-2</v>
      </c>
      <c r="I258" s="10">
        <f t="shared" si="24"/>
        <v>1.0986469295709567E-2</v>
      </c>
      <c r="J258" s="10">
        <f t="shared" si="25"/>
        <v>1.7079999999999984E-2</v>
      </c>
      <c r="K258" s="10">
        <f t="shared" si="26"/>
        <v>6.4342638157035559E-3</v>
      </c>
      <c r="L258" s="10">
        <f t="shared" si="27"/>
        <v>2.5146842878120523E-2</v>
      </c>
      <c r="M258" s="10">
        <f t="shared" si="23"/>
        <v>2.5111172898120149E-3</v>
      </c>
      <c r="N258" s="1"/>
      <c r="O258" s="2">
        <v>5732.93</v>
      </c>
      <c r="P258" s="12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spans="1:31" ht="15" thickBot="1" x14ac:dyDescent="0.35">
      <c r="A259" s="1">
        <v>45558</v>
      </c>
      <c r="B259">
        <v>116.26</v>
      </c>
      <c r="C259">
        <v>172.94</v>
      </c>
      <c r="D259">
        <v>250</v>
      </c>
      <c r="E259">
        <v>918.52</v>
      </c>
      <c r="F259">
        <v>54.48</v>
      </c>
      <c r="G259" s="4"/>
      <c r="H259" s="10">
        <f t="shared" si="22"/>
        <v>2.2413793103448487E-3</v>
      </c>
      <c r="I259" s="10">
        <f t="shared" si="24"/>
        <v>1.075394506136762E-2</v>
      </c>
      <c r="J259" s="10">
        <f t="shared" si="25"/>
        <v>4.9317943336831149E-2</v>
      </c>
      <c r="K259" s="10">
        <f t="shared" si="26"/>
        <v>-3.2230409445571651E-3</v>
      </c>
      <c r="L259" s="10">
        <f t="shared" si="27"/>
        <v>1.8358729575917998E-4</v>
      </c>
      <c r="M259" s="10">
        <f t="shared" si="23"/>
        <v>2.8092695373120868E-3</v>
      </c>
      <c r="N259" s="1"/>
      <c r="O259" s="2">
        <v>5718.57</v>
      </c>
      <c r="P259" s="12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spans="1:31" ht="15" thickBot="1" x14ac:dyDescent="0.35">
      <c r="A260" s="1">
        <v>45555</v>
      </c>
      <c r="B260">
        <v>116</v>
      </c>
      <c r="C260">
        <v>171.1</v>
      </c>
      <c r="D260">
        <v>238.25</v>
      </c>
      <c r="E260">
        <v>921.49</v>
      </c>
      <c r="F260">
        <v>54.47</v>
      </c>
      <c r="G260" s="4"/>
      <c r="H260" s="10">
        <f t="shared" ref="H260:H323" si="28">(B260/B261)-1</f>
        <v>-1.5864935946381609E-2</v>
      </c>
      <c r="I260" s="10">
        <f t="shared" si="24"/>
        <v>2.1980647473420101E-2</v>
      </c>
      <c r="J260" s="10">
        <f t="shared" si="25"/>
        <v>-2.3245326336503669E-2</v>
      </c>
      <c r="K260" s="10">
        <f t="shared" si="26"/>
        <v>7.0488721804511378E-3</v>
      </c>
      <c r="L260" s="10">
        <f t="shared" si="27"/>
        <v>1.7750373692077659E-2</v>
      </c>
      <c r="M260" s="10">
        <f t="shared" ref="M260:M323" si="29">(O260/O261)-1</f>
        <v>-1.9409693295342478E-3</v>
      </c>
      <c r="N260" s="1"/>
      <c r="O260" s="2">
        <v>5702.55</v>
      </c>
      <c r="P260" s="12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spans="1:31" ht="15" thickBot="1" x14ac:dyDescent="0.35">
      <c r="A261" s="1">
        <v>45554</v>
      </c>
      <c r="B261">
        <v>117.87</v>
      </c>
      <c r="C261">
        <v>167.42</v>
      </c>
      <c r="D261">
        <v>243.92</v>
      </c>
      <c r="E261">
        <v>915.04</v>
      </c>
      <c r="F261">
        <v>53.52</v>
      </c>
      <c r="G261" s="4"/>
      <c r="H261" s="10">
        <f t="shared" si="28"/>
        <v>3.9693040486901365E-2</v>
      </c>
      <c r="I261" s="10">
        <f t="shared" si="24"/>
        <v>3.5566276983979739E-2</v>
      </c>
      <c r="J261" s="10">
        <f t="shared" si="25"/>
        <v>7.3591549295774605E-2</v>
      </c>
      <c r="K261" s="10">
        <f t="shared" si="26"/>
        <v>1.1127440688641466E-2</v>
      </c>
      <c r="L261" s="10">
        <f t="shared" si="27"/>
        <v>8.6694308330192982E-3</v>
      </c>
      <c r="M261" s="10">
        <f t="shared" si="29"/>
        <v>1.6976786407179478E-2</v>
      </c>
      <c r="N261" s="1"/>
      <c r="O261" s="2">
        <v>5713.64</v>
      </c>
      <c r="P261" s="12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spans="1:31" ht="15" thickBot="1" x14ac:dyDescent="0.35">
      <c r="A262" s="1">
        <v>45553</v>
      </c>
      <c r="B262">
        <v>113.37</v>
      </c>
      <c r="C262">
        <v>161.66999999999999</v>
      </c>
      <c r="D262">
        <v>227.2</v>
      </c>
      <c r="E262">
        <v>904.97</v>
      </c>
      <c r="F262">
        <v>53.06</v>
      </c>
      <c r="G262" s="4"/>
      <c r="H262" s="10">
        <f t="shared" si="28"/>
        <v>-1.9205813651699932E-2</v>
      </c>
      <c r="I262" s="10">
        <f t="shared" si="24"/>
        <v>-4.9239859666400099E-3</v>
      </c>
      <c r="J262" s="10">
        <f t="shared" si="25"/>
        <v>-2.9402729626542001E-3</v>
      </c>
      <c r="K262" s="10">
        <f t="shared" si="26"/>
        <v>-1.3352755523184934E-3</v>
      </c>
      <c r="L262" s="10">
        <f t="shared" si="27"/>
        <v>-9.4144228958759069E-4</v>
      </c>
      <c r="M262" s="10">
        <f t="shared" si="29"/>
        <v>-2.8964004415590328E-3</v>
      </c>
      <c r="N262" s="1"/>
      <c r="O262" s="2">
        <v>5618.26</v>
      </c>
      <c r="P262" s="12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spans="1:31" ht="15" thickBot="1" x14ac:dyDescent="0.35">
      <c r="A263" s="1">
        <v>45552</v>
      </c>
      <c r="B263">
        <v>115.59</v>
      </c>
      <c r="C263">
        <v>162.47</v>
      </c>
      <c r="D263">
        <v>227.87</v>
      </c>
      <c r="E263">
        <v>906.18</v>
      </c>
      <c r="F263">
        <v>53.11</v>
      </c>
      <c r="G263" s="4"/>
      <c r="H263" s="10">
        <f t="shared" si="28"/>
        <v>-1.0190101044699418E-2</v>
      </c>
      <c r="I263" s="10">
        <f t="shared" si="24"/>
        <v>-9.4500670649921847E-3</v>
      </c>
      <c r="J263" s="10">
        <f t="shared" si="25"/>
        <v>4.8064203192521582E-3</v>
      </c>
      <c r="K263" s="10">
        <f t="shared" si="26"/>
        <v>-1.8797236719579002E-2</v>
      </c>
      <c r="L263" s="10">
        <f t="shared" si="27"/>
        <v>-3.7643515904395297E-4</v>
      </c>
      <c r="M263" s="10">
        <f t="shared" si="29"/>
        <v>2.6450846693371055E-4</v>
      </c>
      <c r="N263" s="1"/>
      <c r="O263" s="2">
        <v>5634.58</v>
      </c>
      <c r="P263" s="12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spans="1:31" ht="15" thickBot="1" x14ac:dyDescent="0.35">
      <c r="A264" s="1">
        <v>45551</v>
      </c>
      <c r="B264">
        <v>116.78</v>
      </c>
      <c r="C264">
        <v>164.02</v>
      </c>
      <c r="D264">
        <v>226.78</v>
      </c>
      <c r="E264">
        <v>923.54</v>
      </c>
      <c r="F264">
        <v>53.13</v>
      </c>
      <c r="G264" s="4"/>
      <c r="H264" s="10">
        <f t="shared" si="28"/>
        <v>-1.9479429051217356E-2</v>
      </c>
      <c r="I264" s="10">
        <f t="shared" si="24"/>
        <v>-2.1885622279205652E-2</v>
      </c>
      <c r="J264" s="10">
        <f t="shared" si="25"/>
        <v>-1.5241651830300906E-2</v>
      </c>
      <c r="K264" s="10">
        <f t="shared" si="26"/>
        <v>-1.8404044559450217E-4</v>
      </c>
      <c r="L264" s="10">
        <f t="shared" si="27"/>
        <v>-1.0798733941537852E-2</v>
      </c>
      <c r="M264" s="10">
        <f t="shared" si="29"/>
        <v>1.2566610143582846E-3</v>
      </c>
      <c r="N264" s="1"/>
      <c r="O264" s="2">
        <v>5633.09</v>
      </c>
      <c r="P264" s="12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spans="1:31" ht="15" thickBot="1" x14ac:dyDescent="0.35">
      <c r="A265" s="1">
        <v>45548</v>
      </c>
      <c r="B265">
        <v>119.1</v>
      </c>
      <c r="C265">
        <v>167.69</v>
      </c>
      <c r="D265">
        <v>230.29</v>
      </c>
      <c r="E265">
        <v>923.71</v>
      </c>
      <c r="F265">
        <v>53.71</v>
      </c>
      <c r="G265" s="4"/>
      <c r="H265" s="10">
        <f t="shared" si="28"/>
        <v>-3.3573946617426742E-4</v>
      </c>
      <c r="I265" s="10">
        <f t="shared" si="24"/>
        <v>1.9020418084589208E-2</v>
      </c>
      <c r="J265" s="10">
        <f t="shared" si="25"/>
        <v>2.088681954658167E-3</v>
      </c>
      <c r="K265" s="10">
        <f t="shared" si="26"/>
        <v>-1.2095997946567905E-2</v>
      </c>
      <c r="L265" s="10">
        <f t="shared" si="27"/>
        <v>1.5695915279879014E-2</v>
      </c>
      <c r="M265" s="10">
        <f t="shared" si="29"/>
        <v>5.4076658041088965E-3</v>
      </c>
      <c r="N265" s="1"/>
      <c r="O265" s="2">
        <v>5626.02</v>
      </c>
      <c r="P265" s="12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spans="1:31" ht="15" thickBot="1" x14ac:dyDescent="0.35">
      <c r="A266" s="1">
        <v>45547</v>
      </c>
      <c r="B266">
        <v>119.14</v>
      </c>
      <c r="C266">
        <v>164.56</v>
      </c>
      <c r="D266">
        <v>229.81</v>
      </c>
      <c r="E266">
        <v>935.02</v>
      </c>
      <c r="F266">
        <v>52.88</v>
      </c>
      <c r="G266" s="4"/>
      <c r="H266" s="10">
        <f t="shared" si="28"/>
        <v>1.9074501753485684E-2</v>
      </c>
      <c r="I266" s="10">
        <f t="shared" si="24"/>
        <v>3.9742212674543476E-2</v>
      </c>
      <c r="J266" s="10">
        <f t="shared" si="25"/>
        <v>7.3642221540350938E-3</v>
      </c>
      <c r="K266" s="10">
        <f t="shared" si="26"/>
        <v>1.5343852143035575E-2</v>
      </c>
      <c r="L266" s="10">
        <f t="shared" si="27"/>
        <v>4.2175798186834923E-2</v>
      </c>
      <c r="M266" s="10">
        <f t="shared" si="29"/>
        <v>7.4953232999588337E-3</v>
      </c>
      <c r="N266" s="1"/>
      <c r="O266" s="2">
        <v>5595.76</v>
      </c>
      <c r="P266" s="12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spans="1:31" ht="15" thickBot="1" x14ac:dyDescent="0.35">
      <c r="A267" s="1">
        <v>45546</v>
      </c>
      <c r="B267">
        <v>116.91</v>
      </c>
      <c r="C267">
        <v>158.27000000000001</v>
      </c>
      <c r="D267">
        <v>228.13</v>
      </c>
      <c r="E267">
        <v>920.89</v>
      </c>
      <c r="F267">
        <v>50.74</v>
      </c>
      <c r="G267" s="4"/>
      <c r="H267" s="10">
        <f t="shared" si="28"/>
        <v>8.1498612395929815E-2</v>
      </c>
      <c r="I267" s="10">
        <f t="shared" si="24"/>
        <v>6.7876661493826429E-2</v>
      </c>
      <c r="J267" s="10">
        <f t="shared" si="25"/>
        <v>8.6660476632622885E-3</v>
      </c>
      <c r="K267" s="10">
        <f t="shared" si="26"/>
        <v>2.1791955617198377E-2</v>
      </c>
      <c r="L267" s="10">
        <f t="shared" si="27"/>
        <v>-1.0916179337231879E-2</v>
      </c>
      <c r="M267" s="10">
        <f t="shared" si="29"/>
        <v>1.0665050805019227E-2</v>
      </c>
      <c r="N267" s="1"/>
      <c r="O267" s="2">
        <v>5554.13</v>
      </c>
      <c r="P267" s="12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spans="1:31" ht="15" thickBot="1" x14ac:dyDescent="0.35">
      <c r="A268" s="1">
        <v>45545</v>
      </c>
      <c r="B268">
        <v>108.1</v>
      </c>
      <c r="C268">
        <v>148.21</v>
      </c>
      <c r="D268">
        <v>226.17</v>
      </c>
      <c r="E268">
        <v>901.25</v>
      </c>
      <c r="F268">
        <v>51.3</v>
      </c>
      <c r="G268" s="4"/>
      <c r="H268" s="10">
        <f t="shared" si="28"/>
        <v>1.5309476847938264E-2</v>
      </c>
      <c r="I268" s="10">
        <f t="shared" si="24"/>
        <v>5.2478341144723828E-2</v>
      </c>
      <c r="J268" s="10">
        <f t="shared" si="25"/>
        <v>4.5776113191843493E-2</v>
      </c>
      <c r="K268" s="10">
        <f t="shared" si="26"/>
        <v>-7.7289792682792013E-3</v>
      </c>
      <c r="L268" s="10">
        <f t="shared" si="27"/>
        <v>1.1435331230283952E-2</v>
      </c>
      <c r="M268" s="10">
        <f t="shared" si="29"/>
        <v>4.4726332239699573E-3</v>
      </c>
      <c r="N268" s="1"/>
      <c r="O268" s="2">
        <v>5495.52</v>
      </c>
      <c r="P268" s="12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spans="1:31" ht="15" thickBot="1" x14ac:dyDescent="0.35">
      <c r="A269" s="1">
        <v>45544</v>
      </c>
      <c r="B269">
        <v>106.47</v>
      </c>
      <c r="C269">
        <v>140.82</v>
      </c>
      <c r="D269">
        <v>216.27</v>
      </c>
      <c r="E269">
        <v>908.27</v>
      </c>
      <c r="F269">
        <v>50.72</v>
      </c>
      <c r="G269" s="4"/>
      <c r="H269" s="10">
        <f t="shared" si="28"/>
        <v>3.539823008849563E-2</v>
      </c>
      <c r="I269" s="10">
        <f t="shared" si="24"/>
        <v>2.7958245127381431E-2</v>
      </c>
      <c r="J269" s="10">
        <f t="shared" si="25"/>
        <v>2.6289564846011526E-2</v>
      </c>
      <c r="K269" s="10">
        <f t="shared" si="26"/>
        <v>6.1592316469296637E-3</v>
      </c>
      <c r="L269" s="10">
        <f t="shared" si="27"/>
        <v>7.5486690504567022E-3</v>
      </c>
      <c r="M269" s="10">
        <f t="shared" si="29"/>
        <v>1.1580091782812829E-2</v>
      </c>
      <c r="N269" s="1"/>
      <c r="O269" s="2">
        <v>5471.05</v>
      </c>
      <c r="P269" s="12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spans="1:31" ht="15" thickBot="1" x14ac:dyDescent="0.35">
      <c r="A270" s="1">
        <v>45541</v>
      </c>
      <c r="B270">
        <v>102.83</v>
      </c>
      <c r="C270">
        <v>136.99</v>
      </c>
      <c r="D270">
        <v>210.73</v>
      </c>
      <c r="E270">
        <v>902.71</v>
      </c>
      <c r="F270">
        <v>50.34</v>
      </c>
      <c r="G270" s="4"/>
      <c r="H270" s="10">
        <f t="shared" si="28"/>
        <v>-4.0854397910642604E-2</v>
      </c>
      <c r="I270" s="10">
        <f t="shared" si="24"/>
        <v>-0.10358591807355044</v>
      </c>
      <c r="J270" s="10">
        <f t="shared" si="25"/>
        <v>-8.4459312681930743E-2</v>
      </c>
      <c r="K270" s="10">
        <f t="shared" si="26"/>
        <v>-1.0999726102437601E-2</v>
      </c>
      <c r="L270" s="10">
        <f t="shared" si="27"/>
        <v>-3.0618139803581634E-2</v>
      </c>
      <c r="M270" s="10">
        <f t="shared" si="29"/>
        <v>-1.726020776209658E-2</v>
      </c>
      <c r="N270" s="1"/>
      <c r="O270" s="2">
        <v>5408.42</v>
      </c>
      <c r="P270" s="12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spans="1:31" ht="15" thickBot="1" x14ac:dyDescent="0.35">
      <c r="A271" s="1">
        <v>45540</v>
      </c>
      <c r="B271">
        <v>107.21</v>
      </c>
      <c r="C271">
        <v>152.82</v>
      </c>
      <c r="D271">
        <v>230.17</v>
      </c>
      <c r="E271">
        <v>912.75</v>
      </c>
      <c r="F271">
        <v>51.93</v>
      </c>
      <c r="G271" s="4"/>
      <c r="H271" s="10">
        <f t="shared" si="28"/>
        <v>9.4153092929103455E-3</v>
      </c>
      <c r="I271" s="10">
        <f t="shared" si="24"/>
        <v>-8.4349857254087945E-3</v>
      </c>
      <c r="J271" s="10">
        <f t="shared" si="25"/>
        <v>4.904060890570161E-2</v>
      </c>
      <c r="K271" s="10">
        <f t="shared" si="26"/>
        <v>-3.5464065686719892E-2</v>
      </c>
      <c r="L271" s="10">
        <f t="shared" si="27"/>
        <v>6.2003487696182802E-3</v>
      </c>
      <c r="M271" s="10">
        <f t="shared" si="29"/>
        <v>-3.0180776693048417E-3</v>
      </c>
      <c r="N271" s="1"/>
      <c r="O271" s="2">
        <v>5503.41</v>
      </c>
      <c r="P271" s="12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spans="1:31" ht="15" thickBot="1" x14ac:dyDescent="0.35">
      <c r="A272" s="1">
        <v>45539</v>
      </c>
      <c r="B272">
        <v>106.21</v>
      </c>
      <c r="C272">
        <v>154.12</v>
      </c>
      <c r="D272">
        <v>219.41</v>
      </c>
      <c r="E272">
        <v>946.31</v>
      </c>
      <c r="F272">
        <v>51.61</v>
      </c>
      <c r="G272" s="4"/>
      <c r="H272" s="10">
        <f t="shared" si="28"/>
        <v>-1.6574074074074185E-2</v>
      </c>
      <c r="I272" s="10">
        <f t="shared" si="24"/>
        <v>8.7047581648014294E-3</v>
      </c>
      <c r="J272" s="10">
        <f t="shared" si="25"/>
        <v>4.1832858499525116E-2</v>
      </c>
      <c r="K272" s="10">
        <f t="shared" si="26"/>
        <v>-1.0684453179722553E-2</v>
      </c>
      <c r="L272" s="10">
        <f t="shared" si="27"/>
        <v>-1.2626745743256285E-2</v>
      </c>
      <c r="M272" s="10">
        <f t="shared" si="29"/>
        <v>-1.6024800458679378E-3</v>
      </c>
      <c r="N272" s="1"/>
      <c r="O272" s="2">
        <v>5520.07</v>
      </c>
      <c r="P272" s="12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spans="1:31" ht="15" thickBot="1" x14ac:dyDescent="0.35">
      <c r="A273" s="1">
        <v>45538</v>
      </c>
      <c r="B273">
        <v>108</v>
      </c>
      <c r="C273">
        <v>152.79</v>
      </c>
      <c r="D273">
        <v>210.6</v>
      </c>
      <c r="E273">
        <v>956.53</v>
      </c>
      <c r="F273">
        <v>52.27</v>
      </c>
      <c r="G273" s="4"/>
      <c r="H273" s="10">
        <f t="shared" si="28"/>
        <v>-9.5250062829856819E-2</v>
      </c>
      <c r="I273" s="10">
        <f t="shared" si="24"/>
        <v>-6.1601768824468772E-2</v>
      </c>
      <c r="J273" s="10">
        <f t="shared" si="25"/>
        <v>-1.6393442622950949E-2</v>
      </c>
      <c r="K273" s="10">
        <f t="shared" si="26"/>
        <v>-3.6353409303973017E-3</v>
      </c>
      <c r="L273" s="10">
        <f t="shared" si="27"/>
        <v>-2.0977711181869196E-2</v>
      </c>
      <c r="M273" s="10">
        <f t="shared" si="29"/>
        <v>-2.1151122441753323E-2</v>
      </c>
      <c r="N273" s="1"/>
      <c r="O273" s="2">
        <v>5528.93</v>
      </c>
      <c r="P273" s="12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spans="1:31" ht="15" thickBot="1" x14ac:dyDescent="0.35">
      <c r="A274" s="1">
        <v>45534</v>
      </c>
      <c r="B274">
        <v>119.37</v>
      </c>
      <c r="C274">
        <v>162.82</v>
      </c>
      <c r="D274">
        <v>214.11</v>
      </c>
      <c r="E274">
        <v>960.02</v>
      </c>
      <c r="F274">
        <v>53.39</v>
      </c>
      <c r="G274" s="4"/>
      <c r="H274" s="10">
        <f t="shared" si="28"/>
        <v>1.5137341610681254E-2</v>
      </c>
      <c r="I274" s="10">
        <f t="shared" si="24"/>
        <v>3.7532657872936914E-2</v>
      </c>
      <c r="J274" s="10">
        <f t="shared" si="25"/>
        <v>3.795811518324621E-2</v>
      </c>
      <c r="K274" s="10">
        <f t="shared" si="26"/>
        <v>2.1080621144437206E-2</v>
      </c>
      <c r="L274" s="10">
        <f t="shared" si="27"/>
        <v>3.9488529522377913E-3</v>
      </c>
      <c r="M274" s="10">
        <f t="shared" si="29"/>
        <v>1.0093062182132906E-2</v>
      </c>
      <c r="N274" s="1"/>
      <c r="O274" s="2">
        <v>5648.4</v>
      </c>
      <c r="P274" s="12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spans="1:31" ht="15" thickBot="1" x14ac:dyDescent="0.35">
      <c r="A275" s="1">
        <v>45533</v>
      </c>
      <c r="B275">
        <v>117.59</v>
      </c>
      <c r="C275">
        <v>156.93</v>
      </c>
      <c r="D275">
        <v>206.28</v>
      </c>
      <c r="E275">
        <v>940.2</v>
      </c>
      <c r="F275">
        <v>53.18</v>
      </c>
      <c r="G275" s="4"/>
      <c r="H275" s="10">
        <f t="shared" si="28"/>
        <v>-6.3848419711806326E-2</v>
      </c>
      <c r="I275" s="10">
        <f t="shared" ref="I275:I338" si="30">(C275/C276)-1</f>
        <v>-7.9023896826400097E-3</v>
      </c>
      <c r="J275" s="10">
        <f t="shared" ref="J275:J338" si="31">(D275/D276)-1</f>
        <v>2.5759416767923149E-3</v>
      </c>
      <c r="K275" s="10">
        <f t="shared" ref="K275:K338" si="32">(E275/E276)-1</f>
        <v>-9.2102767298248844E-3</v>
      </c>
      <c r="L275" s="10">
        <f t="shared" ref="L275:L338" si="33">(F275/F276)-1</f>
        <v>2.6046691105537256E-2</v>
      </c>
      <c r="M275" s="10">
        <f t="shared" si="29"/>
        <v>-3.9340650694441592E-5</v>
      </c>
      <c r="N275" s="1"/>
      <c r="O275" s="2">
        <v>5591.96</v>
      </c>
      <c r="P275" s="12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spans="1:31" ht="15" thickBot="1" x14ac:dyDescent="0.35">
      <c r="A276" s="1">
        <v>45532</v>
      </c>
      <c r="B276">
        <v>125.61</v>
      </c>
      <c r="C276">
        <v>158.18</v>
      </c>
      <c r="D276">
        <v>205.75</v>
      </c>
      <c r="E276">
        <v>948.94</v>
      </c>
      <c r="F276">
        <v>51.83</v>
      </c>
      <c r="G276" s="4"/>
      <c r="H276" s="10">
        <f t="shared" si="28"/>
        <v>-2.0966484801247187E-2</v>
      </c>
      <c r="I276" s="10">
        <f t="shared" si="30"/>
        <v>-1.9889708160356734E-2</v>
      </c>
      <c r="J276" s="10">
        <f t="shared" si="31"/>
        <v>-1.6538406385928073E-2</v>
      </c>
      <c r="K276" s="10">
        <f t="shared" si="32"/>
        <v>-5.8042075266112603E-3</v>
      </c>
      <c r="L276" s="10">
        <f t="shared" si="33"/>
        <v>-1.6508538899430825E-2</v>
      </c>
      <c r="M276" s="10">
        <f t="shared" si="29"/>
        <v>-5.9760389633474187E-3</v>
      </c>
      <c r="N276" s="1"/>
      <c r="O276" s="2">
        <v>5592.18</v>
      </c>
      <c r="P276" s="12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spans="1:31" ht="15" thickBot="1" x14ac:dyDescent="0.35">
      <c r="A277" s="1">
        <v>45531</v>
      </c>
      <c r="B277">
        <v>128.30000000000001</v>
      </c>
      <c r="C277">
        <v>161.38999999999999</v>
      </c>
      <c r="D277">
        <v>209.21</v>
      </c>
      <c r="E277">
        <v>954.48</v>
      </c>
      <c r="F277">
        <v>52.7</v>
      </c>
      <c r="G277" s="4"/>
      <c r="H277" s="10">
        <f t="shared" si="28"/>
        <v>1.4550055353471647E-2</v>
      </c>
      <c r="I277" s="10">
        <f t="shared" si="30"/>
        <v>1.1088835985465284E-2</v>
      </c>
      <c r="J277" s="10">
        <f t="shared" si="31"/>
        <v>-1.8760846114159735E-2</v>
      </c>
      <c r="K277" s="10">
        <f t="shared" si="32"/>
        <v>4.15557636266084E-3</v>
      </c>
      <c r="L277" s="10">
        <f t="shared" si="33"/>
        <v>8.4194412552622833E-3</v>
      </c>
      <c r="M277" s="10">
        <f t="shared" si="29"/>
        <v>1.5952029967027936E-3</v>
      </c>
      <c r="N277" s="1"/>
      <c r="O277" s="2">
        <v>5625.8</v>
      </c>
      <c r="P277" s="12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spans="1:31" ht="15" thickBot="1" x14ac:dyDescent="0.35">
      <c r="A278" s="1">
        <v>45530</v>
      </c>
      <c r="B278">
        <v>126.46</v>
      </c>
      <c r="C278">
        <v>159.62</v>
      </c>
      <c r="D278">
        <v>213.21</v>
      </c>
      <c r="E278">
        <v>950.53</v>
      </c>
      <c r="F278">
        <v>52.26</v>
      </c>
      <c r="G278" s="4"/>
      <c r="H278" s="10">
        <f t="shared" si="28"/>
        <v>-2.2493622941949565E-2</v>
      </c>
      <c r="I278" s="10">
        <f t="shared" si="30"/>
        <v>-4.0514546766049597E-2</v>
      </c>
      <c r="J278" s="10">
        <f t="shared" si="31"/>
        <v>-3.2271241830065245E-2</v>
      </c>
      <c r="K278" s="10">
        <f t="shared" si="32"/>
        <v>-2.31962550118614E-3</v>
      </c>
      <c r="L278" s="10">
        <f t="shared" si="33"/>
        <v>4.2275172943888606E-3</v>
      </c>
      <c r="M278" s="10">
        <f t="shared" si="29"/>
        <v>-3.1537231503155905E-3</v>
      </c>
      <c r="N278" s="1"/>
      <c r="O278" s="2">
        <v>5616.84</v>
      </c>
      <c r="P278" s="12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spans="1:31" ht="15" thickBot="1" x14ac:dyDescent="0.35">
      <c r="A279" s="1">
        <v>45527</v>
      </c>
      <c r="B279">
        <v>129.37</v>
      </c>
      <c r="C279">
        <v>166.36</v>
      </c>
      <c r="D279">
        <v>220.32</v>
      </c>
      <c r="E279">
        <v>952.74</v>
      </c>
      <c r="F279">
        <v>52.04</v>
      </c>
      <c r="G279" s="4"/>
      <c r="H279" s="10">
        <f t="shared" si="28"/>
        <v>4.5498626151608379E-2</v>
      </c>
      <c r="I279" s="10">
        <f t="shared" si="30"/>
        <v>2.4762843415054858E-2</v>
      </c>
      <c r="J279" s="10">
        <f t="shared" si="31"/>
        <v>4.5855881515237895E-2</v>
      </c>
      <c r="K279" s="10">
        <f t="shared" si="32"/>
        <v>-1.498684720751986E-3</v>
      </c>
      <c r="L279" s="10">
        <f t="shared" si="33"/>
        <v>1.2254425209103248E-2</v>
      </c>
      <c r="M279" s="10">
        <f t="shared" si="29"/>
        <v>1.1483420217425433E-2</v>
      </c>
      <c r="N279" s="1"/>
      <c r="O279" s="2">
        <v>5634.61</v>
      </c>
      <c r="P279" s="12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spans="1:31" ht="15" thickBot="1" x14ac:dyDescent="0.35">
      <c r="A280" s="1">
        <v>45526</v>
      </c>
      <c r="B280">
        <v>123.74</v>
      </c>
      <c r="C280">
        <v>162.34</v>
      </c>
      <c r="D280">
        <v>210.66</v>
      </c>
      <c r="E280">
        <v>954.17</v>
      </c>
      <c r="F280">
        <v>51.41</v>
      </c>
      <c r="G280" s="4"/>
      <c r="H280" s="10">
        <f t="shared" si="28"/>
        <v>-3.7042801556420257E-2</v>
      </c>
      <c r="I280" s="10">
        <f t="shared" si="30"/>
        <v>-2.0750392085896907E-2</v>
      </c>
      <c r="J280" s="10">
        <f t="shared" si="31"/>
        <v>-5.6478702915752299E-2</v>
      </c>
      <c r="K280" s="10">
        <f t="shared" si="32"/>
        <v>2.3109971952897101E-3</v>
      </c>
      <c r="L280" s="10">
        <f t="shared" si="33"/>
        <v>-8.8683246577984098E-3</v>
      </c>
      <c r="M280" s="10">
        <f t="shared" si="29"/>
        <v>-8.9328126528905871E-3</v>
      </c>
      <c r="N280" s="1"/>
      <c r="O280" s="2">
        <v>5570.64</v>
      </c>
      <c r="P280" s="12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spans="1:31" ht="15" thickBot="1" x14ac:dyDescent="0.35">
      <c r="A281" s="1">
        <v>45525</v>
      </c>
      <c r="B281">
        <v>128.5</v>
      </c>
      <c r="C281">
        <v>165.78</v>
      </c>
      <c r="D281">
        <v>223.27</v>
      </c>
      <c r="E281">
        <v>951.97</v>
      </c>
      <c r="F281">
        <v>51.87</v>
      </c>
      <c r="G281" s="4"/>
      <c r="H281" s="10">
        <f t="shared" si="28"/>
        <v>9.8231827111985304E-3</v>
      </c>
      <c r="I281" s="10">
        <f t="shared" si="30"/>
        <v>-1.0244049412473366E-3</v>
      </c>
      <c r="J281" s="10">
        <f t="shared" si="31"/>
        <v>9.8145635459068181E-3</v>
      </c>
      <c r="K281" s="10">
        <f t="shared" si="32"/>
        <v>2.1053296419886181E-3</v>
      </c>
      <c r="L281" s="10">
        <f t="shared" si="33"/>
        <v>8.1632653061223248E-3</v>
      </c>
      <c r="M281" s="10">
        <f t="shared" si="29"/>
        <v>4.2396804070665706E-3</v>
      </c>
      <c r="N281" s="1"/>
      <c r="O281" s="2">
        <v>5620.85</v>
      </c>
      <c r="P281" s="12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spans="1:31" ht="15" thickBot="1" x14ac:dyDescent="0.35">
      <c r="A282" s="1">
        <v>45524</v>
      </c>
      <c r="B282">
        <v>127.25</v>
      </c>
      <c r="C282">
        <v>165.95</v>
      </c>
      <c r="D282">
        <v>221.1</v>
      </c>
      <c r="E282">
        <v>949.97</v>
      </c>
      <c r="F282">
        <v>51.45</v>
      </c>
      <c r="G282" s="4"/>
      <c r="H282" s="10">
        <f t="shared" si="28"/>
        <v>-2.115384615384619E-2</v>
      </c>
      <c r="I282" s="10">
        <f t="shared" si="30"/>
        <v>-1.0494305646652102E-2</v>
      </c>
      <c r="J282" s="10">
        <f t="shared" si="31"/>
        <v>-7.2737068965517127E-3</v>
      </c>
      <c r="K282" s="10">
        <f t="shared" si="32"/>
        <v>3.0548594612772817E-2</v>
      </c>
      <c r="L282" s="10">
        <f t="shared" si="33"/>
        <v>5.0791170150421561E-3</v>
      </c>
      <c r="M282" s="10">
        <f t="shared" si="29"/>
        <v>-1.9845762938528466E-3</v>
      </c>
      <c r="N282" s="1"/>
      <c r="O282" s="2">
        <v>5597.12</v>
      </c>
      <c r="P282" s="12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spans="1:31" ht="15" thickBot="1" x14ac:dyDescent="0.35">
      <c r="A283" s="1">
        <v>45523</v>
      </c>
      <c r="B283">
        <v>130</v>
      </c>
      <c r="C283">
        <v>167.71</v>
      </c>
      <c r="D283">
        <v>222.72</v>
      </c>
      <c r="E283">
        <v>921.81</v>
      </c>
      <c r="F283">
        <v>51.19</v>
      </c>
      <c r="G283" s="4"/>
      <c r="H283" s="10">
        <f t="shared" si="28"/>
        <v>4.3506180767378444E-2</v>
      </c>
      <c r="I283" s="10">
        <f t="shared" si="30"/>
        <v>1.2008206613565164E-2</v>
      </c>
      <c r="J283" s="10">
        <f t="shared" si="31"/>
        <v>3.0538589672404193E-2</v>
      </c>
      <c r="K283" s="10">
        <f t="shared" si="32"/>
        <v>-3.3618184184280864E-4</v>
      </c>
      <c r="L283" s="10">
        <f t="shared" si="33"/>
        <v>1.9518024297948466E-2</v>
      </c>
      <c r="M283" s="10">
        <f t="shared" si="29"/>
        <v>9.7222847369131671E-3</v>
      </c>
      <c r="N283" s="1"/>
      <c r="O283" s="2">
        <v>5608.25</v>
      </c>
      <c r="P283" s="12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spans="1:31" ht="15" thickBot="1" x14ac:dyDescent="0.35">
      <c r="A284" s="1">
        <v>45520</v>
      </c>
      <c r="B284">
        <v>124.58</v>
      </c>
      <c r="C284">
        <v>165.72</v>
      </c>
      <c r="D284">
        <v>216.12</v>
      </c>
      <c r="E284">
        <v>922.12</v>
      </c>
      <c r="F284">
        <v>50.21</v>
      </c>
      <c r="G284" s="4"/>
      <c r="H284" s="10">
        <f t="shared" si="28"/>
        <v>1.3999674426176112E-2</v>
      </c>
      <c r="I284" s="10">
        <f t="shared" si="30"/>
        <v>-2.4679467886594697E-3</v>
      </c>
      <c r="J284" s="10">
        <f t="shared" si="31"/>
        <v>9.2462874754835056E-3</v>
      </c>
      <c r="K284" s="10">
        <f t="shared" si="32"/>
        <v>-1.0154790785547152E-2</v>
      </c>
      <c r="L284" s="10">
        <f t="shared" si="33"/>
        <v>1.8251875887243862E-2</v>
      </c>
      <c r="M284" s="10">
        <f t="shared" si="29"/>
        <v>1.9898181923141411E-3</v>
      </c>
      <c r="N284" s="1"/>
      <c r="O284" s="2">
        <v>5554.25</v>
      </c>
      <c r="P284" s="12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spans="1:31" ht="15" thickBot="1" x14ac:dyDescent="0.35">
      <c r="A285" s="1">
        <v>45519</v>
      </c>
      <c r="B285">
        <v>122.86</v>
      </c>
      <c r="C285">
        <v>166.13</v>
      </c>
      <c r="D285">
        <v>214.14</v>
      </c>
      <c r="E285">
        <v>931.58</v>
      </c>
      <c r="F285">
        <v>49.31</v>
      </c>
      <c r="G285" s="4"/>
      <c r="H285" s="10">
        <f t="shared" si="28"/>
        <v>4.0481029810298219E-2</v>
      </c>
      <c r="I285" s="10">
        <f t="shared" si="30"/>
        <v>5.3522734479041212E-2</v>
      </c>
      <c r="J285" s="10">
        <f t="shared" si="31"/>
        <v>6.3362796702751023E-2</v>
      </c>
      <c r="K285" s="10">
        <f t="shared" si="32"/>
        <v>-1.0733298986764783E-4</v>
      </c>
      <c r="L285" s="10">
        <f t="shared" si="33"/>
        <v>3.4595034595035212E-3</v>
      </c>
      <c r="M285" s="10">
        <f t="shared" si="29"/>
        <v>1.6133201104998829E-2</v>
      </c>
      <c r="N285" s="1"/>
      <c r="O285" s="2">
        <v>5543.22</v>
      </c>
      <c r="P285" s="12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spans="1:31" ht="15" thickBot="1" x14ac:dyDescent="0.35">
      <c r="A286" s="1">
        <v>45518</v>
      </c>
      <c r="B286">
        <v>118.08</v>
      </c>
      <c r="C286">
        <v>157.69</v>
      </c>
      <c r="D286">
        <v>201.38</v>
      </c>
      <c r="E286">
        <v>931.68</v>
      </c>
      <c r="F286">
        <v>49.14</v>
      </c>
      <c r="G286" s="4"/>
      <c r="H286" s="10">
        <f t="shared" si="28"/>
        <v>1.6703977957637228E-2</v>
      </c>
      <c r="I286" s="10">
        <f t="shared" si="30"/>
        <v>9.7976434426230163E-3</v>
      </c>
      <c r="J286" s="10">
        <f t="shared" si="31"/>
        <v>-3.1034980512919308E-2</v>
      </c>
      <c r="K286" s="10">
        <f t="shared" si="32"/>
        <v>2.6022796101536239E-2</v>
      </c>
      <c r="L286" s="10">
        <f t="shared" si="33"/>
        <v>2.4479804161565699E-3</v>
      </c>
      <c r="M286" s="10">
        <f t="shared" si="29"/>
        <v>3.8237680860733203E-3</v>
      </c>
      <c r="N286" s="1"/>
      <c r="O286" s="2">
        <v>5455.21</v>
      </c>
      <c r="P286" s="12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spans="1:31" ht="15" thickBot="1" x14ac:dyDescent="0.35">
      <c r="A287" s="1">
        <v>45517</v>
      </c>
      <c r="B287">
        <v>116.14</v>
      </c>
      <c r="C287">
        <v>156.16</v>
      </c>
      <c r="D287">
        <v>207.83</v>
      </c>
      <c r="E287">
        <v>908.05</v>
      </c>
      <c r="F287">
        <v>49.02</v>
      </c>
      <c r="G287" s="4"/>
      <c r="H287" s="10">
        <f t="shared" si="28"/>
        <v>6.5309117593102206E-2</v>
      </c>
      <c r="I287" s="10">
        <f t="shared" si="30"/>
        <v>5.0733414076167271E-2</v>
      </c>
      <c r="J287" s="10">
        <f t="shared" si="31"/>
        <v>5.2357081371208647E-2</v>
      </c>
      <c r="K287" s="10">
        <f t="shared" si="32"/>
        <v>2.6764512992152545E-2</v>
      </c>
      <c r="L287" s="10">
        <f t="shared" si="33"/>
        <v>4.7140807542529473E-3</v>
      </c>
      <c r="M287" s="10">
        <f t="shared" si="29"/>
        <v>1.6847572875482442E-2</v>
      </c>
      <c r="N287" s="1"/>
      <c r="O287" s="2">
        <v>5434.43</v>
      </c>
      <c r="P287" s="12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spans="1:31" ht="15" thickBot="1" x14ac:dyDescent="0.35">
      <c r="A288" s="1">
        <v>45516</v>
      </c>
      <c r="B288">
        <v>109.02</v>
      </c>
      <c r="C288">
        <v>148.62</v>
      </c>
      <c r="D288">
        <v>197.49</v>
      </c>
      <c r="E288">
        <v>884.38</v>
      </c>
      <c r="F288">
        <v>48.79</v>
      </c>
      <c r="G288" s="4"/>
      <c r="H288" s="10">
        <f t="shared" si="28"/>
        <v>4.0763723150357922E-2</v>
      </c>
      <c r="I288" s="10">
        <f t="shared" si="30"/>
        <v>2.4281667341159441E-3</v>
      </c>
      <c r="J288" s="10">
        <f t="shared" si="31"/>
        <v>-1.254999999999995E-2</v>
      </c>
      <c r="K288" s="10">
        <f t="shared" si="32"/>
        <v>-8.1867934685088128E-3</v>
      </c>
      <c r="L288" s="10">
        <f t="shared" si="33"/>
        <v>2.263676378117796E-2</v>
      </c>
      <c r="M288" s="10">
        <f t="shared" si="29"/>
        <v>4.3037633603804082E-5</v>
      </c>
      <c r="N288" s="1"/>
      <c r="O288" s="2">
        <v>5344.39</v>
      </c>
      <c r="P288" s="12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spans="1:31" ht="15" thickBot="1" x14ac:dyDescent="0.35">
      <c r="A289" s="1">
        <v>45513</v>
      </c>
      <c r="B289">
        <v>104.75</v>
      </c>
      <c r="C289">
        <v>148.26</v>
      </c>
      <c r="D289">
        <v>200</v>
      </c>
      <c r="E289">
        <v>891.68</v>
      </c>
      <c r="F289">
        <v>47.71</v>
      </c>
      <c r="G289" s="4"/>
      <c r="H289" s="10">
        <f t="shared" si="28"/>
        <v>-2.0958369057826332E-3</v>
      </c>
      <c r="I289" s="10">
        <f t="shared" si="30"/>
        <v>1.7291066282420609E-2</v>
      </c>
      <c r="J289" s="10">
        <f t="shared" si="31"/>
        <v>5.8338362502514673E-3</v>
      </c>
      <c r="K289" s="10">
        <f t="shared" si="32"/>
        <v>5.485561509978587E-2</v>
      </c>
      <c r="L289" s="10">
        <f t="shared" si="33"/>
        <v>0</v>
      </c>
      <c r="M289" s="10">
        <f t="shared" si="29"/>
        <v>4.6716585421793244E-3</v>
      </c>
      <c r="N289" s="1"/>
      <c r="O289" s="2">
        <v>5344.16</v>
      </c>
      <c r="P289" s="12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spans="1:31" ht="15" thickBot="1" x14ac:dyDescent="0.35">
      <c r="A290" s="1">
        <v>45512</v>
      </c>
      <c r="B290">
        <v>104.97</v>
      </c>
      <c r="C290">
        <v>145.74</v>
      </c>
      <c r="D290">
        <v>198.84</v>
      </c>
      <c r="E290">
        <v>845.31</v>
      </c>
      <c r="F290">
        <v>47.71</v>
      </c>
      <c r="G290" s="4"/>
      <c r="H290" s="10">
        <f t="shared" si="28"/>
        <v>6.1267819229602782E-2</v>
      </c>
      <c r="I290" s="10">
        <f t="shared" si="30"/>
        <v>6.9494386145152909E-2</v>
      </c>
      <c r="J290" s="10">
        <f t="shared" si="31"/>
        <v>3.6921151439299082E-2</v>
      </c>
      <c r="K290" s="10">
        <f t="shared" si="32"/>
        <v>9.4762607817235223E-2</v>
      </c>
      <c r="L290" s="10">
        <f t="shared" si="33"/>
        <v>2.8232758620689635E-2</v>
      </c>
      <c r="M290" s="10">
        <f t="shared" si="29"/>
        <v>2.3042600250024137E-2</v>
      </c>
      <c r="N290" s="1"/>
      <c r="O290" s="2">
        <v>5319.31</v>
      </c>
      <c r="P290" s="12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spans="1:31" ht="15" thickBot="1" x14ac:dyDescent="0.35">
      <c r="A291" s="1">
        <v>45511</v>
      </c>
      <c r="B291">
        <v>98.91</v>
      </c>
      <c r="C291">
        <v>136.27000000000001</v>
      </c>
      <c r="D291">
        <v>191.76</v>
      </c>
      <c r="E291">
        <v>772.14</v>
      </c>
      <c r="F291">
        <v>46.4</v>
      </c>
      <c r="G291" s="4"/>
      <c r="H291" s="10">
        <f t="shared" si="28"/>
        <v>-5.1223021582733841E-2</v>
      </c>
      <c r="I291" s="10">
        <f t="shared" si="30"/>
        <v>-5.3154530294607927E-2</v>
      </c>
      <c r="J291" s="10">
        <f t="shared" si="31"/>
        <v>-4.4258373205741552E-2</v>
      </c>
      <c r="K291" s="10">
        <f t="shared" si="32"/>
        <v>-2.6526135303461928E-2</v>
      </c>
      <c r="L291" s="10">
        <f t="shared" si="33"/>
        <v>-2.5210084033613467E-2</v>
      </c>
      <c r="M291" s="10">
        <f t="shared" si="29"/>
        <v>-7.7346885418594358E-3</v>
      </c>
      <c r="N291" s="1"/>
      <c r="O291" s="2">
        <v>5199.5</v>
      </c>
      <c r="P291" s="12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spans="1:31" ht="15" thickBot="1" x14ac:dyDescent="0.35">
      <c r="A292" s="1">
        <v>45510</v>
      </c>
      <c r="B292">
        <v>104.25</v>
      </c>
      <c r="C292">
        <v>143.91999999999999</v>
      </c>
      <c r="D292">
        <v>200.64</v>
      </c>
      <c r="E292">
        <v>793.18</v>
      </c>
      <c r="F292">
        <v>47.6</v>
      </c>
      <c r="G292" s="4"/>
      <c r="H292" s="10">
        <f t="shared" si="28"/>
        <v>3.7829766052762448E-2</v>
      </c>
      <c r="I292" s="10">
        <f t="shared" si="30"/>
        <v>1.295045045045029E-2</v>
      </c>
      <c r="J292" s="10">
        <f t="shared" si="31"/>
        <v>8.8495575221239076E-3</v>
      </c>
      <c r="K292" s="10">
        <f t="shared" si="32"/>
        <v>2.3114825993860055E-2</v>
      </c>
      <c r="L292" s="10">
        <f t="shared" si="33"/>
        <v>1.2119923453115078E-2</v>
      </c>
      <c r="M292" s="10">
        <f t="shared" si="29"/>
        <v>1.0354142524675369E-2</v>
      </c>
      <c r="N292" s="1"/>
      <c r="O292" s="2">
        <v>5240.03</v>
      </c>
      <c r="P292" s="12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spans="1:31" ht="15" thickBot="1" x14ac:dyDescent="0.35">
      <c r="A293" s="1">
        <v>45509</v>
      </c>
      <c r="B293">
        <v>100.45</v>
      </c>
      <c r="C293">
        <v>142.08000000000001</v>
      </c>
      <c r="D293">
        <v>198.88</v>
      </c>
      <c r="E293">
        <v>775.26</v>
      </c>
      <c r="F293">
        <v>47.03</v>
      </c>
      <c r="G293" s="4"/>
      <c r="H293" s="10">
        <f t="shared" si="28"/>
        <v>-6.3577887573412872E-2</v>
      </c>
      <c r="I293" s="10">
        <f t="shared" si="30"/>
        <v>-1.2098456403837998E-2</v>
      </c>
      <c r="J293" s="10">
        <f t="shared" si="31"/>
        <v>-4.2326768430683281E-2</v>
      </c>
      <c r="K293" s="10">
        <f t="shared" si="32"/>
        <v>-3.629764065335761E-2</v>
      </c>
      <c r="L293" s="10">
        <f t="shared" si="33"/>
        <v>-3.05091733663162E-2</v>
      </c>
      <c r="M293" s="10">
        <f t="shared" si="29"/>
        <v>-2.9968802370122227E-2</v>
      </c>
      <c r="N293" s="1"/>
      <c r="O293" s="2">
        <v>5186.33</v>
      </c>
      <c r="P293" s="12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spans="1:31" ht="15" thickBot="1" x14ac:dyDescent="0.35">
      <c r="A294" s="1">
        <v>45506</v>
      </c>
      <c r="B294">
        <v>107.27</v>
      </c>
      <c r="C294">
        <v>143.82</v>
      </c>
      <c r="D294">
        <v>207.67</v>
      </c>
      <c r="E294">
        <v>804.46</v>
      </c>
      <c r="F294">
        <v>48.51</v>
      </c>
      <c r="G294" s="4"/>
      <c r="H294" s="10">
        <f t="shared" si="28"/>
        <v>-1.7763941031041064E-2</v>
      </c>
      <c r="I294" s="10">
        <f t="shared" si="30"/>
        <v>-2.1765746156985566E-2</v>
      </c>
      <c r="J294" s="10">
        <f t="shared" si="31"/>
        <v>-4.2377570782993756E-2</v>
      </c>
      <c r="K294" s="10">
        <f t="shared" si="32"/>
        <v>-3.3612032098409461E-2</v>
      </c>
      <c r="L294" s="10">
        <f t="shared" si="33"/>
        <v>-2.0988900100908148E-2</v>
      </c>
      <c r="M294" s="10">
        <f t="shared" si="29"/>
        <v>-1.8381839946536194E-2</v>
      </c>
      <c r="N294" s="1"/>
      <c r="O294" s="2">
        <v>5346.56</v>
      </c>
      <c r="P294" s="12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1:31" ht="15" thickBot="1" x14ac:dyDescent="0.35">
      <c r="A295" s="1">
        <v>45505</v>
      </c>
      <c r="B295">
        <v>109.21</v>
      </c>
      <c r="C295">
        <v>147.02000000000001</v>
      </c>
      <c r="D295">
        <v>216.86</v>
      </c>
      <c r="E295">
        <v>832.44</v>
      </c>
      <c r="F295">
        <v>49.55</v>
      </c>
      <c r="G295" s="4"/>
      <c r="H295" s="10">
        <f t="shared" si="28"/>
        <v>-6.6740728080669998E-2</v>
      </c>
      <c r="I295" s="10">
        <f t="shared" si="30"/>
        <v>-8.5013691809808334E-2</v>
      </c>
      <c r="J295" s="10">
        <f t="shared" si="31"/>
        <v>-6.5540569655707204E-2</v>
      </c>
      <c r="K295" s="10">
        <f t="shared" si="32"/>
        <v>3.502555112089234E-2</v>
      </c>
      <c r="L295" s="10">
        <f t="shared" si="33"/>
        <v>9.7819441614019897E-3</v>
      </c>
      <c r="M295" s="10">
        <f t="shared" si="29"/>
        <v>-1.3693569708273734E-2</v>
      </c>
      <c r="N295" s="1"/>
      <c r="O295" s="2">
        <v>5446.68</v>
      </c>
      <c r="P295" s="12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spans="1:31" ht="15" thickBot="1" x14ac:dyDescent="0.35">
      <c r="A296" s="1">
        <v>45504</v>
      </c>
      <c r="B296">
        <v>117.02</v>
      </c>
      <c r="C296">
        <v>160.68</v>
      </c>
      <c r="D296">
        <v>232.07</v>
      </c>
      <c r="E296">
        <v>804.27</v>
      </c>
      <c r="F296">
        <v>49.07</v>
      </c>
      <c r="G296" s="4"/>
      <c r="H296" s="10">
        <f t="shared" si="28"/>
        <v>0.12812108358237717</v>
      </c>
      <c r="I296" s="10">
        <f t="shared" si="30"/>
        <v>0.11956521739130421</v>
      </c>
      <c r="J296" s="10">
        <f t="shared" si="31"/>
        <v>4.2449016260893035E-2</v>
      </c>
      <c r="K296" s="10">
        <f t="shared" si="32"/>
        <v>1.7792738639095917E-2</v>
      </c>
      <c r="L296" s="10">
        <f t="shared" si="33"/>
        <v>3.5013710187724145E-2</v>
      </c>
      <c r="M296" s="10">
        <f t="shared" si="29"/>
        <v>1.579342363752767E-2</v>
      </c>
      <c r="N296" s="1"/>
      <c r="O296" s="2">
        <v>5522.3</v>
      </c>
      <c r="P296" s="12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spans="1:31" ht="15" thickBot="1" x14ac:dyDescent="0.35">
      <c r="A297" s="1">
        <v>45503</v>
      </c>
      <c r="B297">
        <v>103.73</v>
      </c>
      <c r="C297">
        <v>143.52000000000001</v>
      </c>
      <c r="D297">
        <v>222.62</v>
      </c>
      <c r="E297">
        <v>790.21</v>
      </c>
      <c r="F297">
        <v>47.41</v>
      </c>
      <c r="G297" s="4"/>
      <c r="H297" s="10">
        <f t="shared" si="28"/>
        <v>-7.0436419033963582E-2</v>
      </c>
      <c r="I297" s="10">
        <f t="shared" si="30"/>
        <v>-4.460125149780314E-2</v>
      </c>
      <c r="J297" s="10">
        <f t="shared" si="31"/>
        <v>-4.0844463593278757E-2</v>
      </c>
      <c r="K297" s="10">
        <f t="shared" si="32"/>
        <v>-2.1763081989130795E-2</v>
      </c>
      <c r="L297" s="10">
        <f t="shared" si="33"/>
        <v>2.7495769881555887E-3</v>
      </c>
      <c r="M297" s="10">
        <f t="shared" si="29"/>
        <v>-4.9601540393225951E-3</v>
      </c>
      <c r="N297" s="1"/>
      <c r="O297" s="2">
        <v>5436.44</v>
      </c>
      <c r="P297" s="12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spans="1:31" ht="15" thickBot="1" x14ac:dyDescent="0.35">
      <c r="A298" s="1">
        <v>45502</v>
      </c>
      <c r="B298">
        <v>111.59</v>
      </c>
      <c r="C298">
        <v>150.22</v>
      </c>
      <c r="D298">
        <v>232.1</v>
      </c>
      <c r="E298">
        <v>807.79</v>
      </c>
      <c r="F298">
        <v>47.28</v>
      </c>
      <c r="G298" s="4"/>
      <c r="H298" s="10">
        <f t="shared" si="28"/>
        <v>-1.3001945869449805E-2</v>
      </c>
      <c r="I298" s="10">
        <f t="shared" si="30"/>
        <v>-9.2989513948427138E-3</v>
      </c>
      <c r="J298" s="10">
        <f t="shared" si="31"/>
        <v>5.5959963603275709E-2</v>
      </c>
      <c r="K298" s="10">
        <f t="shared" si="32"/>
        <v>3.9397479555565162E-3</v>
      </c>
      <c r="L298" s="10">
        <f t="shared" si="33"/>
        <v>1.1769741065696726E-2</v>
      </c>
      <c r="M298" s="10">
        <f t="shared" si="29"/>
        <v>8.1332087706753597E-4</v>
      </c>
      <c r="N298" s="1"/>
      <c r="O298" s="2">
        <v>5463.54</v>
      </c>
      <c r="P298" s="12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spans="1:31" ht="15" thickBot="1" x14ac:dyDescent="0.35">
      <c r="A299" s="1">
        <v>45499</v>
      </c>
      <c r="B299">
        <v>113.06</v>
      </c>
      <c r="C299">
        <v>151.63</v>
      </c>
      <c r="D299">
        <v>219.8</v>
      </c>
      <c r="E299">
        <v>804.62</v>
      </c>
      <c r="F299">
        <v>46.73</v>
      </c>
      <c r="G299" s="4"/>
      <c r="H299" s="10">
        <f t="shared" si="28"/>
        <v>6.9469184182400223E-3</v>
      </c>
      <c r="I299" s="10">
        <f t="shared" si="30"/>
        <v>1.5878333110009413E-2</v>
      </c>
      <c r="J299" s="10">
        <f t="shared" si="31"/>
        <v>-2.0431328036322194E-3</v>
      </c>
      <c r="K299" s="10">
        <f t="shared" si="32"/>
        <v>-2.0178034316053584E-2</v>
      </c>
      <c r="L299" s="10">
        <f t="shared" si="33"/>
        <v>2.2538293216630034E-2</v>
      </c>
      <c r="M299" s="10">
        <f t="shared" si="29"/>
        <v>1.1090490848678192E-2</v>
      </c>
      <c r="N299" s="1"/>
      <c r="O299" s="2">
        <v>5459.1</v>
      </c>
      <c r="P299" s="12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spans="1:31" ht="15" thickBot="1" x14ac:dyDescent="0.35">
      <c r="A300" s="1">
        <v>45498</v>
      </c>
      <c r="B300">
        <v>112.28</v>
      </c>
      <c r="C300">
        <v>149.26</v>
      </c>
      <c r="D300">
        <v>220.25</v>
      </c>
      <c r="E300">
        <v>821.19</v>
      </c>
      <c r="F300">
        <v>45.7</v>
      </c>
      <c r="G300" s="4"/>
      <c r="H300" s="10">
        <f t="shared" si="28"/>
        <v>-1.7242888402625778E-2</v>
      </c>
      <c r="I300" s="10">
        <f t="shared" si="30"/>
        <v>-1.3743887934452359E-2</v>
      </c>
      <c r="J300" s="10">
        <f t="shared" si="31"/>
        <v>1.9723135330339314E-2</v>
      </c>
      <c r="K300" s="10">
        <f t="shared" si="32"/>
        <v>-4.4994650416337101E-2</v>
      </c>
      <c r="L300" s="10">
        <f t="shared" si="33"/>
        <v>-4.1928721174004147E-2</v>
      </c>
      <c r="M300" s="10">
        <f t="shared" si="29"/>
        <v>-5.1426813066942634E-3</v>
      </c>
      <c r="N300" s="1"/>
      <c r="O300" s="2">
        <v>5399.22</v>
      </c>
      <c r="P300" s="12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spans="1:31" ht="15" thickBot="1" x14ac:dyDescent="0.35">
      <c r="A301" s="1">
        <v>45497</v>
      </c>
      <c r="B301">
        <v>114.25</v>
      </c>
      <c r="C301">
        <v>151.34</v>
      </c>
      <c r="D301">
        <v>215.99</v>
      </c>
      <c r="E301">
        <v>859.88</v>
      </c>
      <c r="F301">
        <v>47.7</v>
      </c>
      <c r="G301" s="4"/>
      <c r="H301" s="10">
        <f t="shared" si="28"/>
        <v>-6.8031650216167749E-2</v>
      </c>
      <c r="I301" s="10">
        <f t="shared" si="30"/>
        <v>-7.5899126824204743E-2</v>
      </c>
      <c r="J301" s="10">
        <f t="shared" si="31"/>
        <v>-0.12334605081581296</v>
      </c>
      <c r="K301" s="10">
        <f t="shared" si="32"/>
        <v>-2.096118594086227E-2</v>
      </c>
      <c r="L301" s="10">
        <f t="shared" si="33"/>
        <v>1.3384321223709472E-2</v>
      </c>
      <c r="M301" s="10">
        <f t="shared" si="29"/>
        <v>-2.3149031452155744E-2</v>
      </c>
      <c r="N301" s="1"/>
      <c r="O301" s="2">
        <v>5427.13</v>
      </c>
      <c r="P301" s="12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spans="1:31" ht="15" thickBot="1" x14ac:dyDescent="0.35">
      <c r="A302" s="1">
        <v>45496</v>
      </c>
      <c r="B302">
        <v>122.59</v>
      </c>
      <c r="C302">
        <v>163.77000000000001</v>
      </c>
      <c r="D302">
        <v>246.38</v>
      </c>
      <c r="E302">
        <v>878.29</v>
      </c>
      <c r="F302">
        <v>47.07</v>
      </c>
      <c r="G302" s="4"/>
      <c r="H302" s="10">
        <f t="shared" si="28"/>
        <v>-7.689817063299409E-3</v>
      </c>
      <c r="I302" s="10">
        <f t="shared" si="30"/>
        <v>1.6826027567366175E-2</v>
      </c>
      <c r="J302" s="10">
        <f t="shared" si="31"/>
        <v>-2.0396803308019518E-2</v>
      </c>
      <c r="K302" s="10">
        <f t="shared" si="32"/>
        <v>1.4226820790558481E-2</v>
      </c>
      <c r="L302" s="10">
        <f t="shared" si="33"/>
        <v>-4.6521463311481881E-3</v>
      </c>
      <c r="M302" s="10">
        <f t="shared" si="29"/>
        <v>-1.558116673645582E-3</v>
      </c>
      <c r="N302" s="1"/>
      <c r="O302" s="2">
        <v>5555.74</v>
      </c>
      <c r="P302" s="12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spans="1:31" ht="15" thickBot="1" x14ac:dyDescent="0.35">
      <c r="A303" s="1">
        <v>45495</v>
      </c>
      <c r="B303">
        <v>123.54</v>
      </c>
      <c r="C303">
        <v>161.06</v>
      </c>
      <c r="D303">
        <v>251.51</v>
      </c>
      <c r="E303">
        <v>865.97</v>
      </c>
      <c r="F303">
        <v>47.29</v>
      </c>
      <c r="G303" s="4"/>
      <c r="H303" s="10">
        <f t="shared" si="28"/>
        <v>4.7570592724497596E-2</v>
      </c>
      <c r="I303" s="10">
        <f t="shared" si="30"/>
        <v>2.3578010803940286E-2</v>
      </c>
      <c r="J303" s="10">
        <f t="shared" si="31"/>
        <v>5.1463210702341167E-2</v>
      </c>
      <c r="K303" s="10">
        <f t="shared" si="32"/>
        <v>9.9128832495598562E-3</v>
      </c>
      <c r="L303" s="10">
        <f t="shared" si="33"/>
        <v>6.1702127659575279E-3</v>
      </c>
      <c r="M303" s="10">
        <f t="shared" si="29"/>
        <v>1.0792007266121617E-2</v>
      </c>
      <c r="N303" s="1"/>
      <c r="O303" s="2">
        <v>5564.41</v>
      </c>
      <c r="P303" s="12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spans="1:31" ht="15" thickBot="1" x14ac:dyDescent="0.35">
      <c r="A304" s="1">
        <v>45492</v>
      </c>
      <c r="B304">
        <v>117.93</v>
      </c>
      <c r="C304">
        <v>157.35</v>
      </c>
      <c r="D304">
        <v>239.2</v>
      </c>
      <c r="E304">
        <v>857.47</v>
      </c>
      <c r="F304">
        <v>47</v>
      </c>
      <c r="G304" s="4"/>
      <c r="H304" s="10">
        <f t="shared" si="28"/>
        <v>-2.609629201420427E-2</v>
      </c>
      <c r="I304" s="10">
        <f t="shared" si="30"/>
        <v>-1.9748317966608586E-2</v>
      </c>
      <c r="J304" s="10">
        <f t="shared" si="31"/>
        <v>-4.0243951370220299E-2</v>
      </c>
      <c r="K304" s="10">
        <f t="shared" si="32"/>
        <v>1.0095417599246037E-2</v>
      </c>
      <c r="L304" s="10">
        <f t="shared" si="33"/>
        <v>-1.0734582193222431E-2</v>
      </c>
      <c r="M304" s="10">
        <f t="shared" si="29"/>
        <v>-7.1402935113327182E-3</v>
      </c>
      <c r="N304" s="1"/>
      <c r="O304" s="2">
        <v>5505</v>
      </c>
      <c r="P304" s="12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spans="1:31" ht="15" thickBot="1" x14ac:dyDescent="0.35">
      <c r="A305" s="1">
        <v>45491</v>
      </c>
      <c r="B305">
        <v>121.09</v>
      </c>
      <c r="C305">
        <v>160.52000000000001</v>
      </c>
      <c r="D305">
        <v>249.23</v>
      </c>
      <c r="E305">
        <v>848.9</v>
      </c>
      <c r="F305">
        <v>47.51</v>
      </c>
      <c r="G305" s="4"/>
      <c r="H305" s="10">
        <f t="shared" si="28"/>
        <v>2.6273413001101753E-2</v>
      </c>
      <c r="I305" s="10">
        <f t="shared" si="30"/>
        <v>2.9106295678933414E-2</v>
      </c>
      <c r="J305" s="10">
        <f t="shared" si="31"/>
        <v>2.9376257545270512E-3</v>
      </c>
      <c r="K305" s="10">
        <f t="shared" si="32"/>
        <v>-6.2600072880663493E-2</v>
      </c>
      <c r="L305" s="10">
        <f t="shared" si="33"/>
        <v>-1.5744769007665305E-2</v>
      </c>
      <c r="M305" s="10">
        <f t="shared" si="29"/>
        <v>-7.8163725088444824E-3</v>
      </c>
      <c r="N305" s="1"/>
      <c r="O305" s="2">
        <v>5544.59</v>
      </c>
      <c r="P305" s="12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spans="1:31" ht="15" thickBot="1" x14ac:dyDescent="0.35">
      <c r="A306" s="1">
        <v>45490</v>
      </c>
      <c r="B306">
        <v>117.99</v>
      </c>
      <c r="C306">
        <v>155.97999999999999</v>
      </c>
      <c r="D306">
        <v>248.5</v>
      </c>
      <c r="E306">
        <v>905.59</v>
      </c>
      <c r="F306">
        <v>48.27</v>
      </c>
      <c r="G306" s="4"/>
      <c r="H306" s="10">
        <f t="shared" si="28"/>
        <v>-6.6239316239316226E-2</v>
      </c>
      <c r="I306" s="10">
        <f t="shared" si="30"/>
        <v>-7.9112055732672104E-2</v>
      </c>
      <c r="J306" s="10">
        <f t="shared" si="31"/>
        <v>-3.1415653258497045E-2</v>
      </c>
      <c r="K306" s="10">
        <f t="shared" si="32"/>
        <v>-3.8243415463041663E-2</v>
      </c>
      <c r="L306" s="10">
        <f t="shared" si="33"/>
        <v>-1.0347682119205004E-3</v>
      </c>
      <c r="M306" s="10">
        <f t="shared" si="29"/>
        <v>-1.3927512704686507E-2</v>
      </c>
      <c r="N306" s="1"/>
      <c r="O306" s="2">
        <v>5588.27</v>
      </c>
      <c r="P306" s="12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spans="1:31" ht="15" thickBot="1" x14ac:dyDescent="0.35">
      <c r="A307" s="1">
        <v>45489</v>
      </c>
      <c r="B307">
        <v>126.36</v>
      </c>
      <c r="C307">
        <v>169.38</v>
      </c>
      <c r="D307">
        <v>256.56</v>
      </c>
      <c r="E307">
        <v>941.6</v>
      </c>
      <c r="F307">
        <v>48.32</v>
      </c>
      <c r="G307" s="4"/>
      <c r="H307" s="10">
        <f t="shared" si="28"/>
        <v>-1.619433198380571E-2</v>
      </c>
      <c r="I307" s="10">
        <f t="shared" si="30"/>
        <v>-1.1900595029751493E-2</v>
      </c>
      <c r="J307" s="10">
        <f t="shared" si="31"/>
        <v>1.551614946168467E-2</v>
      </c>
      <c r="K307" s="10">
        <f t="shared" si="32"/>
        <v>-9.3218020747848351E-3</v>
      </c>
      <c r="L307" s="10">
        <f t="shared" si="33"/>
        <v>2.0485744456177457E-2</v>
      </c>
      <c r="M307" s="10">
        <f t="shared" si="29"/>
        <v>6.3893792108991043E-3</v>
      </c>
      <c r="N307" s="1"/>
      <c r="O307" s="2">
        <v>5667.2</v>
      </c>
      <c r="P307" s="12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spans="1:31" ht="15" thickBot="1" x14ac:dyDescent="0.35">
      <c r="A308" s="1">
        <v>45488</v>
      </c>
      <c r="B308">
        <v>128.44</v>
      </c>
      <c r="C308">
        <v>171.42</v>
      </c>
      <c r="D308">
        <v>252.64</v>
      </c>
      <c r="E308">
        <v>950.46</v>
      </c>
      <c r="F308">
        <v>47.35</v>
      </c>
      <c r="G308" s="4"/>
      <c r="H308" s="10">
        <f t="shared" si="28"/>
        <v>-6.1900340451873648E-3</v>
      </c>
      <c r="I308" s="10">
        <f t="shared" si="30"/>
        <v>7.9379079202681613E-3</v>
      </c>
      <c r="J308" s="10">
        <f t="shared" si="31"/>
        <v>1.7765781734681463E-2</v>
      </c>
      <c r="K308" s="10">
        <f t="shared" si="32"/>
        <v>2.1720792914383669E-3</v>
      </c>
      <c r="L308" s="10">
        <f t="shared" si="33"/>
        <v>-3.3677120606186994E-3</v>
      </c>
      <c r="M308" s="10">
        <f t="shared" si="29"/>
        <v>2.826181805230199E-3</v>
      </c>
      <c r="N308" s="1"/>
      <c r="O308" s="2">
        <v>5631.22</v>
      </c>
      <c r="P308" s="12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spans="1:31" ht="15" thickBot="1" x14ac:dyDescent="0.35">
      <c r="A309" s="1">
        <v>45485</v>
      </c>
      <c r="B309">
        <v>129.24</v>
      </c>
      <c r="C309">
        <v>170.07</v>
      </c>
      <c r="D309">
        <v>248.23</v>
      </c>
      <c r="E309">
        <v>948.4</v>
      </c>
      <c r="F309">
        <v>47.51</v>
      </c>
      <c r="G309" s="4"/>
      <c r="H309" s="10">
        <f t="shared" si="28"/>
        <v>1.4442700156985788E-2</v>
      </c>
      <c r="I309" s="10">
        <f t="shared" si="30"/>
        <v>-3.1066822977725561E-3</v>
      </c>
      <c r="J309" s="10">
        <f t="shared" si="31"/>
        <v>2.9871800190847564E-2</v>
      </c>
      <c r="K309" s="10">
        <f t="shared" si="32"/>
        <v>1.5265377780632416E-2</v>
      </c>
      <c r="L309" s="10">
        <f t="shared" si="33"/>
        <v>7.2079711681152236E-3</v>
      </c>
      <c r="M309" s="10">
        <f t="shared" si="29"/>
        <v>5.5170166208855509E-3</v>
      </c>
      <c r="N309" s="1"/>
      <c r="O309" s="2">
        <v>5615.35</v>
      </c>
      <c r="P309" s="12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spans="1:31" ht="15" thickBot="1" x14ac:dyDescent="0.35">
      <c r="A310" s="1">
        <v>45484</v>
      </c>
      <c r="B310">
        <v>127.4</v>
      </c>
      <c r="C310">
        <v>170.6</v>
      </c>
      <c r="D310">
        <v>241.03</v>
      </c>
      <c r="E310">
        <v>934.14</v>
      </c>
      <c r="F310">
        <v>47.17</v>
      </c>
      <c r="G310" s="4"/>
      <c r="H310" s="10">
        <f t="shared" si="28"/>
        <v>-5.5666740790156322E-2</v>
      </c>
      <c r="I310" s="10">
        <f t="shared" si="30"/>
        <v>-2.2181463861982054E-2</v>
      </c>
      <c r="J310" s="10">
        <f t="shared" si="31"/>
        <v>-8.44412368001215E-2</v>
      </c>
      <c r="K310" s="10">
        <f t="shared" si="32"/>
        <v>-6.0014045840515173E-3</v>
      </c>
      <c r="L310" s="10">
        <f t="shared" si="33"/>
        <v>3.7615486141663101E-2</v>
      </c>
      <c r="M310" s="10">
        <f t="shared" si="29"/>
        <v>-8.763008283767415E-3</v>
      </c>
      <c r="N310" s="1"/>
      <c r="O310" s="2">
        <v>5584.54</v>
      </c>
      <c r="P310" s="12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spans="1:31" ht="15" thickBot="1" x14ac:dyDescent="0.35">
      <c r="A311" s="1">
        <v>45483</v>
      </c>
      <c r="B311">
        <v>134.91</v>
      </c>
      <c r="C311">
        <v>174.47</v>
      </c>
      <c r="D311">
        <v>263.26</v>
      </c>
      <c r="E311">
        <v>939.78</v>
      </c>
      <c r="F311">
        <v>45.46</v>
      </c>
      <c r="G311" s="4"/>
      <c r="H311" s="10">
        <f t="shared" si="28"/>
        <v>2.6868625361546661E-2</v>
      </c>
      <c r="I311" s="10">
        <f t="shared" si="30"/>
        <v>6.5770495586452427E-3</v>
      </c>
      <c r="J311" s="10">
        <f t="shared" si="31"/>
        <v>3.5451530515000496E-3</v>
      </c>
      <c r="K311" s="10">
        <f t="shared" si="32"/>
        <v>7.806970509383282E-3</v>
      </c>
      <c r="L311" s="10">
        <f t="shared" si="33"/>
        <v>3.577124629756212E-2</v>
      </c>
      <c r="M311" s="10">
        <f t="shared" si="29"/>
        <v>1.0208033738690059E-2</v>
      </c>
      <c r="N311" s="1"/>
      <c r="O311" s="2">
        <v>5633.91</v>
      </c>
      <c r="P311" s="12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spans="1:31" ht="15" thickBot="1" x14ac:dyDescent="0.35">
      <c r="A312" s="1">
        <v>45482</v>
      </c>
      <c r="B312">
        <v>131.38</v>
      </c>
      <c r="C312">
        <v>173.33</v>
      </c>
      <c r="D312">
        <v>262.33</v>
      </c>
      <c r="E312">
        <v>932.5</v>
      </c>
      <c r="F312">
        <v>43.89</v>
      </c>
      <c r="G312" s="4"/>
      <c r="H312" s="10">
        <f t="shared" si="28"/>
        <v>2.4804992199688014E-2</v>
      </c>
      <c r="I312" s="10">
        <f t="shared" si="30"/>
        <v>-7.2169081848902916E-3</v>
      </c>
      <c r="J312" s="10">
        <f t="shared" si="31"/>
        <v>3.7123428481062648E-2</v>
      </c>
      <c r="K312" s="10">
        <f t="shared" si="32"/>
        <v>1.5795206971677578E-2</v>
      </c>
      <c r="L312" s="10">
        <f t="shared" si="33"/>
        <v>-5.4384772263766923E-3</v>
      </c>
      <c r="M312" s="10">
        <f t="shared" si="29"/>
        <v>7.410929775606423E-4</v>
      </c>
      <c r="N312" s="1"/>
      <c r="O312" s="2">
        <v>5576.98</v>
      </c>
      <c r="P312" s="12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spans="1:31" ht="15" thickBot="1" x14ac:dyDescent="0.35">
      <c r="A313" s="1">
        <v>45481</v>
      </c>
      <c r="B313">
        <v>128.19999999999999</v>
      </c>
      <c r="C313">
        <v>174.59</v>
      </c>
      <c r="D313">
        <v>252.94</v>
      </c>
      <c r="E313">
        <v>918</v>
      </c>
      <c r="F313">
        <v>44.13</v>
      </c>
      <c r="G313" s="4"/>
      <c r="H313" s="10">
        <f t="shared" si="28"/>
        <v>1.8834936024795246E-2</v>
      </c>
      <c r="I313" s="10">
        <f t="shared" si="30"/>
        <v>2.5010274173662861E-2</v>
      </c>
      <c r="J313" s="10">
        <f t="shared" si="31"/>
        <v>5.6456743002544219E-3</v>
      </c>
      <c r="K313" s="10">
        <f t="shared" si="32"/>
        <v>3.7503963611313917E-3</v>
      </c>
      <c r="L313" s="10">
        <f t="shared" si="33"/>
        <v>-8.5374073241967219E-3</v>
      </c>
      <c r="M313" s="10">
        <f t="shared" si="29"/>
        <v>1.0166708878267539E-3</v>
      </c>
      <c r="N313" s="1"/>
      <c r="O313" s="2">
        <v>5572.85</v>
      </c>
      <c r="P313" s="12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spans="1:31" ht="15" thickBot="1" x14ac:dyDescent="0.35">
      <c r="A314" s="1">
        <v>45478</v>
      </c>
      <c r="B314">
        <v>125.83</v>
      </c>
      <c r="C314">
        <v>170.33</v>
      </c>
      <c r="D314">
        <v>251.52</v>
      </c>
      <c r="E314">
        <v>914.57</v>
      </c>
      <c r="F314">
        <v>44.51</v>
      </c>
      <c r="G314" s="4"/>
      <c r="H314" s="10">
        <f t="shared" si="28"/>
        <v>-1.9098846273776116E-2</v>
      </c>
      <c r="I314" s="10">
        <f t="shared" si="30"/>
        <v>-1.497802452000907E-2</v>
      </c>
      <c r="J314" s="10">
        <f t="shared" si="31"/>
        <v>2.0820650188725365E-2</v>
      </c>
      <c r="K314" s="10">
        <f t="shared" si="32"/>
        <v>1.8338715065137512E-2</v>
      </c>
      <c r="L314" s="10">
        <f t="shared" si="33"/>
        <v>2.439585730724958E-2</v>
      </c>
      <c r="M314" s="10">
        <f t="shared" si="29"/>
        <v>5.4487793072806046E-3</v>
      </c>
      <c r="N314" s="1"/>
      <c r="O314" s="2">
        <v>5567.19</v>
      </c>
      <c r="P314" s="12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spans="1:31" ht="15" thickBot="1" x14ac:dyDescent="0.35">
      <c r="A315" s="1">
        <v>45476</v>
      </c>
      <c r="B315">
        <v>128.28</v>
      </c>
      <c r="C315">
        <v>172.92</v>
      </c>
      <c r="D315">
        <v>246.39</v>
      </c>
      <c r="E315">
        <v>898.1</v>
      </c>
      <c r="F315">
        <v>43.45</v>
      </c>
      <c r="G315" s="4"/>
      <c r="H315" s="10">
        <f t="shared" si="28"/>
        <v>4.5732452922474964E-2</v>
      </c>
      <c r="I315" s="10">
        <f t="shared" si="30"/>
        <v>4.325791855203609E-2</v>
      </c>
      <c r="J315" s="10">
        <f t="shared" si="31"/>
        <v>6.5424197872524514E-2</v>
      </c>
      <c r="K315" s="10">
        <f t="shared" si="32"/>
        <v>-9.4958696826989986E-3</v>
      </c>
      <c r="L315" s="10">
        <f t="shared" si="33"/>
        <v>4.1716614720690437E-2</v>
      </c>
      <c r="M315" s="10">
        <f t="shared" si="29"/>
        <v>5.0843981041965858E-3</v>
      </c>
      <c r="N315" s="1"/>
      <c r="O315" s="2">
        <v>5537.02</v>
      </c>
      <c r="P315" s="12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spans="1:31" ht="15" thickBot="1" x14ac:dyDescent="0.35">
      <c r="A316" s="1">
        <v>45475</v>
      </c>
      <c r="B316">
        <v>122.67</v>
      </c>
      <c r="C316">
        <v>165.75</v>
      </c>
      <c r="D316">
        <v>231.26</v>
      </c>
      <c r="E316">
        <v>906.71</v>
      </c>
      <c r="F316">
        <v>41.71</v>
      </c>
      <c r="G316" s="4"/>
      <c r="H316" s="10">
        <f t="shared" si="28"/>
        <v>-1.3113435237328996E-2</v>
      </c>
      <c r="I316" s="10">
        <f t="shared" si="30"/>
        <v>1.0177961969770832E-2</v>
      </c>
      <c r="J316" s="10">
        <f t="shared" si="31"/>
        <v>0.10197274373391774</v>
      </c>
      <c r="K316" s="10">
        <f t="shared" si="32"/>
        <v>-8.3773527127967151E-3</v>
      </c>
      <c r="L316" s="10">
        <f t="shared" si="33"/>
        <v>1.4405762304923186E-3</v>
      </c>
      <c r="M316" s="10">
        <f t="shared" si="29"/>
        <v>6.195331948881222E-3</v>
      </c>
      <c r="N316" s="1"/>
      <c r="O316" s="2">
        <v>5509.01</v>
      </c>
      <c r="P316" s="12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spans="1:31" ht="15" thickBot="1" x14ac:dyDescent="0.35">
      <c r="A317" s="1">
        <v>45474</v>
      </c>
      <c r="B317">
        <v>124.3</v>
      </c>
      <c r="C317">
        <v>164.08</v>
      </c>
      <c r="D317">
        <v>209.86</v>
      </c>
      <c r="E317">
        <v>914.37</v>
      </c>
      <c r="F317">
        <v>41.65</v>
      </c>
      <c r="G317" s="4"/>
      <c r="H317" s="10">
        <f t="shared" si="28"/>
        <v>6.1518536506393051E-3</v>
      </c>
      <c r="I317" s="10">
        <f t="shared" si="30"/>
        <v>2.198691996262836E-2</v>
      </c>
      <c r="J317" s="10">
        <f t="shared" si="31"/>
        <v>6.0541742470183957E-2</v>
      </c>
      <c r="K317" s="10">
        <f t="shared" si="32"/>
        <v>9.929532351057091E-3</v>
      </c>
      <c r="L317" s="10">
        <f t="shared" si="33"/>
        <v>-5.254358729400499E-3</v>
      </c>
      <c r="M317" s="10">
        <f t="shared" si="29"/>
        <v>2.6755889592124937E-3</v>
      </c>
      <c r="N317" s="1"/>
      <c r="O317" s="2">
        <v>5475.09</v>
      </c>
      <c r="P317" s="12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spans="1:31" ht="15" thickBot="1" x14ac:dyDescent="0.35">
      <c r="A318" s="1">
        <v>45471</v>
      </c>
      <c r="B318">
        <v>123.54</v>
      </c>
      <c r="C318">
        <v>160.55000000000001</v>
      </c>
      <c r="D318">
        <v>197.88</v>
      </c>
      <c r="E318">
        <v>905.38</v>
      </c>
      <c r="F318">
        <v>41.87</v>
      </c>
      <c r="G318" s="4"/>
      <c r="H318" s="10">
        <f t="shared" si="28"/>
        <v>-3.6293249455600085E-3</v>
      </c>
      <c r="I318" s="10">
        <f t="shared" si="30"/>
        <v>1.1848490577929249E-2</v>
      </c>
      <c r="J318" s="10">
        <f t="shared" si="31"/>
        <v>2.3300577449094639E-3</v>
      </c>
      <c r="K318" s="10">
        <f t="shared" si="32"/>
        <v>-4.0262254686261878E-3</v>
      </c>
      <c r="L318" s="10">
        <f t="shared" si="33"/>
        <v>7.170172084127735E-4</v>
      </c>
      <c r="M318" s="10">
        <f t="shared" si="29"/>
        <v>-4.0836277351096184E-3</v>
      </c>
      <c r="N318" s="1"/>
      <c r="O318" s="2">
        <v>5460.48</v>
      </c>
      <c r="P318" s="12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spans="1:31" ht="15" thickBot="1" x14ac:dyDescent="0.35">
      <c r="A319" s="1">
        <v>45470</v>
      </c>
      <c r="B319">
        <v>123.99</v>
      </c>
      <c r="C319">
        <v>158.66999999999999</v>
      </c>
      <c r="D319">
        <v>197.42</v>
      </c>
      <c r="E319">
        <v>909.04</v>
      </c>
      <c r="F319">
        <v>41.84</v>
      </c>
      <c r="G319" s="4"/>
      <c r="H319" s="10">
        <f t="shared" si="28"/>
        <v>-1.9066455696202578E-2</v>
      </c>
      <c r="I319" s="10">
        <f t="shared" si="30"/>
        <v>-3.3291457286431791E-3</v>
      </c>
      <c r="J319" s="10">
        <f t="shared" si="31"/>
        <v>5.3470489382287933E-3</v>
      </c>
      <c r="K319" s="10">
        <f t="shared" si="32"/>
        <v>8.6323591416461731E-3</v>
      </c>
      <c r="L319" s="10">
        <f t="shared" si="33"/>
        <v>9.4089264173702336E-3</v>
      </c>
      <c r="M319" s="10">
        <f t="shared" si="29"/>
        <v>9.0728198762302092E-4</v>
      </c>
      <c r="N319" s="1"/>
      <c r="O319" s="2">
        <v>5482.87</v>
      </c>
      <c r="P319" s="12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spans="1:31" ht="15" thickBot="1" x14ac:dyDescent="0.35">
      <c r="A320" s="1">
        <v>45469</v>
      </c>
      <c r="B320">
        <v>126.4</v>
      </c>
      <c r="C320">
        <v>159.19999999999999</v>
      </c>
      <c r="D320">
        <v>196.37</v>
      </c>
      <c r="E320">
        <v>901.26</v>
      </c>
      <c r="F320">
        <v>41.45</v>
      </c>
      <c r="G320" s="4"/>
      <c r="H320" s="10">
        <f t="shared" si="28"/>
        <v>2.458561345070942E-3</v>
      </c>
      <c r="I320" s="10">
        <f t="shared" si="30"/>
        <v>7.0850202429149078E-3</v>
      </c>
      <c r="J320" s="10">
        <f t="shared" si="31"/>
        <v>4.8145182812917131E-2</v>
      </c>
      <c r="K320" s="10">
        <f t="shared" si="32"/>
        <v>-3.7032533356916586E-3</v>
      </c>
      <c r="L320" s="10">
        <f t="shared" si="33"/>
        <v>-1.0739856801909253E-2</v>
      </c>
      <c r="M320" s="10">
        <f t="shared" si="29"/>
        <v>1.5724132887204867E-3</v>
      </c>
      <c r="N320" s="1"/>
      <c r="O320" s="2">
        <v>5477.9</v>
      </c>
      <c r="P320" s="12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spans="1:31" ht="15" thickBot="1" x14ac:dyDescent="0.35">
      <c r="A321" s="1">
        <v>45468</v>
      </c>
      <c r="B321">
        <v>126.09</v>
      </c>
      <c r="C321">
        <v>158.08000000000001</v>
      </c>
      <c r="D321">
        <v>187.35</v>
      </c>
      <c r="E321">
        <v>904.61</v>
      </c>
      <c r="F321">
        <v>41.9</v>
      </c>
      <c r="G321" s="4"/>
      <c r="H321" s="10">
        <f t="shared" si="28"/>
        <v>6.7564135128270308E-2</v>
      </c>
      <c r="I321" s="10">
        <f t="shared" si="30"/>
        <v>-7.1599045346061319E-3</v>
      </c>
      <c r="J321" s="10">
        <f t="shared" si="31"/>
        <v>2.6125534012487517E-2</v>
      </c>
      <c r="K321" s="10">
        <f t="shared" si="32"/>
        <v>1.6290121445664107E-2</v>
      </c>
      <c r="L321" s="10">
        <f t="shared" si="33"/>
        <v>-1.6431924882629123E-2</v>
      </c>
      <c r="M321" s="10">
        <f t="shared" si="29"/>
        <v>3.9336474622191364E-3</v>
      </c>
      <c r="N321" s="1"/>
      <c r="O321" s="2">
        <v>5469.3</v>
      </c>
      <c r="P321" s="12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spans="1:31" ht="15" thickBot="1" x14ac:dyDescent="0.35">
      <c r="A322" s="1">
        <v>45467</v>
      </c>
      <c r="B322">
        <v>118.11</v>
      </c>
      <c r="C322">
        <v>159.22</v>
      </c>
      <c r="D322">
        <v>182.58</v>
      </c>
      <c r="E322">
        <v>890.11</v>
      </c>
      <c r="F322">
        <v>42.6</v>
      </c>
      <c r="G322" s="4"/>
      <c r="H322" s="10">
        <f t="shared" si="28"/>
        <v>-6.6840483526902084E-2</v>
      </c>
      <c r="I322" s="10">
        <f t="shared" si="30"/>
        <v>-4.0033763414928369E-2</v>
      </c>
      <c r="J322" s="10">
        <f t="shared" si="31"/>
        <v>-2.3495983826019584E-3</v>
      </c>
      <c r="K322" s="10">
        <f t="shared" si="32"/>
        <v>7.0484681178439867E-3</v>
      </c>
      <c r="L322" s="10">
        <f t="shared" si="33"/>
        <v>8.0454330336015012E-3</v>
      </c>
      <c r="M322" s="10">
        <f t="shared" si="29"/>
        <v>-3.0651719607218686E-3</v>
      </c>
      <c r="N322" s="1"/>
      <c r="O322" s="2">
        <v>5447.87</v>
      </c>
      <c r="P322" s="12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spans="1:31" ht="15" thickBot="1" x14ac:dyDescent="0.35">
      <c r="A323" s="1">
        <v>45464</v>
      </c>
      <c r="B323">
        <v>126.57</v>
      </c>
      <c r="C323">
        <v>165.86</v>
      </c>
      <c r="D323">
        <v>183.01</v>
      </c>
      <c r="E323">
        <v>883.88</v>
      </c>
      <c r="F323">
        <v>42.26</v>
      </c>
      <c r="G323" s="4"/>
      <c r="H323" s="10">
        <f t="shared" si="28"/>
        <v>-3.2191466585104855E-2</v>
      </c>
      <c r="I323" s="10">
        <f t="shared" si="30"/>
        <v>-4.3814135823820988E-2</v>
      </c>
      <c r="J323" s="10">
        <f t="shared" si="31"/>
        <v>7.9308255769123814E-3</v>
      </c>
      <c r="K323" s="10">
        <f t="shared" si="32"/>
        <v>-2.3815167214077393E-3</v>
      </c>
      <c r="L323" s="10">
        <f t="shared" si="33"/>
        <v>-1.2847465545433367E-2</v>
      </c>
      <c r="M323" s="10">
        <f t="shared" si="29"/>
        <v>-1.5621659842468549E-3</v>
      </c>
      <c r="N323" s="1"/>
      <c r="O323" s="2">
        <v>5464.62</v>
      </c>
      <c r="P323" s="12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spans="1:31" ht="15" thickBot="1" x14ac:dyDescent="0.35">
      <c r="A324" s="1">
        <v>45463</v>
      </c>
      <c r="B324">
        <v>130.78</v>
      </c>
      <c r="C324">
        <v>173.46</v>
      </c>
      <c r="D324">
        <v>181.57</v>
      </c>
      <c r="E324">
        <v>885.99</v>
      </c>
      <c r="F324">
        <v>42.81</v>
      </c>
      <c r="G324" s="4"/>
      <c r="H324" s="10">
        <f t="shared" ref="H324:H387" si="34">(B324/B325)-1</f>
        <v>-3.5403451836554134E-2</v>
      </c>
      <c r="I324" s="10">
        <f t="shared" si="30"/>
        <v>-3.7669902912621289E-2</v>
      </c>
      <c r="J324" s="10">
        <f t="shared" si="31"/>
        <v>-1.7797251974467243E-2</v>
      </c>
      <c r="K324" s="10">
        <f t="shared" si="32"/>
        <v>-6.1360016153276797E-3</v>
      </c>
      <c r="L324" s="10">
        <f t="shared" si="33"/>
        <v>2.4407753050969205E-2</v>
      </c>
      <c r="M324" s="10">
        <f t="shared" ref="M324:M387" si="35">(O324/O325)-1</f>
        <v>-2.5259566650810417E-3</v>
      </c>
      <c r="N324" s="1"/>
      <c r="O324" s="2">
        <v>5473.17</v>
      </c>
      <c r="P324" s="12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spans="1:31" ht="15" thickBot="1" x14ac:dyDescent="0.35">
      <c r="A325" s="1">
        <v>45461</v>
      </c>
      <c r="B325">
        <v>135.58000000000001</v>
      </c>
      <c r="C325">
        <v>180.25</v>
      </c>
      <c r="D325">
        <v>184.86</v>
      </c>
      <c r="E325">
        <v>891.46</v>
      </c>
      <c r="F325">
        <v>41.79</v>
      </c>
      <c r="G325" s="4"/>
      <c r="H325" s="10">
        <f t="shared" si="34"/>
        <v>3.5119865628340463E-2</v>
      </c>
      <c r="I325" s="10">
        <f t="shared" si="30"/>
        <v>-1.4434906227787092E-2</v>
      </c>
      <c r="J325" s="10">
        <f t="shared" si="31"/>
        <v>-1.3764404609474923E-2</v>
      </c>
      <c r="K325" s="10">
        <f t="shared" si="32"/>
        <v>7.2880532423362787E-3</v>
      </c>
      <c r="L325" s="10">
        <f t="shared" si="33"/>
        <v>2.1510633097042264E-2</v>
      </c>
      <c r="M325" s="10">
        <f t="shared" si="35"/>
        <v>2.5213630708009749E-3</v>
      </c>
      <c r="N325" s="1"/>
      <c r="O325" s="2">
        <v>5487.03</v>
      </c>
      <c r="P325" s="12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spans="1:31" ht="15" thickBot="1" x14ac:dyDescent="0.35">
      <c r="A326" s="1">
        <v>45460</v>
      </c>
      <c r="B326">
        <v>130.97999999999999</v>
      </c>
      <c r="C326">
        <v>182.89</v>
      </c>
      <c r="D326">
        <v>187.44</v>
      </c>
      <c r="E326">
        <v>885.01</v>
      </c>
      <c r="F326">
        <v>40.909999999999997</v>
      </c>
      <c r="G326" s="4"/>
      <c r="H326" s="10">
        <f t="shared" si="34"/>
        <v>-6.8243858052775552E-3</v>
      </c>
      <c r="I326" s="10">
        <f t="shared" si="30"/>
        <v>5.4121037463976895E-2</v>
      </c>
      <c r="J326" s="10">
        <f t="shared" si="31"/>
        <v>5.2974551991461283E-2</v>
      </c>
      <c r="K326" s="10">
        <f t="shared" si="32"/>
        <v>7.4676987876372003E-3</v>
      </c>
      <c r="L326" s="10">
        <f t="shared" si="33"/>
        <v>2.2048015678588495E-3</v>
      </c>
      <c r="M326" s="10">
        <f t="shared" si="35"/>
        <v>7.6644082774870448E-3</v>
      </c>
      <c r="N326" s="1"/>
      <c r="O326" s="2">
        <v>5473.23</v>
      </c>
      <c r="P326" s="12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spans="1:31" ht="15" thickBot="1" x14ac:dyDescent="0.35">
      <c r="A327" s="1">
        <v>45457</v>
      </c>
      <c r="B327">
        <v>131.88</v>
      </c>
      <c r="C327">
        <v>173.5</v>
      </c>
      <c r="D327">
        <v>178.01</v>
      </c>
      <c r="E327">
        <v>878.45</v>
      </c>
      <c r="F327">
        <v>40.82</v>
      </c>
      <c r="G327" s="4"/>
      <c r="H327" s="10">
        <f t="shared" si="34"/>
        <v>1.7514080703649348E-2</v>
      </c>
      <c r="I327" s="10">
        <f t="shared" si="30"/>
        <v>3.3353186420488345E-2</v>
      </c>
      <c r="J327" s="10">
        <f t="shared" si="31"/>
        <v>-2.4442374088891383E-2</v>
      </c>
      <c r="K327" s="10">
        <f t="shared" si="32"/>
        <v>-5.5245491492420529E-3</v>
      </c>
      <c r="L327" s="10">
        <f t="shared" si="33"/>
        <v>6.4102564102563875E-3</v>
      </c>
      <c r="M327" s="10">
        <f t="shared" si="35"/>
        <v>-3.9383555341243603E-4</v>
      </c>
      <c r="N327" s="1"/>
      <c r="O327" s="2">
        <v>5431.6</v>
      </c>
      <c r="P327" s="12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spans="1:31" ht="15" thickBot="1" x14ac:dyDescent="0.35">
      <c r="A328" s="1">
        <v>45456</v>
      </c>
      <c r="B328">
        <v>129.61000000000001</v>
      </c>
      <c r="C328">
        <v>167.9</v>
      </c>
      <c r="D328">
        <v>182.47</v>
      </c>
      <c r="E328">
        <v>883.33</v>
      </c>
      <c r="F328">
        <v>40.56</v>
      </c>
      <c r="G328" s="4"/>
      <c r="H328" s="10">
        <f t="shared" si="34"/>
        <v>3.522364217252405E-2</v>
      </c>
      <c r="I328" s="10">
        <f t="shared" si="30"/>
        <v>0.12270143764627206</v>
      </c>
      <c r="J328" s="10">
        <f t="shared" si="31"/>
        <v>2.9217665971007944E-2</v>
      </c>
      <c r="K328" s="10">
        <f t="shared" si="32"/>
        <v>1.8482647296206745E-2</v>
      </c>
      <c r="L328" s="10">
        <f t="shared" si="33"/>
        <v>-1.0490363503293465E-2</v>
      </c>
      <c r="M328" s="10">
        <f t="shared" si="35"/>
        <v>2.3445728948188194E-3</v>
      </c>
      <c r="N328" s="1"/>
      <c r="O328" s="2">
        <v>5433.74</v>
      </c>
      <c r="P328" s="12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spans="1:31" ht="15" thickBot="1" x14ac:dyDescent="0.35">
      <c r="A329" s="1">
        <v>45455</v>
      </c>
      <c r="B329">
        <v>125.2</v>
      </c>
      <c r="C329">
        <v>149.55000000000001</v>
      </c>
      <c r="D329">
        <v>177.29</v>
      </c>
      <c r="E329">
        <v>867.3</v>
      </c>
      <c r="F329">
        <v>40.99</v>
      </c>
      <c r="G329" s="4"/>
      <c r="H329" s="10">
        <f t="shared" si="34"/>
        <v>3.5480936233562188E-2</v>
      </c>
      <c r="I329" s="10">
        <f t="shared" si="30"/>
        <v>2.3613963039014418E-2</v>
      </c>
      <c r="J329" s="10">
        <f t="shared" si="31"/>
        <v>3.8849173795851399E-2</v>
      </c>
      <c r="K329" s="10">
        <f t="shared" si="32"/>
        <v>1.7093622230948124E-3</v>
      </c>
      <c r="L329" s="10">
        <f t="shared" si="33"/>
        <v>8.3640836408365171E-3</v>
      </c>
      <c r="M329" s="10">
        <f t="shared" si="35"/>
        <v>8.503679780924589E-3</v>
      </c>
      <c r="N329" s="1"/>
      <c r="O329" s="2">
        <v>5421.03</v>
      </c>
      <c r="P329" s="12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spans="1:31" ht="15" thickBot="1" x14ac:dyDescent="0.35">
      <c r="A330" s="1">
        <v>45454</v>
      </c>
      <c r="B330">
        <v>120.91</v>
      </c>
      <c r="C330">
        <v>146.1</v>
      </c>
      <c r="D330">
        <v>170.66</v>
      </c>
      <c r="E330">
        <v>865.82</v>
      </c>
      <c r="F330">
        <v>40.65</v>
      </c>
      <c r="G330" s="4"/>
      <c r="H330" s="10">
        <f t="shared" si="34"/>
        <v>-7.2255521799819977E-3</v>
      </c>
      <c r="I330" s="10">
        <f t="shared" si="30"/>
        <v>1.423116973273153E-2</v>
      </c>
      <c r="J330" s="10">
        <f t="shared" si="31"/>
        <v>-1.8010242246389252E-2</v>
      </c>
      <c r="K330" s="10">
        <f t="shared" si="32"/>
        <v>9.4797687861269964E-4</v>
      </c>
      <c r="L330" s="10">
        <f t="shared" si="33"/>
        <v>-1.5738498789346189E-2</v>
      </c>
      <c r="M330" s="10">
        <f t="shared" si="35"/>
        <v>2.7104214117694703E-3</v>
      </c>
      <c r="N330" s="1"/>
      <c r="O330" s="2">
        <v>5375.32</v>
      </c>
      <c r="P330" s="12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spans="1:31" ht="15" thickBot="1" x14ac:dyDescent="0.35">
      <c r="A331" s="1">
        <v>45453</v>
      </c>
      <c r="B331">
        <v>121.79</v>
      </c>
      <c r="C331">
        <v>144.05000000000001</v>
      </c>
      <c r="D331">
        <v>173.79</v>
      </c>
      <c r="E331">
        <v>865</v>
      </c>
      <c r="F331">
        <v>41.3</v>
      </c>
      <c r="G331" s="4"/>
      <c r="H331" s="10">
        <f t="shared" si="34"/>
        <v>7.4447845148482017E-3</v>
      </c>
      <c r="I331" s="10">
        <f t="shared" si="30"/>
        <v>2.4100668278117521E-2</v>
      </c>
      <c r="J331" s="10">
        <f t="shared" si="31"/>
        <v>-2.0791075050709873E-2</v>
      </c>
      <c r="K331" s="10">
        <f t="shared" si="32"/>
        <v>1.7659031282720949E-2</v>
      </c>
      <c r="L331" s="10">
        <f t="shared" si="33"/>
        <v>2.3290386521308104E-2</v>
      </c>
      <c r="M331" s="10">
        <f t="shared" si="35"/>
        <v>2.5808913052016713E-3</v>
      </c>
      <c r="N331" s="1"/>
      <c r="O331" s="2">
        <v>5360.79</v>
      </c>
      <c r="P331" s="12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spans="1:31" ht="15" thickBot="1" x14ac:dyDescent="0.35">
      <c r="A332" s="1">
        <v>45450</v>
      </c>
      <c r="B332">
        <v>120.89</v>
      </c>
      <c r="C332">
        <v>140.66</v>
      </c>
      <c r="D332">
        <v>177.48</v>
      </c>
      <c r="E332">
        <v>849.99</v>
      </c>
      <c r="F332">
        <v>40.36</v>
      </c>
      <c r="G332" s="4"/>
      <c r="H332" s="10">
        <f t="shared" si="34"/>
        <v>-9.0909090909085943E-4</v>
      </c>
      <c r="I332" s="10">
        <f t="shared" si="30"/>
        <v>3.7822022407765221E-3</v>
      </c>
      <c r="J332" s="10">
        <f t="shared" si="31"/>
        <v>-2.5851410587839352E-3</v>
      </c>
      <c r="K332" s="10">
        <f t="shared" si="32"/>
        <v>1.516798241947237E-2</v>
      </c>
      <c r="L332" s="10">
        <f t="shared" si="33"/>
        <v>-5.03529411764706E-2</v>
      </c>
      <c r="M332" s="10">
        <f t="shared" si="35"/>
        <v>-1.1152708034434244E-3</v>
      </c>
      <c r="N332" s="1"/>
      <c r="O332" s="2">
        <v>5346.99</v>
      </c>
      <c r="P332" s="12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spans="1:31" ht="15" thickBot="1" x14ac:dyDescent="0.35">
      <c r="A333" s="1">
        <v>45449</v>
      </c>
      <c r="B333">
        <v>121</v>
      </c>
      <c r="C333">
        <v>140.13</v>
      </c>
      <c r="D333">
        <v>177.94</v>
      </c>
      <c r="E333">
        <v>837.29</v>
      </c>
      <c r="F333">
        <v>42.5</v>
      </c>
      <c r="G333" s="4"/>
      <c r="H333" s="10">
        <f t="shared" si="34"/>
        <v>-1.1760862463247257E-2</v>
      </c>
      <c r="I333" s="10">
        <f t="shared" si="30"/>
        <v>-8.3504352133607629E-3</v>
      </c>
      <c r="J333" s="10">
        <f t="shared" si="31"/>
        <v>1.6799999999999926E-2</v>
      </c>
      <c r="K333" s="10">
        <f t="shared" si="32"/>
        <v>6.6485524670578666E-3</v>
      </c>
      <c r="L333" s="10">
        <f t="shared" si="33"/>
        <v>3.4063260340632562E-2</v>
      </c>
      <c r="M333" s="10">
        <f t="shared" si="35"/>
        <v>-1.9984945919238051E-4</v>
      </c>
      <c r="N333" s="1"/>
      <c r="O333" s="2">
        <v>5352.96</v>
      </c>
      <c r="P333" s="12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spans="1:31" ht="15" thickBot="1" x14ac:dyDescent="0.35">
      <c r="A334" s="1">
        <v>45448</v>
      </c>
      <c r="B334">
        <v>122.44</v>
      </c>
      <c r="C334">
        <v>141.31</v>
      </c>
      <c r="D334">
        <v>175</v>
      </c>
      <c r="E334">
        <v>831.76</v>
      </c>
      <c r="F334">
        <v>41.1</v>
      </c>
      <c r="G334" s="4"/>
      <c r="H334" s="10">
        <f t="shared" si="34"/>
        <v>5.1528684300927496E-2</v>
      </c>
      <c r="I334" s="10">
        <f t="shared" si="30"/>
        <v>6.1842500751427609E-2</v>
      </c>
      <c r="J334" s="10">
        <f t="shared" si="31"/>
        <v>1.3160153344395908E-3</v>
      </c>
      <c r="K334" s="10">
        <f t="shared" si="32"/>
        <v>-9.9688922518892387E-4</v>
      </c>
      <c r="L334" s="10">
        <f t="shared" si="33"/>
        <v>1.4063656550703296E-2</v>
      </c>
      <c r="M334" s="10">
        <f t="shared" si="35"/>
        <v>1.1847660516995706E-2</v>
      </c>
      <c r="N334" s="1"/>
      <c r="O334" s="2">
        <v>5354.03</v>
      </c>
      <c r="P334" s="12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spans="1:31" ht="15" thickBot="1" x14ac:dyDescent="0.35">
      <c r="A335" s="1">
        <v>45447</v>
      </c>
      <c r="B335">
        <v>116.44</v>
      </c>
      <c r="C335">
        <v>133.08000000000001</v>
      </c>
      <c r="D335">
        <v>174.77</v>
      </c>
      <c r="E335">
        <v>832.59</v>
      </c>
      <c r="F335">
        <v>40.53</v>
      </c>
      <c r="G335" s="4"/>
      <c r="H335" s="10">
        <f t="shared" si="34"/>
        <v>1.2521739130434861E-2</v>
      </c>
      <c r="I335" s="10">
        <f t="shared" si="30"/>
        <v>6.7327331870792317E-3</v>
      </c>
      <c r="J335" s="10">
        <f t="shared" si="31"/>
        <v>-8.6221566736626176E-3</v>
      </c>
      <c r="K335" s="10">
        <f t="shared" si="32"/>
        <v>1.5999807521112075E-3</v>
      </c>
      <c r="L335" s="10">
        <f t="shared" si="33"/>
        <v>-3.2465982334686116E-2</v>
      </c>
      <c r="M335" s="10">
        <f t="shared" si="35"/>
        <v>1.5028201536890773E-3</v>
      </c>
      <c r="N335" s="1"/>
      <c r="O335" s="2">
        <v>5291.34</v>
      </c>
      <c r="P335" s="12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spans="1:31" ht="15" thickBot="1" x14ac:dyDescent="0.35">
      <c r="A336" s="1">
        <v>45446</v>
      </c>
      <c r="B336">
        <v>115</v>
      </c>
      <c r="C336">
        <v>132.19</v>
      </c>
      <c r="D336">
        <v>176.29</v>
      </c>
      <c r="E336">
        <v>831.26</v>
      </c>
      <c r="F336">
        <v>41.89</v>
      </c>
      <c r="G336" s="4"/>
      <c r="H336" s="10">
        <f t="shared" si="34"/>
        <v>4.8982942625193981E-2</v>
      </c>
      <c r="I336" s="10">
        <f t="shared" si="30"/>
        <v>-4.9680090327436366E-3</v>
      </c>
      <c r="J336" s="10">
        <f t="shared" si="31"/>
        <v>-1.0051662174303755E-2</v>
      </c>
      <c r="K336" s="10">
        <f t="shared" si="32"/>
        <v>1.3311553746007787E-2</v>
      </c>
      <c r="L336" s="10">
        <f t="shared" si="33"/>
        <v>-1.192179303767249E-3</v>
      </c>
      <c r="M336" s="10">
        <f t="shared" si="35"/>
        <v>1.116056625188655E-3</v>
      </c>
      <c r="N336" s="1"/>
      <c r="O336" s="2">
        <v>5283.4</v>
      </c>
      <c r="P336" s="12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spans="1:31" ht="15" thickBot="1" x14ac:dyDescent="0.35">
      <c r="A337" s="1">
        <v>45443</v>
      </c>
      <c r="B337">
        <v>109.63</v>
      </c>
      <c r="C337">
        <v>132.85</v>
      </c>
      <c r="D337">
        <v>178.08</v>
      </c>
      <c r="E337">
        <v>820.34</v>
      </c>
      <c r="F337">
        <v>41.94</v>
      </c>
      <c r="G337" s="4"/>
      <c r="H337" s="10">
        <f t="shared" si="34"/>
        <v>-7.8733031674208531E-3</v>
      </c>
      <c r="I337" s="10">
        <f t="shared" si="30"/>
        <v>-2.6097793416904991E-2</v>
      </c>
      <c r="J337" s="10">
        <f t="shared" si="31"/>
        <v>-3.9711393254655558E-3</v>
      </c>
      <c r="K337" s="10">
        <f t="shared" si="32"/>
        <v>6.4780506956543249E-3</v>
      </c>
      <c r="L337" s="10">
        <f t="shared" si="33"/>
        <v>1.1936022917162781E-3</v>
      </c>
      <c r="M337" s="10">
        <f t="shared" si="35"/>
        <v>8.0279172110295782E-3</v>
      </c>
      <c r="N337" s="1"/>
      <c r="O337" s="2">
        <v>5277.51</v>
      </c>
      <c r="P337" s="12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spans="1:31" ht="15" thickBot="1" x14ac:dyDescent="0.35">
      <c r="A338" s="1">
        <v>45442</v>
      </c>
      <c r="B338">
        <v>110.5</v>
      </c>
      <c r="C338">
        <v>136.41</v>
      </c>
      <c r="D338">
        <v>178.79</v>
      </c>
      <c r="E338">
        <v>815.06</v>
      </c>
      <c r="F338">
        <v>41.89</v>
      </c>
      <c r="G338" s="4"/>
      <c r="H338" s="10">
        <f t="shared" si="34"/>
        <v>-3.7624107298380061E-2</v>
      </c>
      <c r="I338" s="10">
        <f t="shared" si="30"/>
        <v>-1.9127058315955958E-2</v>
      </c>
      <c r="J338" s="10">
        <f t="shared" si="31"/>
        <v>1.4756796639990855E-2</v>
      </c>
      <c r="K338" s="10">
        <f t="shared" si="32"/>
        <v>4.3498083866277959E-3</v>
      </c>
      <c r="L338" s="10">
        <f t="shared" si="33"/>
        <v>6.0038424591739581E-3</v>
      </c>
      <c r="M338" s="10">
        <f t="shared" si="35"/>
        <v>-5.9749950160910004E-3</v>
      </c>
      <c r="N338" s="1"/>
      <c r="O338" s="2">
        <v>5235.4799999999996</v>
      </c>
      <c r="P338" s="12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spans="1:31" ht="15" thickBot="1" x14ac:dyDescent="0.35">
      <c r="A339" s="1">
        <v>45441</v>
      </c>
      <c r="B339">
        <v>114.82</v>
      </c>
      <c r="C339">
        <v>139.07</v>
      </c>
      <c r="D339">
        <v>176.19</v>
      </c>
      <c r="E339">
        <v>811.53</v>
      </c>
      <c r="F339">
        <v>41.64</v>
      </c>
      <c r="G339" s="4"/>
      <c r="H339" s="10">
        <f t="shared" si="34"/>
        <v>8.0772607550481101E-3</v>
      </c>
      <c r="I339" s="10">
        <f t="shared" ref="I339:I402" si="36">(C339/C340)-1</f>
        <v>-1.5363919569527207E-2</v>
      </c>
      <c r="J339" s="10">
        <f t="shared" ref="J339:J402" si="37">(D339/D340)-1</f>
        <v>-3.1683168316831711E-3</v>
      </c>
      <c r="K339" s="10">
        <f t="shared" ref="K339:K402" si="38">(E339/E340)-1</f>
        <v>4.5428663382269807E-3</v>
      </c>
      <c r="L339" s="10">
        <f t="shared" ref="L339:L402" si="39">(F339/F340)-1</f>
        <v>-1.7924528301886733E-2</v>
      </c>
      <c r="M339" s="10">
        <f t="shared" si="35"/>
        <v>-7.3670760114887823E-3</v>
      </c>
      <c r="N339" s="1"/>
      <c r="O339" s="2">
        <v>5266.95</v>
      </c>
      <c r="P339" s="12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spans="1:31" ht="15" thickBot="1" x14ac:dyDescent="0.35">
      <c r="A340" s="1">
        <v>45440</v>
      </c>
      <c r="B340">
        <v>113.9</v>
      </c>
      <c r="C340">
        <v>141.24</v>
      </c>
      <c r="D340">
        <v>176.75</v>
      </c>
      <c r="E340">
        <v>807.86</v>
      </c>
      <c r="F340">
        <v>42.4</v>
      </c>
      <c r="G340" s="4"/>
      <c r="H340" s="10">
        <f t="shared" si="34"/>
        <v>6.9784915938762238E-2</v>
      </c>
      <c r="I340" s="10">
        <f t="shared" si="36"/>
        <v>3.2675095894303396E-3</v>
      </c>
      <c r="J340" s="10">
        <f t="shared" si="37"/>
        <v>-1.3891988395447474E-2</v>
      </c>
      <c r="K340" s="10">
        <f t="shared" si="38"/>
        <v>5.3255390560180693E-4</v>
      </c>
      <c r="L340" s="10">
        <f t="shared" si="39"/>
        <v>1.0004764173416003E-2</v>
      </c>
      <c r="M340" s="10">
        <f t="shared" si="35"/>
        <v>2.4883499977379486E-4</v>
      </c>
      <c r="N340" s="1"/>
      <c r="O340" s="2">
        <v>5306.04</v>
      </c>
      <c r="P340" s="12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spans="1:31" ht="15" thickBot="1" x14ac:dyDescent="0.35">
      <c r="A341" s="1">
        <v>45436</v>
      </c>
      <c r="B341">
        <v>106.47</v>
      </c>
      <c r="C341">
        <v>140.78</v>
      </c>
      <c r="D341">
        <v>179.24</v>
      </c>
      <c r="E341">
        <v>807.43</v>
      </c>
      <c r="F341">
        <v>41.98</v>
      </c>
      <c r="G341" s="4"/>
      <c r="H341" s="10">
        <f t="shared" si="34"/>
        <v>2.5722543352601157E-2</v>
      </c>
      <c r="I341" s="10">
        <f t="shared" si="36"/>
        <v>1.0406947534630007E-2</v>
      </c>
      <c r="J341" s="10">
        <f t="shared" si="37"/>
        <v>3.1656498215724582E-2</v>
      </c>
      <c r="K341" s="10">
        <f t="shared" si="38"/>
        <v>-1.2616735728865347E-3</v>
      </c>
      <c r="L341" s="10">
        <f t="shared" si="39"/>
        <v>1.8190637885035166E-2</v>
      </c>
      <c r="M341" s="10">
        <f t="shared" si="35"/>
        <v>7.0009719353663069E-3</v>
      </c>
      <c r="N341" s="1"/>
      <c r="O341" s="2">
        <v>5304.72</v>
      </c>
      <c r="P341" s="12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spans="1:31" ht="15" thickBot="1" x14ac:dyDescent="0.35">
      <c r="A342" s="1">
        <v>45435</v>
      </c>
      <c r="B342">
        <v>103.8</v>
      </c>
      <c r="C342">
        <v>139.33000000000001</v>
      </c>
      <c r="D342">
        <v>173.74</v>
      </c>
      <c r="E342">
        <v>808.45</v>
      </c>
      <c r="F342">
        <v>41.23</v>
      </c>
      <c r="G342" s="4"/>
      <c r="H342" s="10">
        <f t="shared" si="34"/>
        <v>9.3206951026856277E-2</v>
      </c>
      <c r="I342" s="10">
        <f t="shared" si="36"/>
        <v>7.9011636259163076E-4</v>
      </c>
      <c r="J342" s="10">
        <f t="shared" si="37"/>
        <v>-3.5367275553828237E-2</v>
      </c>
      <c r="K342" s="10">
        <f t="shared" si="38"/>
        <v>6.8999016079014375E-3</v>
      </c>
      <c r="L342" s="10">
        <f t="shared" si="39"/>
        <v>-2.7364944562396909E-2</v>
      </c>
      <c r="M342" s="10">
        <f t="shared" si="35"/>
        <v>-7.3808038801509435E-3</v>
      </c>
      <c r="N342" s="1"/>
      <c r="O342" s="2">
        <v>5267.84</v>
      </c>
      <c r="P342" s="12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spans="1:31" ht="15" thickBot="1" x14ac:dyDescent="0.35">
      <c r="A343" s="1">
        <v>45434</v>
      </c>
      <c r="B343">
        <v>94.95</v>
      </c>
      <c r="C343">
        <v>139.22</v>
      </c>
      <c r="D343">
        <v>180.11</v>
      </c>
      <c r="E343">
        <v>802.91</v>
      </c>
      <c r="F343">
        <v>42.39</v>
      </c>
      <c r="G343" s="4"/>
      <c r="H343" s="10">
        <f t="shared" si="34"/>
        <v>-4.6126428346786597E-3</v>
      </c>
      <c r="I343" s="10">
        <f t="shared" si="36"/>
        <v>-5.002858776443575E-3</v>
      </c>
      <c r="J343" s="10">
        <f t="shared" si="37"/>
        <v>-3.478027867095379E-2</v>
      </c>
      <c r="K343" s="10">
        <f t="shared" si="38"/>
        <v>-3.2371727031632602E-4</v>
      </c>
      <c r="L343" s="10">
        <f t="shared" si="39"/>
        <v>-3.7465940054495883E-2</v>
      </c>
      <c r="M343" s="10">
        <f t="shared" si="35"/>
        <v>-2.7060497123881921E-3</v>
      </c>
      <c r="N343" s="1"/>
      <c r="O343" s="2">
        <v>5307.01</v>
      </c>
      <c r="P343" s="12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spans="1:31" ht="15" thickBot="1" x14ac:dyDescent="0.35">
      <c r="A344" s="1">
        <v>45433</v>
      </c>
      <c r="B344">
        <v>95.39</v>
      </c>
      <c r="C344">
        <v>139.91999999999999</v>
      </c>
      <c r="D344">
        <v>186.6</v>
      </c>
      <c r="E344">
        <v>803.17</v>
      </c>
      <c r="F344">
        <v>44.04</v>
      </c>
      <c r="G344" s="4"/>
      <c r="H344" s="10">
        <f t="shared" si="34"/>
        <v>6.4359569529437444E-3</v>
      </c>
      <c r="I344" s="10">
        <f t="shared" si="36"/>
        <v>-1.0466760961810539E-2</v>
      </c>
      <c r="J344" s="10">
        <f t="shared" si="37"/>
        <v>6.659045441554734E-2</v>
      </c>
      <c r="K344" s="10">
        <f t="shared" si="38"/>
        <v>2.552414515181689E-2</v>
      </c>
      <c r="L344" s="10">
        <f t="shared" si="39"/>
        <v>-9.0009000900089786E-3</v>
      </c>
      <c r="M344" s="10">
        <f t="shared" si="35"/>
        <v>2.5018226757822504E-3</v>
      </c>
      <c r="N344" s="1"/>
      <c r="O344" s="2">
        <v>5321.41</v>
      </c>
      <c r="P344" s="12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spans="1:31" ht="15" thickBot="1" x14ac:dyDescent="0.35">
      <c r="A345" s="1">
        <v>45432</v>
      </c>
      <c r="B345">
        <v>94.78</v>
      </c>
      <c r="C345">
        <v>141.4</v>
      </c>
      <c r="D345">
        <v>174.95</v>
      </c>
      <c r="E345">
        <v>783.18</v>
      </c>
      <c r="F345">
        <v>44.44</v>
      </c>
      <c r="G345" s="4"/>
      <c r="H345" s="10">
        <f t="shared" si="34"/>
        <v>2.4870242214532823E-2</v>
      </c>
      <c r="I345" s="10">
        <f t="shared" si="36"/>
        <v>1.3402135741417576E-2</v>
      </c>
      <c r="J345" s="10">
        <f t="shared" si="37"/>
        <v>-1.4144032458018763E-2</v>
      </c>
      <c r="K345" s="10">
        <f t="shared" si="38"/>
        <v>1.7116883116883086E-2</v>
      </c>
      <c r="L345" s="10">
        <f t="shared" si="39"/>
        <v>1.6003657978966412E-2</v>
      </c>
      <c r="M345" s="10">
        <f t="shared" si="35"/>
        <v>9.1641572086653689E-4</v>
      </c>
      <c r="N345" s="1"/>
      <c r="O345" s="2">
        <v>5308.13</v>
      </c>
      <c r="P345" s="12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spans="1:31" ht="15" thickBot="1" x14ac:dyDescent="0.35">
      <c r="A346" s="1">
        <v>45429</v>
      </c>
      <c r="B346">
        <v>92.48</v>
      </c>
      <c r="C346">
        <v>139.53</v>
      </c>
      <c r="D346">
        <v>177.46</v>
      </c>
      <c r="E346">
        <v>770</v>
      </c>
      <c r="F346">
        <v>43.74</v>
      </c>
      <c r="G346" s="4"/>
      <c r="H346" s="10">
        <f t="shared" si="34"/>
        <v>-1.9923696481559894E-2</v>
      </c>
      <c r="I346" s="10">
        <f t="shared" si="36"/>
        <v>-1.1897174421075074E-2</v>
      </c>
      <c r="J346" s="10">
        <f t="shared" si="37"/>
        <v>1.4985129261038788E-2</v>
      </c>
      <c r="K346" s="10">
        <f t="shared" si="38"/>
        <v>-1.4524328249818641E-3</v>
      </c>
      <c r="L346" s="10">
        <f t="shared" si="39"/>
        <v>2.1008403361344463E-2</v>
      </c>
      <c r="M346" s="10">
        <f t="shared" si="35"/>
        <v>1.1647882803798026E-3</v>
      </c>
      <c r="N346" s="1"/>
      <c r="O346" s="2">
        <v>5303.27</v>
      </c>
      <c r="P346" s="12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spans="1:31" ht="15" thickBot="1" x14ac:dyDescent="0.35">
      <c r="A347" s="1">
        <v>45428</v>
      </c>
      <c r="B347">
        <v>94.36</v>
      </c>
      <c r="C347">
        <v>141.21</v>
      </c>
      <c r="D347">
        <v>174.84</v>
      </c>
      <c r="E347">
        <v>771.12</v>
      </c>
      <c r="F347">
        <v>42.84</v>
      </c>
      <c r="G347" s="4"/>
      <c r="H347" s="10">
        <f t="shared" si="34"/>
        <v>-2.8532177956249738E-3</v>
      </c>
      <c r="I347" s="10">
        <f t="shared" si="36"/>
        <v>-1.6780392702966163E-2</v>
      </c>
      <c r="J347" s="10">
        <f t="shared" si="37"/>
        <v>4.8853382378297727E-3</v>
      </c>
      <c r="K347" s="10">
        <f t="shared" si="38"/>
        <v>-2.0202790272165871E-2</v>
      </c>
      <c r="L347" s="10">
        <f t="shared" si="39"/>
        <v>-8.1037277147486542E-3</v>
      </c>
      <c r="M347" s="10">
        <f t="shared" si="35"/>
        <v>-2.0817045486656305E-3</v>
      </c>
      <c r="N347" s="1"/>
      <c r="O347" s="2">
        <v>5297.1</v>
      </c>
      <c r="P347" s="12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spans="1:31" ht="15" thickBot="1" x14ac:dyDescent="0.35">
      <c r="A348" s="1">
        <v>45427</v>
      </c>
      <c r="B348">
        <v>94.63</v>
      </c>
      <c r="C348">
        <v>143.62</v>
      </c>
      <c r="D348">
        <v>173.99</v>
      </c>
      <c r="E348">
        <v>787.02</v>
      </c>
      <c r="F348">
        <v>43.19</v>
      </c>
      <c r="G348" s="4"/>
      <c r="H348" s="10">
        <f t="shared" si="34"/>
        <v>3.5792469352013967E-2</v>
      </c>
      <c r="I348" s="10">
        <f t="shared" si="36"/>
        <v>4.0724637681159415E-2</v>
      </c>
      <c r="J348" s="10">
        <f t="shared" si="37"/>
        <v>-2.0050689946493949E-2</v>
      </c>
      <c r="K348" s="10">
        <f t="shared" si="38"/>
        <v>3.0157857535537458E-2</v>
      </c>
      <c r="L348" s="10">
        <f t="shared" si="39"/>
        <v>1.4564247122386575E-2</v>
      </c>
      <c r="M348" s="10">
        <f t="shared" si="35"/>
        <v>1.1715980391409309E-2</v>
      </c>
      <c r="N348" s="1"/>
      <c r="O348" s="2">
        <v>5308.15</v>
      </c>
      <c r="P348" s="12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spans="1:31" ht="15" thickBot="1" x14ac:dyDescent="0.35">
      <c r="A349" s="1">
        <v>45426</v>
      </c>
      <c r="B349">
        <v>91.36</v>
      </c>
      <c r="C349">
        <v>138</v>
      </c>
      <c r="D349">
        <v>177.55</v>
      </c>
      <c r="E349">
        <v>763.98</v>
      </c>
      <c r="F349">
        <v>42.57</v>
      </c>
      <c r="G349" s="4"/>
      <c r="H349" s="10">
        <f t="shared" si="34"/>
        <v>1.0619469026548645E-2</v>
      </c>
      <c r="I349" s="10">
        <f t="shared" si="36"/>
        <v>3.1775700934579376E-2</v>
      </c>
      <c r="J349" s="10">
        <f t="shared" si="37"/>
        <v>3.2928035371458719E-2</v>
      </c>
      <c r="K349" s="10">
        <f t="shared" si="38"/>
        <v>8.288240728520524E-3</v>
      </c>
      <c r="L349" s="10">
        <f t="shared" si="39"/>
        <v>2.5906735751295429E-3</v>
      </c>
      <c r="M349" s="10">
        <f t="shared" si="35"/>
        <v>4.8377644395585229E-3</v>
      </c>
      <c r="N349" s="1"/>
      <c r="O349" s="2">
        <v>5246.68</v>
      </c>
      <c r="P349" s="12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spans="1:31" ht="15" thickBot="1" x14ac:dyDescent="0.35">
      <c r="A350" s="1">
        <v>45425</v>
      </c>
      <c r="B350">
        <v>90.4</v>
      </c>
      <c r="C350">
        <v>133.75</v>
      </c>
      <c r="D350">
        <v>171.89</v>
      </c>
      <c r="E350">
        <v>757.7</v>
      </c>
      <c r="F350">
        <v>42.46</v>
      </c>
      <c r="G350" s="4"/>
      <c r="H350" s="10">
        <f t="shared" si="34"/>
        <v>5.7854917668003214E-3</v>
      </c>
      <c r="I350" s="10">
        <f t="shared" si="36"/>
        <v>3.526410564225646E-3</v>
      </c>
      <c r="J350" s="10">
        <f t="shared" si="37"/>
        <v>2.0300350210719964E-2</v>
      </c>
      <c r="K350" s="10">
        <f t="shared" si="38"/>
        <v>-3.0263157894736548E-3</v>
      </c>
      <c r="L350" s="10">
        <f t="shared" si="39"/>
        <v>-7.0604848199573578E-4</v>
      </c>
      <c r="M350" s="10">
        <f t="shared" si="35"/>
        <v>-2.4125544739483917E-4</v>
      </c>
      <c r="N350" s="1"/>
      <c r="O350" s="2">
        <v>5221.42</v>
      </c>
      <c r="P350" s="12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spans="1:31" ht="15" thickBot="1" x14ac:dyDescent="0.35">
      <c r="A351" s="1">
        <v>45422</v>
      </c>
      <c r="B351">
        <v>89.88</v>
      </c>
      <c r="C351">
        <v>133.28</v>
      </c>
      <c r="D351">
        <v>168.47</v>
      </c>
      <c r="E351">
        <v>760</v>
      </c>
      <c r="F351">
        <v>42.49</v>
      </c>
      <c r="G351" s="4"/>
      <c r="H351" s="10">
        <f t="shared" si="34"/>
        <v>1.2732394366197219E-2</v>
      </c>
      <c r="I351" s="10">
        <f t="shared" si="36"/>
        <v>2.0755150493988017E-2</v>
      </c>
      <c r="J351" s="10">
        <f t="shared" si="37"/>
        <v>-2.0352387044251907E-2</v>
      </c>
      <c r="K351" s="10">
        <f t="shared" si="38"/>
        <v>-1.4969865854448816E-2</v>
      </c>
      <c r="L351" s="10">
        <f t="shared" si="39"/>
        <v>-8.1699346405229578E-3</v>
      </c>
      <c r="M351" s="10">
        <f t="shared" si="35"/>
        <v>1.6493801399288799E-3</v>
      </c>
      <c r="N351" s="1"/>
      <c r="O351" s="2">
        <v>5222.68</v>
      </c>
      <c r="P351" s="12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spans="1:31" ht="15" thickBot="1" x14ac:dyDescent="0.35">
      <c r="A352" s="1">
        <v>45421</v>
      </c>
      <c r="B352">
        <v>88.75</v>
      </c>
      <c r="C352">
        <v>130.57</v>
      </c>
      <c r="D352">
        <v>171.97</v>
      </c>
      <c r="E352">
        <v>771.55</v>
      </c>
      <c r="F352">
        <v>42.84</v>
      </c>
      <c r="G352" s="4"/>
      <c r="H352" s="10">
        <f t="shared" si="34"/>
        <v>-1.8360800796372034E-2</v>
      </c>
      <c r="I352" s="10">
        <f t="shared" si="36"/>
        <v>-1.4863437452844463E-2</v>
      </c>
      <c r="J352" s="10">
        <f t="shared" si="37"/>
        <v>-1.5739468864468864E-2</v>
      </c>
      <c r="K352" s="10">
        <f t="shared" si="38"/>
        <v>-4.4516129032258211E-3</v>
      </c>
      <c r="L352" s="10">
        <f t="shared" si="39"/>
        <v>3.1295137217140168E-2</v>
      </c>
      <c r="M352" s="10">
        <f t="shared" si="35"/>
        <v>5.0909175024624886E-3</v>
      </c>
      <c r="N352" s="1"/>
      <c r="O352" s="2">
        <v>5214.08</v>
      </c>
      <c r="P352" s="12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spans="1:31" ht="15" thickBot="1" x14ac:dyDescent="0.35">
      <c r="A353" s="1">
        <v>45420</v>
      </c>
      <c r="B353">
        <v>90.41</v>
      </c>
      <c r="C353">
        <v>132.54</v>
      </c>
      <c r="D353">
        <v>174.72</v>
      </c>
      <c r="E353">
        <v>775</v>
      </c>
      <c r="F353">
        <v>41.54</v>
      </c>
      <c r="G353" s="4"/>
      <c r="H353" s="10">
        <f t="shared" si="34"/>
        <v>-1.5461071231364087E-3</v>
      </c>
      <c r="I353" s="10">
        <f t="shared" si="36"/>
        <v>1.7113038139820347E-2</v>
      </c>
      <c r="J353" s="10">
        <f t="shared" si="37"/>
        <v>-1.737810021933528E-2</v>
      </c>
      <c r="K353" s="10">
        <f t="shared" si="38"/>
        <v>-3.5614641860703955E-3</v>
      </c>
      <c r="L353" s="10">
        <f t="shared" si="39"/>
        <v>2.4131274131273805E-3</v>
      </c>
      <c r="M353" s="10">
        <f t="shared" si="35"/>
        <v>-5.7829095745365322E-6</v>
      </c>
      <c r="N353" s="1"/>
      <c r="O353" s="2">
        <v>5187.67</v>
      </c>
      <c r="P353" s="12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spans="1:31" ht="15" thickBot="1" x14ac:dyDescent="0.35">
      <c r="A354" s="1">
        <v>45419</v>
      </c>
      <c r="B354">
        <v>90.55</v>
      </c>
      <c r="C354">
        <v>130.31</v>
      </c>
      <c r="D354">
        <v>177.81</v>
      </c>
      <c r="E354">
        <v>777.77</v>
      </c>
      <c r="F354">
        <v>41.44</v>
      </c>
      <c r="G354" s="4"/>
      <c r="H354" s="10">
        <f t="shared" si="34"/>
        <v>-1.7256349034078577E-2</v>
      </c>
      <c r="I354" s="10">
        <f t="shared" si="36"/>
        <v>-5.4949248263755912E-3</v>
      </c>
      <c r="J354" s="10">
        <f t="shared" si="37"/>
        <v>-3.7616367179043042E-2</v>
      </c>
      <c r="K354" s="10">
        <f t="shared" si="38"/>
        <v>1.4464965826681331E-2</v>
      </c>
      <c r="L354" s="10">
        <f t="shared" si="39"/>
        <v>1.2080212611740304E-3</v>
      </c>
      <c r="M354" s="10">
        <f t="shared" si="35"/>
        <v>1.3434374239973401E-3</v>
      </c>
      <c r="N354" s="1"/>
      <c r="O354" s="2">
        <v>5187.7</v>
      </c>
      <c r="P354" s="12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spans="1:31" ht="15" thickBot="1" x14ac:dyDescent="0.35">
      <c r="A355" s="1">
        <v>45418</v>
      </c>
      <c r="B355">
        <v>92.14</v>
      </c>
      <c r="C355">
        <v>131.03</v>
      </c>
      <c r="D355">
        <v>184.76</v>
      </c>
      <c r="E355">
        <v>766.68</v>
      </c>
      <c r="F355">
        <v>41.39</v>
      </c>
      <c r="G355" s="4"/>
      <c r="H355" s="10">
        <f t="shared" si="34"/>
        <v>3.772947403986926E-2</v>
      </c>
      <c r="I355" s="10">
        <f t="shared" si="36"/>
        <v>2.5193646819497761E-2</v>
      </c>
      <c r="J355" s="10">
        <f t="shared" si="37"/>
        <v>1.9703074121088404E-2</v>
      </c>
      <c r="K355" s="10">
        <f t="shared" si="38"/>
        <v>4.3144618147679337E-2</v>
      </c>
      <c r="L355" s="10">
        <f t="shared" si="39"/>
        <v>1.7953762911952831E-2</v>
      </c>
      <c r="M355" s="10">
        <f t="shared" si="35"/>
        <v>1.0326085896653403E-2</v>
      </c>
      <c r="N355" s="1"/>
      <c r="O355" s="2">
        <v>5180.74</v>
      </c>
      <c r="P355" s="12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spans="1:31" ht="15" thickBot="1" x14ac:dyDescent="0.35">
      <c r="A356" s="1">
        <v>45415</v>
      </c>
      <c r="B356">
        <v>88.79</v>
      </c>
      <c r="C356">
        <v>127.81</v>
      </c>
      <c r="D356">
        <v>181.19</v>
      </c>
      <c r="E356">
        <v>734.97</v>
      </c>
      <c r="F356">
        <v>40.659999999999997</v>
      </c>
      <c r="G356" s="4"/>
      <c r="H356" s="10">
        <f t="shared" si="34"/>
        <v>3.4607317641575541E-2</v>
      </c>
      <c r="I356" s="10">
        <f t="shared" si="36"/>
        <v>3.1890844501856863E-2</v>
      </c>
      <c r="J356" s="10">
        <f t="shared" si="37"/>
        <v>6.555191378256886E-3</v>
      </c>
      <c r="K356" s="10">
        <f t="shared" si="38"/>
        <v>-2.7701710521093714E-2</v>
      </c>
      <c r="L356" s="10">
        <f t="shared" si="39"/>
        <v>-9.5006090133983312E-3</v>
      </c>
      <c r="M356" s="10">
        <f t="shared" si="35"/>
        <v>1.2556771059594851E-2</v>
      </c>
      <c r="N356" s="1"/>
      <c r="O356" s="2">
        <v>5127.79</v>
      </c>
      <c r="P356" s="12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spans="1:31" ht="15" thickBot="1" x14ac:dyDescent="0.35">
      <c r="A357" s="1">
        <v>45414</v>
      </c>
      <c r="B357">
        <v>85.82</v>
      </c>
      <c r="C357">
        <v>123.86</v>
      </c>
      <c r="D357">
        <v>180.01</v>
      </c>
      <c r="E357">
        <v>755.91</v>
      </c>
      <c r="F357">
        <v>41.05</v>
      </c>
      <c r="G357" s="4"/>
      <c r="H357" s="10">
        <f t="shared" si="34"/>
        <v>3.3477842003853509E-2</v>
      </c>
      <c r="I357" s="10">
        <f t="shared" si="36"/>
        <v>-3.4596508166385709E-3</v>
      </c>
      <c r="J357" s="10">
        <f t="shared" si="37"/>
        <v>1.1111728429336054E-4</v>
      </c>
      <c r="K357" s="10">
        <f t="shared" si="38"/>
        <v>-2.6829739298358635E-2</v>
      </c>
      <c r="L357" s="10">
        <f t="shared" si="39"/>
        <v>1.1582060128142002E-2</v>
      </c>
      <c r="M357" s="10">
        <f t="shared" si="35"/>
        <v>9.1284256504575723E-3</v>
      </c>
      <c r="N357" s="1"/>
      <c r="O357" s="2">
        <v>5064.2</v>
      </c>
      <c r="P357" s="12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spans="1:31" ht="15" thickBot="1" x14ac:dyDescent="0.35">
      <c r="A358" s="1">
        <v>45413</v>
      </c>
      <c r="B358">
        <v>83.04</v>
      </c>
      <c r="C358">
        <v>124.29</v>
      </c>
      <c r="D358">
        <v>179.99</v>
      </c>
      <c r="E358">
        <v>776.75</v>
      </c>
      <c r="F358">
        <v>40.58</v>
      </c>
      <c r="G358" s="4"/>
      <c r="H358" s="10">
        <f t="shared" si="34"/>
        <v>-3.8888888888888862E-2</v>
      </c>
      <c r="I358" s="10">
        <f t="shared" si="36"/>
        <v>-4.4143659155579495E-2</v>
      </c>
      <c r="J358" s="10">
        <f t="shared" si="37"/>
        <v>-1.7950676560453904E-2</v>
      </c>
      <c r="K358" s="10">
        <f t="shared" si="38"/>
        <v>-5.5690692612981874E-3</v>
      </c>
      <c r="L358" s="10">
        <f t="shared" si="39"/>
        <v>-1.4763779527560139E-3</v>
      </c>
      <c r="M358" s="10">
        <f t="shared" si="35"/>
        <v>-3.4354775611682431E-3</v>
      </c>
      <c r="N358" s="1"/>
      <c r="O358" s="2">
        <v>5018.3900000000003</v>
      </c>
      <c r="P358" s="12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spans="1:31" ht="15" thickBot="1" x14ac:dyDescent="0.35">
      <c r="A359" s="1">
        <v>45412</v>
      </c>
      <c r="B359">
        <v>86.4</v>
      </c>
      <c r="C359">
        <v>130.03</v>
      </c>
      <c r="D359">
        <v>183.28</v>
      </c>
      <c r="E359">
        <v>781.1</v>
      </c>
      <c r="F359">
        <v>40.64</v>
      </c>
      <c r="G359" s="4"/>
      <c r="H359" s="10">
        <f t="shared" si="34"/>
        <v>-1.5496809480401108E-2</v>
      </c>
      <c r="I359" s="10">
        <f t="shared" si="36"/>
        <v>-2.8611982668459657E-2</v>
      </c>
      <c r="J359" s="10">
        <f t="shared" si="37"/>
        <v>-5.5501159494975583E-2</v>
      </c>
      <c r="K359" s="10">
        <f t="shared" si="38"/>
        <v>5.954964731416168E-2</v>
      </c>
      <c r="L359" s="10">
        <f t="shared" si="39"/>
        <v>-3.8334122101277734E-2</v>
      </c>
      <c r="M359" s="10">
        <f t="shared" si="35"/>
        <v>-1.5730517164206925E-2</v>
      </c>
      <c r="N359" s="1"/>
      <c r="O359" s="2">
        <v>5035.6899999999996</v>
      </c>
      <c r="P359" s="12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spans="1:31" ht="15" thickBot="1" x14ac:dyDescent="0.35">
      <c r="A360" s="1">
        <v>45411</v>
      </c>
      <c r="B360">
        <v>87.76</v>
      </c>
      <c r="C360">
        <v>133.86000000000001</v>
      </c>
      <c r="D360">
        <v>194.05</v>
      </c>
      <c r="E360">
        <v>737.2</v>
      </c>
      <c r="F360">
        <v>42.26</v>
      </c>
      <c r="G360" s="4"/>
      <c r="H360" s="10">
        <f t="shared" si="34"/>
        <v>2.2794620469590576E-4</v>
      </c>
      <c r="I360" s="10">
        <f t="shared" si="36"/>
        <v>-4.0919574436424355E-3</v>
      </c>
      <c r="J360" s="10">
        <f t="shared" si="37"/>
        <v>0.15306910689880571</v>
      </c>
      <c r="K360" s="10">
        <f t="shared" si="38"/>
        <v>5.0306062630367521E-3</v>
      </c>
      <c r="L360" s="10">
        <f t="shared" si="39"/>
        <v>-1.0999297917154149E-2</v>
      </c>
      <c r="M360" s="10">
        <f t="shared" si="35"/>
        <v>3.178456301617949E-3</v>
      </c>
      <c r="N360" s="1"/>
      <c r="O360" s="2">
        <v>5116.17</v>
      </c>
      <c r="P360" s="12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spans="1:31" ht="15" thickBot="1" x14ac:dyDescent="0.35">
      <c r="A361" s="1">
        <v>45408</v>
      </c>
      <c r="B361">
        <v>87.74</v>
      </c>
      <c r="C361">
        <v>134.41</v>
      </c>
      <c r="D361">
        <v>168.29</v>
      </c>
      <c r="E361">
        <v>733.51</v>
      </c>
      <c r="F361">
        <v>42.73</v>
      </c>
      <c r="G361" s="4"/>
      <c r="H361" s="10">
        <f t="shared" si="34"/>
        <v>6.184194602444637E-2</v>
      </c>
      <c r="I361" s="10">
        <f t="shared" si="36"/>
        <v>3.839616810877633E-2</v>
      </c>
      <c r="J361" s="10">
        <f t="shared" si="37"/>
        <v>-1.1105887883417598E-2</v>
      </c>
      <c r="K361" s="10">
        <f t="shared" si="38"/>
        <v>1.1919378647205603E-2</v>
      </c>
      <c r="L361" s="10">
        <f t="shared" si="39"/>
        <v>-1.5664593411656269E-2</v>
      </c>
      <c r="M361" s="10">
        <f t="shared" si="35"/>
        <v>1.0209134739185721E-2</v>
      </c>
      <c r="N361" s="1"/>
      <c r="O361" s="2">
        <v>5099.96</v>
      </c>
      <c r="P361" s="12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spans="1:31" ht="15" thickBot="1" x14ac:dyDescent="0.35">
      <c r="A362" s="1">
        <v>45407</v>
      </c>
      <c r="B362">
        <v>82.63</v>
      </c>
      <c r="C362">
        <v>129.44</v>
      </c>
      <c r="D362">
        <v>170.18</v>
      </c>
      <c r="E362">
        <v>724.87</v>
      </c>
      <c r="F362">
        <v>43.41</v>
      </c>
      <c r="G362" s="4"/>
      <c r="H362" s="10">
        <f t="shared" si="34"/>
        <v>3.7023092369477872E-2</v>
      </c>
      <c r="I362" s="10">
        <f t="shared" si="36"/>
        <v>2.9917250159134268E-2</v>
      </c>
      <c r="J362" s="10">
        <f t="shared" si="37"/>
        <v>4.9651514216986437E-2</v>
      </c>
      <c r="K362" s="10">
        <f t="shared" si="38"/>
        <v>-1.0010925976509211E-2</v>
      </c>
      <c r="L362" s="10">
        <f t="shared" si="39"/>
        <v>0.12461139896373052</v>
      </c>
      <c r="M362" s="10">
        <f t="shared" si="35"/>
        <v>-4.5764379499293462E-3</v>
      </c>
      <c r="N362" s="1"/>
      <c r="O362" s="2">
        <v>5048.42</v>
      </c>
      <c r="P362" s="12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spans="1:31" ht="15" thickBot="1" x14ac:dyDescent="0.35">
      <c r="A363" s="1">
        <v>45406</v>
      </c>
      <c r="B363">
        <v>79.680000000000007</v>
      </c>
      <c r="C363">
        <v>125.68</v>
      </c>
      <c r="D363">
        <v>162.13</v>
      </c>
      <c r="E363">
        <v>732.2</v>
      </c>
      <c r="F363">
        <v>38.6</v>
      </c>
      <c r="G363" s="4"/>
      <c r="H363" s="10">
        <f t="shared" si="34"/>
        <v>-3.3244358165493759E-2</v>
      </c>
      <c r="I363" s="10">
        <f t="shared" si="36"/>
        <v>6.0838936919629383E-3</v>
      </c>
      <c r="J363" s="10">
        <f t="shared" si="37"/>
        <v>0.12061100359413879</v>
      </c>
      <c r="K363" s="10">
        <f t="shared" si="38"/>
        <v>-1.8090627472542198E-2</v>
      </c>
      <c r="L363" s="10">
        <f t="shared" si="39"/>
        <v>2.36011667992575E-2</v>
      </c>
      <c r="M363" s="10">
        <f t="shared" si="35"/>
        <v>2.129946455513565E-4</v>
      </c>
      <c r="N363" s="1"/>
      <c r="O363" s="2">
        <v>5071.63</v>
      </c>
      <c r="P363" s="12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spans="1:31" ht="15" thickBot="1" x14ac:dyDescent="0.35">
      <c r="A364" s="1">
        <v>45405</v>
      </c>
      <c r="B364">
        <v>82.42</v>
      </c>
      <c r="C364">
        <v>124.92</v>
      </c>
      <c r="D364">
        <v>144.68</v>
      </c>
      <c r="E364">
        <v>745.69</v>
      </c>
      <c r="F364">
        <v>37.71</v>
      </c>
      <c r="G364" s="4"/>
      <c r="H364" s="10">
        <f t="shared" si="34"/>
        <v>3.6468812877263668E-2</v>
      </c>
      <c r="I364" s="10">
        <f t="shared" si="36"/>
        <v>2.0171498570845214E-2</v>
      </c>
      <c r="J364" s="10">
        <f t="shared" si="37"/>
        <v>1.8514607532558847E-2</v>
      </c>
      <c r="K364" s="10">
        <f t="shared" si="38"/>
        <v>1.9635458684861939E-2</v>
      </c>
      <c r="L364" s="10">
        <f t="shared" si="39"/>
        <v>6.6737853710625572E-3</v>
      </c>
      <c r="M364" s="10">
        <f t="shared" si="35"/>
        <v>1.1964634973855359E-2</v>
      </c>
      <c r="N364" s="1"/>
      <c r="O364" s="2">
        <v>5070.55</v>
      </c>
      <c r="P364" s="12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spans="1:31" ht="15" thickBot="1" x14ac:dyDescent="0.35">
      <c r="A365" s="1">
        <v>45404</v>
      </c>
      <c r="B365">
        <v>79.52</v>
      </c>
      <c r="C365">
        <v>122.45</v>
      </c>
      <c r="D365">
        <v>142.05000000000001</v>
      </c>
      <c r="E365">
        <v>731.33</v>
      </c>
      <c r="F365">
        <v>37.46</v>
      </c>
      <c r="G365" s="4"/>
      <c r="H365" s="10">
        <f t="shared" si="34"/>
        <v>4.3569553805774097E-2</v>
      </c>
      <c r="I365" s="10">
        <f t="shared" si="36"/>
        <v>1.6435627127085572E-2</v>
      </c>
      <c r="J365" s="10">
        <f t="shared" si="37"/>
        <v>-3.4002040122407373E-2</v>
      </c>
      <c r="K365" s="10">
        <f t="shared" si="38"/>
        <v>6.9116492957554954E-3</v>
      </c>
      <c r="L365" s="10">
        <f t="shared" si="39"/>
        <v>-3.9979497693490518E-2</v>
      </c>
      <c r="M365" s="10">
        <f t="shared" si="35"/>
        <v>8.7312244450128418E-3</v>
      </c>
      <c r="N365" s="1"/>
      <c r="O365" s="2">
        <v>5010.6000000000004</v>
      </c>
      <c r="P365" s="12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spans="1:31" ht="15" thickBot="1" x14ac:dyDescent="0.35">
      <c r="A366" s="1">
        <v>45401</v>
      </c>
      <c r="B366">
        <v>76.2</v>
      </c>
      <c r="C366">
        <v>120.47</v>
      </c>
      <c r="D366">
        <v>147.05000000000001</v>
      </c>
      <c r="E366">
        <v>726.31</v>
      </c>
      <c r="F366">
        <v>39.020000000000003</v>
      </c>
      <c r="G366" s="4"/>
      <c r="H366" s="10">
        <f t="shared" si="34"/>
        <v>-0.10003543167591822</v>
      </c>
      <c r="I366" s="10">
        <f t="shared" si="36"/>
        <v>-4.3129467831612422E-2</v>
      </c>
      <c r="J366" s="10">
        <f t="shared" si="37"/>
        <v>-1.9208964183285548E-2</v>
      </c>
      <c r="K366" s="10">
        <f t="shared" si="38"/>
        <v>-2.6328842415711651E-2</v>
      </c>
      <c r="L366" s="10">
        <f t="shared" si="39"/>
        <v>1.219195849546062E-2</v>
      </c>
      <c r="M366" s="10">
        <f t="shared" si="35"/>
        <v>-8.7585210491867294E-3</v>
      </c>
      <c r="N366" s="1"/>
      <c r="O366" s="2">
        <v>4967.2299999999996</v>
      </c>
      <c r="P366" s="12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spans="1:31" ht="15" thickBot="1" x14ac:dyDescent="0.35">
      <c r="A367" s="1">
        <v>45400</v>
      </c>
      <c r="B367">
        <v>84.67</v>
      </c>
      <c r="C367">
        <v>125.9</v>
      </c>
      <c r="D367">
        <v>149.93</v>
      </c>
      <c r="E367">
        <v>745.95</v>
      </c>
      <c r="F367">
        <v>38.549999999999997</v>
      </c>
      <c r="G367" s="4"/>
      <c r="H367" s="10">
        <f t="shared" si="34"/>
        <v>7.4964302712994257E-3</v>
      </c>
      <c r="I367" s="10">
        <f t="shared" si="36"/>
        <v>-1.8400124746608348E-2</v>
      </c>
      <c r="J367" s="10">
        <f t="shared" si="37"/>
        <v>-3.5509810228369187E-2</v>
      </c>
      <c r="K367" s="10">
        <f t="shared" si="38"/>
        <v>-6.4200753892669216E-3</v>
      </c>
      <c r="L367" s="10">
        <f t="shared" si="39"/>
        <v>-2.5933609958517234E-4</v>
      </c>
      <c r="M367" s="10">
        <f t="shared" si="35"/>
        <v>-2.2081912146246774E-3</v>
      </c>
      <c r="N367" s="1"/>
      <c r="O367" s="2">
        <v>5011.12</v>
      </c>
      <c r="P367" s="12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spans="1:31" ht="15" thickBot="1" x14ac:dyDescent="0.35">
      <c r="A368" s="1">
        <v>45399</v>
      </c>
      <c r="B368">
        <v>84.04</v>
      </c>
      <c r="C368">
        <v>128.26</v>
      </c>
      <c r="D368">
        <v>155.44999999999999</v>
      </c>
      <c r="E368">
        <v>750.77</v>
      </c>
      <c r="F368">
        <v>38.56</v>
      </c>
      <c r="G368" s="4"/>
      <c r="H368" s="10">
        <f t="shared" si="34"/>
        <v>-3.8663921299473714E-2</v>
      </c>
      <c r="I368" s="10">
        <f t="shared" si="36"/>
        <v>-3.4986080806560849E-2</v>
      </c>
      <c r="J368" s="10">
        <f t="shared" si="37"/>
        <v>-1.056584558589535E-2</v>
      </c>
      <c r="K368" s="10">
        <f t="shared" si="38"/>
        <v>5.3967913865602402E-3</v>
      </c>
      <c r="L368" s="10">
        <f t="shared" si="39"/>
        <v>1.1807924429283689E-2</v>
      </c>
      <c r="M368" s="10">
        <f t="shared" si="35"/>
        <v>-5.780564238499708E-3</v>
      </c>
      <c r="N368" s="1"/>
      <c r="O368" s="2">
        <v>5022.21</v>
      </c>
      <c r="P368" s="12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spans="1:31" ht="15" thickBot="1" x14ac:dyDescent="0.35">
      <c r="A369" s="1">
        <v>45398</v>
      </c>
      <c r="B369">
        <v>87.42</v>
      </c>
      <c r="C369">
        <v>132.91</v>
      </c>
      <c r="D369">
        <v>157.11000000000001</v>
      </c>
      <c r="E369">
        <v>746.74</v>
      </c>
      <c r="F369">
        <v>38.11</v>
      </c>
      <c r="G369" s="4"/>
      <c r="H369" s="10">
        <f t="shared" si="34"/>
        <v>1.65116279069768E-2</v>
      </c>
      <c r="I369" s="10">
        <f t="shared" si="36"/>
        <v>1.4038300144960658E-2</v>
      </c>
      <c r="J369" s="10">
        <f t="shared" si="37"/>
        <v>-2.7062174882338197E-2</v>
      </c>
      <c r="K369" s="10">
        <f t="shared" si="38"/>
        <v>-5.3678223690344362E-3</v>
      </c>
      <c r="L369" s="10">
        <f t="shared" si="39"/>
        <v>-8.5848074921955897E-3</v>
      </c>
      <c r="M369" s="10">
        <f t="shared" si="35"/>
        <v>-2.056572537150636E-3</v>
      </c>
      <c r="N369" s="1"/>
      <c r="O369" s="2">
        <v>5051.41</v>
      </c>
      <c r="P369" s="12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spans="1:31" ht="15" thickBot="1" x14ac:dyDescent="0.35">
      <c r="A370" s="1">
        <v>45397</v>
      </c>
      <c r="B370">
        <v>86</v>
      </c>
      <c r="C370">
        <v>131.07</v>
      </c>
      <c r="D370">
        <v>161.47999999999999</v>
      </c>
      <c r="E370">
        <v>750.77</v>
      </c>
      <c r="F370">
        <v>38.44</v>
      </c>
      <c r="G370" s="4"/>
      <c r="H370" s="10">
        <f t="shared" si="34"/>
        <v>-2.4832747477038231E-2</v>
      </c>
      <c r="I370" s="10">
        <f t="shared" si="36"/>
        <v>-2.4849341566847705E-2</v>
      </c>
      <c r="J370" s="10">
        <f t="shared" si="37"/>
        <v>-5.5948553054662509E-2</v>
      </c>
      <c r="K370" s="10">
        <f t="shared" si="38"/>
        <v>-1.1574690011175726E-3</v>
      </c>
      <c r="L370" s="10">
        <f t="shared" si="39"/>
        <v>-5.1759834368531044E-3</v>
      </c>
      <c r="M370" s="10">
        <f t="shared" si="35"/>
        <v>-1.2021290507689297E-2</v>
      </c>
      <c r="N370" s="1"/>
      <c r="O370" s="2">
        <v>5061.82</v>
      </c>
      <c r="P370" s="12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spans="1:31" ht="15" thickBot="1" x14ac:dyDescent="0.35">
      <c r="A371" s="1">
        <v>45394</v>
      </c>
      <c r="B371">
        <v>88.19</v>
      </c>
      <c r="C371">
        <v>134.41</v>
      </c>
      <c r="D371">
        <v>171.05</v>
      </c>
      <c r="E371">
        <v>751.64</v>
      </c>
      <c r="F371">
        <v>38.64</v>
      </c>
      <c r="G371" s="4"/>
      <c r="H371" s="10">
        <f t="shared" si="34"/>
        <v>-2.6815272566762416E-2</v>
      </c>
      <c r="I371" s="10">
        <f t="shared" si="36"/>
        <v>-2.7775768535262202E-2</v>
      </c>
      <c r="J371" s="10">
        <f t="shared" si="37"/>
        <v>-2.0332187857960982E-2</v>
      </c>
      <c r="K371" s="10">
        <f t="shared" si="38"/>
        <v>-1.0466172540449459E-2</v>
      </c>
      <c r="L371" s="10">
        <f t="shared" si="39"/>
        <v>-1.1005886869721038E-2</v>
      </c>
      <c r="M371" s="10">
        <f t="shared" si="35"/>
        <v>-1.4550707243232486E-2</v>
      </c>
      <c r="N371" s="1"/>
      <c r="O371" s="2">
        <v>5123.41</v>
      </c>
      <c r="P371" s="12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spans="1:31" ht="15" thickBot="1" x14ac:dyDescent="0.35">
      <c r="A372" s="1">
        <v>45393</v>
      </c>
      <c r="B372">
        <v>90.62</v>
      </c>
      <c r="C372">
        <v>138.25</v>
      </c>
      <c r="D372">
        <v>174.6</v>
      </c>
      <c r="E372">
        <v>759.59</v>
      </c>
      <c r="F372">
        <v>39.07</v>
      </c>
      <c r="G372" s="4"/>
      <c r="H372" s="10">
        <f t="shared" si="34"/>
        <v>4.1130514705882248E-2</v>
      </c>
      <c r="I372" s="10">
        <f t="shared" si="36"/>
        <v>4.5447670901391346E-2</v>
      </c>
      <c r="J372" s="10">
        <f t="shared" si="37"/>
        <v>1.6534699580810441E-2</v>
      </c>
      <c r="K372" s="10">
        <f t="shared" si="38"/>
        <v>-3.1365652641801578E-3</v>
      </c>
      <c r="L372" s="10">
        <f t="shared" si="39"/>
        <v>2.5601638504868518E-4</v>
      </c>
      <c r="M372" s="10">
        <f t="shared" si="35"/>
        <v>7.4448130464439544E-3</v>
      </c>
      <c r="N372" s="1"/>
      <c r="O372" s="2">
        <v>5199.0600000000004</v>
      </c>
      <c r="P372" s="12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spans="1:31" ht="15" thickBot="1" x14ac:dyDescent="0.35">
      <c r="A373" s="1">
        <v>45392</v>
      </c>
      <c r="B373">
        <v>87.04</v>
      </c>
      <c r="C373">
        <v>132.24</v>
      </c>
      <c r="D373">
        <v>171.76</v>
      </c>
      <c r="E373">
        <v>761.98</v>
      </c>
      <c r="F373">
        <v>39.06</v>
      </c>
      <c r="G373" s="4"/>
      <c r="H373" s="10">
        <f t="shared" si="34"/>
        <v>1.9800820152314103E-2</v>
      </c>
      <c r="I373" s="10">
        <f t="shared" si="36"/>
        <v>-8.7699572745669752E-3</v>
      </c>
      <c r="J373" s="10">
        <f t="shared" si="37"/>
        <v>-2.8946178199909522E-2</v>
      </c>
      <c r="K373" s="10">
        <f t="shared" si="38"/>
        <v>6.2595742433046997E-3</v>
      </c>
      <c r="L373" s="10">
        <f t="shared" si="39"/>
        <v>-1.5376859087471662E-2</v>
      </c>
      <c r="M373" s="10">
        <f t="shared" si="35"/>
        <v>-9.4569771838668437E-3</v>
      </c>
      <c r="N373" s="1"/>
      <c r="O373" s="2">
        <v>5160.6400000000003</v>
      </c>
      <c r="P373" s="12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spans="1:31" ht="15" thickBot="1" x14ac:dyDescent="0.35">
      <c r="A374" s="1">
        <v>45391</v>
      </c>
      <c r="B374">
        <v>85.35</v>
      </c>
      <c r="C374">
        <v>133.41</v>
      </c>
      <c r="D374">
        <v>176.88</v>
      </c>
      <c r="E374">
        <v>757.24</v>
      </c>
      <c r="F374">
        <v>39.67</v>
      </c>
      <c r="G374" s="4"/>
      <c r="H374" s="10">
        <f t="shared" si="34"/>
        <v>-2.0429243658900531E-2</v>
      </c>
      <c r="I374" s="10">
        <f t="shared" si="36"/>
        <v>-1.4968939450641372E-3</v>
      </c>
      <c r="J374" s="10">
        <f t="shared" si="37"/>
        <v>2.2545959070412902E-2</v>
      </c>
      <c r="K374" s="10">
        <f t="shared" si="38"/>
        <v>-2.5794748420795321E-2</v>
      </c>
      <c r="L374" s="10">
        <f t="shared" si="39"/>
        <v>6.8527918781726704E-3</v>
      </c>
      <c r="M374" s="10">
        <f t="shared" si="35"/>
        <v>1.4454894769517779E-3</v>
      </c>
      <c r="N374" s="1"/>
      <c r="O374" s="2">
        <v>5209.91</v>
      </c>
      <c r="P374" s="12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spans="1:31" ht="15" thickBot="1" x14ac:dyDescent="0.35">
      <c r="A375" s="1">
        <v>45390</v>
      </c>
      <c r="B375">
        <v>87.13</v>
      </c>
      <c r="C375">
        <v>133.61000000000001</v>
      </c>
      <c r="D375">
        <v>172.98</v>
      </c>
      <c r="E375">
        <v>777.29</v>
      </c>
      <c r="F375">
        <v>39.4</v>
      </c>
      <c r="G375" s="4"/>
      <c r="H375" s="10">
        <f t="shared" si="34"/>
        <v>-9.9988637654813139E-3</v>
      </c>
      <c r="I375" s="10">
        <f t="shared" si="36"/>
        <v>-2.4637897566073264E-3</v>
      </c>
      <c r="J375" s="10">
        <f t="shared" si="37"/>
        <v>4.899939357186156E-2</v>
      </c>
      <c r="K375" s="10">
        <f t="shared" si="38"/>
        <v>-8.8241669960853475E-3</v>
      </c>
      <c r="L375" s="10">
        <f t="shared" si="39"/>
        <v>-6.3051702395964249E-3</v>
      </c>
      <c r="M375" s="10">
        <f t="shared" si="35"/>
        <v>-3.7468728023148934E-4</v>
      </c>
      <c r="N375" s="1"/>
      <c r="O375" s="2">
        <v>5202.3900000000003</v>
      </c>
      <c r="P375" s="12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spans="1:31" ht="15" thickBot="1" x14ac:dyDescent="0.35">
      <c r="A376" s="1">
        <v>45387</v>
      </c>
      <c r="B376">
        <v>88.01</v>
      </c>
      <c r="C376">
        <v>133.94</v>
      </c>
      <c r="D376">
        <v>164.9</v>
      </c>
      <c r="E376">
        <v>784.21</v>
      </c>
      <c r="F376">
        <v>39.65</v>
      </c>
      <c r="G376" s="4"/>
      <c r="H376" s="10">
        <f t="shared" si="34"/>
        <v>2.4563445867287426E-2</v>
      </c>
      <c r="I376" s="10">
        <f t="shared" si="36"/>
        <v>1.6622390891840588E-2</v>
      </c>
      <c r="J376" s="10">
        <f t="shared" si="37"/>
        <v>-3.6292443457425105E-2</v>
      </c>
      <c r="K376" s="10">
        <f t="shared" si="38"/>
        <v>2.1000416623268459E-2</v>
      </c>
      <c r="L376" s="10">
        <f t="shared" si="39"/>
        <v>5.1166489925768888E-2</v>
      </c>
      <c r="M376" s="10">
        <f t="shared" si="35"/>
        <v>1.1099216857287653E-2</v>
      </c>
      <c r="N376" s="1"/>
      <c r="O376" s="2">
        <v>5204.34</v>
      </c>
      <c r="P376" s="12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spans="1:31" ht="15" thickBot="1" x14ac:dyDescent="0.35">
      <c r="A377" s="1">
        <v>45386</v>
      </c>
      <c r="B377">
        <v>85.9</v>
      </c>
      <c r="C377">
        <v>131.75</v>
      </c>
      <c r="D377">
        <v>171.11</v>
      </c>
      <c r="E377">
        <v>768.08</v>
      </c>
      <c r="F377">
        <v>37.72</v>
      </c>
      <c r="G377" s="4"/>
      <c r="H377" s="10">
        <f t="shared" si="34"/>
        <v>-3.4397482014388303E-2</v>
      </c>
      <c r="I377" s="10">
        <f t="shared" si="36"/>
        <v>-3.3524061032863761E-2</v>
      </c>
      <c r="J377" s="10">
        <f t="shared" si="37"/>
        <v>1.6213326998455901E-2</v>
      </c>
      <c r="K377" s="10">
        <f t="shared" si="38"/>
        <v>-1.0193430327710362E-2</v>
      </c>
      <c r="L377" s="10">
        <f t="shared" si="39"/>
        <v>1.3161428955143828E-2</v>
      </c>
      <c r="M377" s="10">
        <f t="shared" si="35"/>
        <v>-1.2334284436888443E-2</v>
      </c>
      <c r="N377" s="1"/>
      <c r="O377" s="2">
        <v>5147.21</v>
      </c>
      <c r="P377" s="12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spans="1:31" ht="15" thickBot="1" x14ac:dyDescent="0.35">
      <c r="A378" s="1">
        <v>45385</v>
      </c>
      <c r="B378">
        <v>88.96</v>
      </c>
      <c r="C378">
        <v>136.32</v>
      </c>
      <c r="D378">
        <v>168.38</v>
      </c>
      <c r="E378">
        <v>775.99</v>
      </c>
      <c r="F378">
        <v>37.229999999999997</v>
      </c>
      <c r="G378" s="4"/>
      <c r="H378" s="10">
        <f t="shared" si="34"/>
        <v>-5.4779206260481272E-3</v>
      </c>
      <c r="I378" s="10">
        <f t="shared" si="36"/>
        <v>1.8225276366895748E-2</v>
      </c>
      <c r="J378" s="10">
        <f t="shared" si="37"/>
        <v>1.0502310508311741E-2</v>
      </c>
      <c r="K378" s="10">
        <f t="shared" si="38"/>
        <v>1.5746897743337263E-2</v>
      </c>
      <c r="L378" s="10">
        <f t="shared" si="39"/>
        <v>1.1959771677086062E-2</v>
      </c>
      <c r="M378" s="10">
        <f t="shared" si="35"/>
        <v>1.0910886106099138E-3</v>
      </c>
      <c r="N378" s="1"/>
      <c r="O378" s="2">
        <v>5211.49</v>
      </c>
      <c r="P378" s="12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spans="1:31" ht="15" thickBot="1" x14ac:dyDescent="0.35">
      <c r="A379" s="1">
        <v>45384</v>
      </c>
      <c r="B379">
        <v>89.45</v>
      </c>
      <c r="C379">
        <v>133.88</v>
      </c>
      <c r="D379">
        <v>166.63</v>
      </c>
      <c r="E379">
        <v>763.96</v>
      </c>
      <c r="F379">
        <v>36.79</v>
      </c>
      <c r="G379" s="4"/>
      <c r="H379" s="10">
        <f t="shared" si="34"/>
        <v>-1.0070827799911419E-2</v>
      </c>
      <c r="I379" s="10">
        <f t="shared" si="36"/>
        <v>-8.5166259349774842E-3</v>
      </c>
      <c r="J379" s="10">
        <f t="shared" si="37"/>
        <v>-4.9024084008674862E-2</v>
      </c>
      <c r="K379" s="10">
        <f t="shared" si="38"/>
        <v>4.4835973966210751E-3</v>
      </c>
      <c r="L379" s="10">
        <f t="shared" si="39"/>
        <v>9.8819654131210299E-3</v>
      </c>
      <c r="M379" s="10">
        <f t="shared" si="35"/>
        <v>-7.2390665494481699E-3</v>
      </c>
      <c r="N379" s="1"/>
      <c r="O379" s="2">
        <v>5205.8100000000004</v>
      </c>
      <c r="P379" s="12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spans="1:31" ht="15" thickBot="1" x14ac:dyDescent="0.35">
      <c r="A380" s="1">
        <v>45383</v>
      </c>
      <c r="B380">
        <v>90.36</v>
      </c>
      <c r="C380">
        <v>135.03</v>
      </c>
      <c r="D380">
        <v>175.22</v>
      </c>
      <c r="E380">
        <v>760.55</v>
      </c>
      <c r="F380">
        <v>36.43</v>
      </c>
      <c r="G380" s="4"/>
      <c r="H380" s="10">
        <f t="shared" si="34"/>
        <v>0</v>
      </c>
      <c r="I380" s="10">
        <f t="shared" si="36"/>
        <v>1.8786781349026782E-2</v>
      </c>
      <c r="J380" s="10">
        <f t="shared" si="37"/>
        <v>-3.2425052619602379E-3</v>
      </c>
      <c r="K380" s="10">
        <f t="shared" si="38"/>
        <v>-2.2379042624299572E-2</v>
      </c>
      <c r="L380" s="10">
        <f t="shared" si="39"/>
        <v>1.6462053571428381E-2</v>
      </c>
      <c r="M380" s="10">
        <f t="shared" si="35"/>
        <v>-2.0135697089078697E-3</v>
      </c>
      <c r="N380" s="1"/>
      <c r="O380" s="2">
        <v>5243.77</v>
      </c>
      <c r="P380" s="12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spans="1:31" ht="15" thickBot="1" x14ac:dyDescent="0.35">
      <c r="A381" s="1">
        <v>45379</v>
      </c>
      <c r="B381">
        <v>90.36</v>
      </c>
      <c r="C381">
        <v>132.54</v>
      </c>
      <c r="D381">
        <v>175.79</v>
      </c>
      <c r="E381">
        <v>777.96</v>
      </c>
      <c r="F381">
        <v>35.840000000000003</v>
      </c>
      <c r="G381" s="4"/>
      <c r="H381" s="10">
        <f t="shared" si="34"/>
        <v>1.2188365650969146E-3</v>
      </c>
      <c r="I381" s="10">
        <f t="shared" si="36"/>
        <v>5.0807613558807585E-3</v>
      </c>
      <c r="J381" s="10">
        <f t="shared" si="37"/>
        <v>-2.2465662014124588E-2</v>
      </c>
      <c r="K381" s="10">
        <f t="shared" si="38"/>
        <v>-2.8271094091325555E-4</v>
      </c>
      <c r="L381" s="10">
        <f t="shared" si="39"/>
        <v>1.6737588652482316E-2</v>
      </c>
      <c r="M381" s="10">
        <f t="shared" si="35"/>
        <v>1.1165116061955249E-3</v>
      </c>
      <c r="N381" s="1"/>
      <c r="O381" s="2">
        <v>5254.35</v>
      </c>
      <c r="P381" s="12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spans="1:31" ht="15" thickBot="1" x14ac:dyDescent="0.35">
      <c r="A382" s="1">
        <v>45378</v>
      </c>
      <c r="B382">
        <v>90.25</v>
      </c>
      <c r="C382">
        <v>131.87</v>
      </c>
      <c r="D382">
        <v>179.83</v>
      </c>
      <c r="E382">
        <v>778.18</v>
      </c>
      <c r="F382">
        <v>35.25</v>
      </c>
      <c r="G382" s="4"/>
      <c r="H382" s="10">
        <f t="shared" si="34"/>
        <v>-2.4956784788245479E-2</v>
      </c>
      <c r="I382" s="10">
        <f t="shared" si="36"/>
        <v>-9.613218174990612E-3</v>
      </c>
      <c r="J382" s="10">
        <f t="shared" si="37"/>
        <v>1.2157370405808665E-2</v>
      </c>
      <c r="K382" s="10">
        <f t="shared" si="38"/>
        <v>4.2328042328041438E-3</v>
      </c>
      <c r="L382" s="10">
        <f t="shared" si="39"/>
        <v>3.6764705882353033E-2</v>
      </c>
      <c r="M382" s="10">
        <f t="shared" si="35"/>
        <v>8.6305966277062662E-3</v>
      </c>
      <c r="N382" s="1"/>
      <c r="O382" s="2">
        <v>5248.49</v>
      </c>
      <c r="P382" s="12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spans="1:31" ht="15" thickBot="1" x14ac:dyDescent="0.35">
      <c r="A383" s="1">
        <v>45377</v>
      </c>
      <c r="B383">
        <v>92.56</v>
      </c>
      <c r="C383">
        <v>133.15</v>
      </c>
      <c r="D383">
        <v>177.67</v>
      </c>
      <c r="E383">
        <v>774.9</v>
      </c>
      <c r="F383">
        <v>34</v>
      </c>
      <c r="G383" s="4"/>
      <c r="H383" s="10">
        <f t="shared" si="34"/>
        <v>-2.5684210526315754E-2</v>
      </c>
      <c r="I383" s="10">
        <f t="shared" si="36"/>
        <v>-1.4871263687481484E-2</v>
      </c>
      <c r="J383" s="10">
        <f t="shared" si="37"/>
        <v>2.9195388982216297E-2</v>
      </c>
      <c r="K383" s="10">
        <f t="shared" si="38"/>
        <v>2.2764311767597967E-3</v>
      </c>
      <c r="L383" s="10">
        <f t="shared" si="39"/>
        <v>2.3584905660376521E-3</v>
      </c>
      <c r="M383" s="10">
        <f t="shared" si="35"/>
        <v>-2.7998213940082506E-3</v>
      </c>
      <c r="N383" s="1"/>
      <c r="O383" s="2">
        <v>5203.58</v>
      </c>
      <c r="P383" s="12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spans="1:31" ht="15" thickBot="1" x14ac:dyDescent="0.35">
      <c r="A384" s="1">
        <v>45376</v>
      </c>
      <c r="B384">
        <v>95</v>
      </c>
      <c r="C384">
        <v>135.16</v>
      </c>
      <c r="D384">
        <v>172.63</v>
      </c>
      <c r="E384">
        <v>773.14</v>
      </c>
      <c r="F384">
        <v>33.92</v>
      </c>
      <c r="G384" s="4"/>
      <c r="H384" s="10">
        <f t="shared" si="34"/>
        <v>7.5299607593592999E-3</v>
      </c>
      <c r="I384" s="10">
        <f t="shared" si="36"/>
        <v>-1.4037680088658799E-3</v>
      </c>
      <c r="J384" s="10">
        <f t="shared" si="37"/>
        <v>1.0536790961774845E-2</v>
      </c>
      <c r="K384" s="10">
        <f t="shared" si="38"/>
        <v>3.2831133777138088E-3</v>
      </c>
      <c r="L384" s="10">
        <f t="shared" si="39"/>
        <v>4.4418122594018783E-3</v>
      </c>
      <c r="M384" s="10">
        <f t="shared" si="35"/>
        <v>-3.0549197773100945E-3</v>
      </c>
      <c r="N384" s="1"/>
      <c r="O384" s="2">
        <v>5218.1899999999996</v>
      </c>
      <c r="P384" s="12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spans="1:31" ht="15" thickBot="1" x14ac:dyDescent="0.35">
      <c r="A385" s="1">
        <v>45373</v>
      </c>
      <c r="B385">
        <v>94.29</v>
      </c>
      <c r="C385">
        <v>135.35</v>
      </c>
      <c r="D385">
        <v>170.83</v>
      </c>
      <c r="E385">
        <v>770.61</v>
      </c>
      <c r="F385">
        <v>33.770000000000003</v>
      </c>
      <c r="G385" s="4"/>
      <c r="H385" s="10">
        <f t="shared" si="34"/>
        <v>3.1280761238105637E-2</v>
      </c>
      <c r="I385" s="10">
        <f t="shared" si="36"/>
        <v>4.0801186943619783E-3</v>
      </c>
      <c r="J385" s="10">
        <f t="shared" si="37"/>
        <v>-1.1514870964008717E-2</v>
      </c>
      <c r="K385" s="10">
        <f t="shared" si="38"/>
        <v>4.5439202347252738E-4</v>
      </c>
      <c r="L385" s="10">
        <f t="shared" si="39"/>
        <v>-2.2009846510280817E-2</v>
      </c>
      <c r="M385" s="10">
        <f t="shared" si="35"/>
        <v>-1.4022623165372838E-3</v>
      </c>
      <c r="N385" s="1"/>
      <c r="O385" s="2">
        <v>5234.18</v>
      </c>
      <c r="P385" s="12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spans="1:31" ht="15" thickBot="1" x14ac:dyDescent="0.35">
      <c r="A386" s="1">
        <v>45372</v>
      </c>
      <c r="B386">
        <v>91.43</v>
      </c>
      <c r="C386">
        <v>134.80000000000001</v>
      </c>
      <c r="D386">
        <v>172.82</v>
      </c>
      <c r="E386">
        <v>770.26</v>
      </c>
      <c r="F386">
        <v>34.53</v>
      </c>
      <c r="G386" s="4"/>
      <c r="H386" s="10">
        <f t="shared" si="34"/>
        <v>1.1729556268673225E-2</v>
      </c>
      <c r="I386" s="10">
        <f t="shared" si="36"/>
        <v>5.6426332288401326E-2</v>
      </c>
      <c r="J386" s="10">
        <f t="shared" si="37"/>
        <v>-1.6167596493225522E-2</v>
      </c>
      <c r="K386" s="10">
        <f t="shared" si="38"/>
        <v>-3.3641280438889698E-3</v>
      </c>
      <c r="L386" s="10">
        <f t="shared" si="39"/>
        <v>6.7055393586006318E-3</v>
      </c>
      <c r="M386" s="10">
        <f t="shared" si="35"/>
        <v>3.2365990253835353E-3</v>
      </c>
      <c r="N386" s="1"/>
      <c r="O386" s="2">
        <v>5241.53</v>
      </c>
      <c r="P386" s="12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spans="1:31" ht="15" thickBot="1" x14ac:dyDescent="0.35">
      <c r="A387" s="1">
        <v>45371</v>
      </c>
      <c r="B387">
        <v>90.37</v>
      </c>
      <c r="C387">
        <v>127.6</v>
      </c>
      <c r="D387">
        <v>175.66</v>
      </c>
      <c r="E387">
        <v>772.86</v>
      </c>
      <c r="F387">
        <v>34.299999999999997</v>
      </c>
      <c r="G387" s="4"/>
      <c r="H387" s="10">
        <f t="shared" si="34"/>
        <v>1.0850111856823164E-2</v>
      </c>
      <c r="I387" s="10">
        <f t="shared" si="36"/>
        <v>3.0694668820678395E-2</v>
      </c>
      <c r="J387" s="10">
        <f t="shared" si="37"/>
        <v>2.5332710716787332E-2</v>
      </c>
      <c r="K387" s="10">
        <f t="shared" si="38"/>
        <v>1.0352234788690851E-4</v>
      </c>
      <c r="L387" s="10">
        <f t="shared" si="39"/>
        <v>2.2050059594755478E-2</v>
      </c>
      <c r="M387" s="10">
        <f t="shared" si="35"/>
        <v>8.9041056211149883E-3</v>
      </c>
      <c r="N387" s="1"/>
      <c r="O387" s="2">
        <v>5224.62</v>
      </c>
      <c r="P387" s="12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spans="1:31" ht="15" thickBot="1" x14ac:dyDescent="0.35">
      <c r="A388" s="1">
        <v>45370</v>
      </c>
      <c r="B388">
        <v>89.4</v>
      </c>
      <c r="C388">
        <v>123.8</v>
      </c>
      <c r="D388">
        <v>171.32</v>
      </c>
      <c r="E388">
        <v>772.78</v>
      </c>
      <c r="F388">
        <v>33.56</v>
      </c>
      <c r="G388" s="4"/>
      <c r="H388" s="10">
        <f t="shared" ref="H388:H451" si="40">(B388/B389)-1</f>
        <v>1.0626271761248196E-2</v>
      </c>
      <c r="I388" s="10">
        <f t="shared" si="36"/>
        <v>6.4662140316840144E-4</v>
      </c>
      <c r="J388" s="10">
        <f t="shared" si="37"/>
        <v>-1.4269275028768846E-2</v>
      </c>
      <c r="K388" s="10">
        <f t="shared" si="38"/>
        <v>1.3269346760024225E-2</v>
      </c>
      <c r="L388" s="10">
        <f t="shared" si="39"/>
        <v>-2.4985473561882632E-2</v>
      </c>
      <c r="M388" s="10">
        <f t="shared" ref="M388:M451" si="41">(O388/O389)-1</f>
        <v>5.6491799076401339E-3</v>
      </c>
      <c r="N388" s="1"/>
      <c r="O388" s="2">
        <v>5178.51</v>
      </c>
      <c r="P388" s="12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spans="1:31" ht="15" thickBot="1" x14ac:dyDescent="0.35">
      <c r="A389" s="1">
        <v>45369</v>
      </c>
      <c r="B389">
        <v>88.46</v>
      </c>
      <c r="C389">
        <v>123.72</v>
      </c>
      <c r="D389">
        <v>173.8</v>
      </c>
      <c r="E389">
        <v>762.66</v>
      </c>
      <c r="F389">
        <v>34.42</v>
      </c>
      <c r="G389" s="4"/>
      <c r="H389" s="10">
        <f t="shared" si="40"/>
        <v>7.0582877959926016E-3</v>
      </c>
      <c r="I389" s="10">
        <f t="shared" si="36"/>
        <v>1.3759611493322499E-3</v>
      </c>
      <c r="J389" s="10">
        <f t="shared" si="37"/>
        <v>6.2542030934768178E-2</v>
      </c>
      <c r="K389" s="10">
        <f t="shared" si="38"/>
        <v>1.1257408807032965E-2</v>
      </c>
      <c r="L389" s="10">
        <f t="shared" si="39"/>
        <v>1.5938606847697656E-2</v>
      </c>
      <c r="M389" s="10">
        <f t="shared" si="41"/>
        <v>6.3180440445644859E-3</v>
      </c>
      <c r="N389" s="1"/>
      <c r="O389" s="2">
        <v>5149.42</v>
      </c>
      <c r="P389" s="12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spans="1:31" ht="15" thickBot="1" x14ac:dyDescent="0.35">
      <c r="A390" s="1">
        <v>45366</v>
      </c>
      <c r="B390">
        <v>87.84</v>
      </c>
      <c r="C390">
        <v>123.55</v>
      </c>
      <c r="D390">
        <v>163.57</v>
      </c>
      <c r="E390">
        <v>754.17</v>
      </c>
      <c r="F390">
        <v>33.880000000000003</v>
      </c>
      <c r="G390" s="4"/>
      <c r="H390" s="10">
        <f t="shared" si="40"/>
        <v>-1.1371389583806346E-3</v>
      </c>
      <c r="I390" s="10">
        <f t="shared" si="36"/>
        <v>-2.1231086112651565E-2</v>
      </c>
      <c r="J390" s="10">
        <f t="shared" si="37"/>
        <v>6.584615384615411E-3</v>
      </c>
      <c r="K390" s="10">
        <f t="shared" si="38"/>
        <v>-8.6232960445887796E-3</v>
      </c>
      <c r="L390" s="10">
        <f t="shared" si="39"/>
        <v>-9.6463022508037621E-3</v>
      </c>
      <c r="M390" s="10">
        <f t="shared" si="41"/>
        <v>-6.4828909150214109E-3</v>
      </c>
      <c r="N390" s="1"/>
      <c r="O390" s="2">
        <v>5117.09</v>
      </c>
      <c r="P390" s="12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spans="1:31" ht="15" thickBot="1" x14ac:dyDescent="0.35">
      <c r="A391" s="1">
        <v>45365</v>
      </c>
      <c r="B391">
        <v>87.94</v>
      </c>
      <c r="C391">
        <v>126.23</v>
      </c>
      <c r="D391">
        <v>162.5</v>
      </c>
      <c r="E391">
        <v>760.73</v>
      </c>
      <c r="F391">
        <v>34.21</v>
      </c>
      <c r="G391" s="4"/>
      <c r="H391" s="10">
        <f t="shared" si="40"/>
        <v>-3.2456815931345639E-2</v>
      </c>
      <c r="I391" s="10">
        <f t="shared" si="36"/>
        <v>3.4978933142539859E-3</v>
      </c>
      <c r="J391" s="10">
        <f t="shared" si="37"/>
        <v>-4.1184800566438473E-2</v>
      </c>
      <c r="K391" s="10">
        <f t="shared" si="38"/>
        <v>3.8134698617122709E-3</v>
      </c>
      <c r="L391" s="10">
        <f t="shared" si="39"/>
        <v>-4.6552225778293543E-3</v>
      </c>
      <c r="M391" s="10">
        <f t="shared" si="41"/>
        <v>-2.871076469757039E-3</v>
      </c>
      <c r="N391" s="1"/>
      <c r="O391" s="2">
        <v>5150.4799999999996</v>
      </c>
      <c r="P391" s="12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spans="1:31" ht="15" thickBot="1" x14ac:dyDescent="0.35">
      <c r="A392" s="1">
        <v>45364</v>
      </c>
      <c r="B392">
        <v>90.89</v>
      </c>
      <c r="C392">
        <v>125.79</v>
      </c>
      <c r="D392">
        <v>169.48</v>
      </c>
      <c r="E392">
        <v>757.84</v>
      </c>
      <c r="F392">
        <v>34.369999999999997</v>
      </c>
      <c r="G392" s="4"/>
      <c r="H392" s="10">
        <f t="shared" si="40"/>
        <v>-1.1097813078011054E-2</v>
      </c>
      <c r="I392" s="10">
        <f t="shared" si="36"/>
        <v>-2.6317826457156079E-2</v>
      </c>
      <c r="J392" s="10">
        <f t="shared" si="37"/>
        <v>-4.5398220119409749E-2</v>
      </c>
      <c r="K392" s="10">
        <f t="shared" si="38"/>
        <v>3.8280680839790637E-3</v>
      </c>
      <c r="L392" s="10">
        <f t="shared" si="39"/>
        <v>1.4462809917355157E-2</v>
      </c>
      <c r="M392" s="10">
        <f t="shared" si="41"/>
        <v>-1.9245372705192221E-3</v>
      </c>
      <c r="N392" s="1"/>
      <c r="O392" s="2">
        <v>5165.3100000000004</v>
      </c>
      <c r="P392" s="12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spans="1:31" ht="15" thickBot="1" x14ac:dyDescent="0.35">
      <c r="A393" s="1">
        <v>45363</v>
      </c>
      <c r="B393">
        <v>91.91</v>
      </c>
      <c r="C393">
        <v>129.19</v>
      </c>
      <c r="D393">
        <v>177.54</v>
      </c>
      <c r="E393">
        <v>754.95</v>
      </c>
      <c r="F393">
        <v>33.880000000000003</v>
      </c>
      <c r="G393" s="4"/>
      <c r="H393" s="10">
        <f t="shared" si="40"/>
        <v>7.1586801912090436E-2</v>
      </c>
      <c r="I393" s="10">
        <f t="shared" si="36"/>
        <v>-9.2800247467328401E-4</v>
      </c>
      <c r="J393" s="10">
        <f t="shared" si="37"/>
        <v>-1.2938066040389939E-3</v>
      </c>
      <c r="K393" s="10">
        <f t="shared" si="38"/>
        <v>2.8024020589076493E-2</v>
      </c>
      <c r="L393" s="10">
        <f t="shared" si="39"/>
        <v>-3.8592508513053292E-2</v>
      </c>
      <c r="M393" s="10">
        <f t="shared" si="41"/>
        <v>1.1201772588189884E-2</v>
      </c>
      <c r="N393" s="1"/>
      <c r="O393" s="2">
        <v>5175.2700000000004</v>
      </c>
      <c r="P393" s="12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spans="1:31" ht="15" thickBot="1" x14ac:dyDescent="0.35">
      <c r="A394" s="1">
        <v>45362</v>
      </c>
      <c r="B394">
        <v>85.77</v>
      </c>
      <c r="C394">
        <v>129.31</v>
      </c>
      <c r="D394">
        <v>177.77</v>
      </c>
      <c r="E394">
        <v>734.37</v>
      </c>
      <c r="F394">
        <v>35.24</v>
      </c>
      <c r="G394" s="4"/>
      <c r="H394" s="10">
        <f t="shared" si="40"/>
        <v>-2.0107391751399528E-2</v>
      </c>
      <c r="I394" s="10">
        <f t="shared" si="36"/>
        <v>-1.1920226178650628E-2</v>
      </c>
      <c r="J394" s="10">
        <f t="shared" si="37"/>
        <v>1.3858788639215192E-2</v>
      </c>
      <c r="K394" s="10">
        <f t="shared" si="38"/>
        <v>-3.6436875114808309E-2</v>
      </c>
      <c r="L394" s="10">
        <f t="shared" si="39"/>
        <v>3.9221468593335418E-2</v>
      </c>
      <c r="M394" s="10">
        <f t="shared" si="41"/>
        <v>-1.1222380745127269E-3</v>
      </c>
      <c r="N394" s="1"/>
      <c r="O394" s="2">
        <v>5117.9399999999996</v>
      </c>
      <c r="P394" s="12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spans="1:31" ht="15" thickBot="1" x14ac:dyDescent="0.35">
      <c r="A395" s="1">
        <v>45359</v>
      </c>
      <c r="B395">
        <v>87.53</v>
      </c>
      <c r="C395">
        <v>130.87</v>
      </c>
      <c r="D395">
        <v>175.34</v>
      </c>
      <c r="E395">
        <v>762.14</v>
      </c>
      <c r="F395">
        <v>33.909999999999997</v>
      </c>
      <c r="G395" s="4"/>
      <c r="H395" s="10">
        <f t="shared" si="40"/>
        <v>-5.5465630732707494E-2</v>
      </c>
      <c r="I395" s="10">
        <f t="shared" si="36"/>
        <v>-6.9864960909736928E-2</v>
      </c>
      <c r="J395" s="10">
        <f t="shared" si="37"/>
        <v>-1.8527847746991344E-2</v>
      </c>
      <c r="K395" s="10">
        <f t="shared" si="38"/>
        <v>-2.3097826086956541E-2</v>
      </c>
      <c r="L395" s="10">
        <f t="shared" si="39"/>
        <v>5.9014458542328008E-4</v>
      </c>
      <c r="M395" s="10">
        <f t="shared" si="41"/>
        <v>-6.5285339786247398E-3</v>
      </c>
      <c r="N395" s="1"/>
      <c r="O395" s="2">
        <v>5123.6899999999996</v>
      </c>
      <c r="P395" s="12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spans="1:31" ht="15" thickBot="1" x14ac:dyDescent="0.35">
      <c r="A396" s="1">
        <v>45358</v>
      </c>
      <c r="B396">
        <v>92.67</v>
      </c>
      <c r="C396">
        <v>140.69999999999999</v>
      </c>
      <c r="D396">
        <v>178.65</v>
      </c>
      <c r="E396">
        <v>780.16</v>
      </c>
      <c r="F396">
        <v>33.89</v>
      </c>
      <c r="G396" s="4"/>
      <c r="H396" s="10">
        <f t="shared" si="40"/>
        <v>4.4757609921082242E-2</v>
      </c>
      <c r="I396" s="10">
        <f t="shared" si="36"/>
        <v>4.2222222222222161E-2</v>
      </c>
      <c r="J396" s="10">
        <f t="shared" si="37"/>
        <v>1.1951965560213162E-2</v>
      </c>
      <c r="K396" s="10">
        <f t="shared" si="38"/>
        <v>5.0014747938487147E-4</v>
      </c>
      <c r="L396" s="10">
        <f t="shared" si="39"/>
        <v>8.0309339678763525E-3</v>
      </c>
      <c r="M396" s="10">
        <f t="shared" si="41"/>
        <v>1.0304108322428451E-2</v>
      </c>
      <c r="N396" s="1"/>
      <c r="O396" s="2">
        <v>5157.3599999999997</v>
      </c>
      <c r="P396" s="12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spans="1:31" ht="15" thickBot="1" x14ac:dyDescent="0.35">
      <c r="A397" s="1">
        <v>45357</v>
      </c>
      <c r="B397">
        <v>88.7</v>
      </c>
      <c r="C397">
        <v>135</v>
      </c>
      <c r="D397">
        <v>176.54</v>
      </c>
      <c r="E397">
        <v>779.77</v>
      </c>
      <c r="F397">
        <v>33.619999999999997</v>
      </c>
      <c r="G397" s="4"/>
      <c r="H397" s="10">
        <f t="shared" si="40"/>
        <v>3.1875290832945602E-2</v>
      </c>
      <c r="I397" s="10">
        <f t="shared" si="36"/>
        <v>5.4368064347953826E-3</v>
      </c>
      <c r="J397" s="10">
        <f t="shared" si="37"/>
        <v>-2.323780015491872E-2</v>
      </c>
      <c r="K397" s="10">
        <f t="shared" si="38"/>
        <v>2.8035339960645889E-3</v>
      </c>
      <c r="L397" s="10">
        <f t="shared" si="39"/>
        <v>8.3983203359325742E-3</v>
      </c>
      <c r="M397" s="10">
        <f t="shared" si="41"/>
        <v>5.1411300247115044E-3</v>
      </c>
      <c r="N397" s="1"/>
      <c r="O397" s="2">
        <v>5104.76</v>
      </c>
      <c r="P397" s="12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spans="1:31" ht="15" thickBot="1" x14ac:dyDescent="0.35">
      <c r="A398" s="1">
        <v>45356</v>
      </c>
      <c r="B398">
        <v>85.96</v>
      </c>
      <c r="C398">
        <v>134.27000000000001</v>
      </c>
      <c r="D398">
        <v>180.74</v>
      </c>
      <c r="E398">
        <v>777.59</v>
      </c>
      <c r="F398">
        <v>33.340000000000003</v>
      </c>
      <c r="G398" s="4"/>
      <c r="H398" s="10">
        <f t="shared" si="40"/>
        <v>8.4467386203659345E-3</v>
      </c>
      <c r="I398" s="10">
        <f t="shared" si="36"/>
        <v>-4.2501604506881452E-2</v>
      </c>
      <c r="J398" s="10">
        <f t="shared" si="37"/>
        <v>-3.9332412033591835E-2</v>
      </c>
      <c r="K398" s="10">
        <f t="shared" si="38"/>
        <v>-1.8541424748826141E-2</v>
      </c>
      <c r="L398" s="10">
        <f t="shared" si="39"/>
        <v>-4.1816009557943401E-3</v>
      </c>
      <c r="M398" s="10">
        <f t="shared" si="41"/>
        <v>-1.0193044173106403E-2</v>
      </c>
      <c r="N398" s="1"/>
      <c r="O398" s="2">
        <v>5078.6499999999996</v>
      </c>
      <c r="P398" s="12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spans="1:31" ht="15" thickBot="1" x14ac:dyDescent="0.35">
      <c r="A399" s="1">
        <v>45355</v>
      </c>
      <c r="B399">
        <v>85.24</v>
      </c>
      <c r="C399">
        <v>140.22999999999999</v>
      </c>
      <c r="D399">
        <v>188.14</v>
      </c>
      <c r="E399">
        <v>792.28</v>
      </c>
      <c r="F399">
        <v>33.479999999999997</v>
      </c>
      <c r="G399" s="4"/>
      <c r="H399" s="10">
        <f t="shared" si="40"/>
        <v>3.5974720466698917E-2</v>
      </c>
      <c r="I399" s="10">
        <f t="shared" si="36"/>
        <v>2.2155517438535721E-3</v>
      </c>
      <c r="J399" s="10">
        <f t="shared" si="37"/>
        <v>-7.1555467824713781E-2</v>
      </c>
      <c r="K399" s="10">
        <f t="shared" si="38"/>
        <v>1.2990333964097545E-2</v>
      </c>
      <c r="L399" s="10">
        <f t="shared" si="39"/>
        <v>4.8215403882279073E-2</v>
      </c>
      <c r="M399" s="10">
        <f t="shared" si="41"/>
        <v>-1.1932849011501157E-3</v>
      </c>
      <c r="N399" s="1"/>
      <c r="O399" s="2">
        <v>5130.95</v>
      </c>
      <c r="P399" s="12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spans="1:31" ht="15" thickBot="1" x14ac:dyDescent="0.35">
      <c r="A400" s="1">
        <v>45352</v>
      </c>
      <c r="B400">
        <v>82.28</v>
      </c>
      <c r="C400">
        <v>139.91999999999999</v>
      </c>
      <c r="D400">
        <v>202.64</v>
      </c>
      <c r="E400">
        <v>782.12</v>
      </c>
      <c r="F400">
        <v>31.94</v>
      </c>
      <c r="G400" s="4"/>
      <c r="H400" s="10">
        <f t="shared" si="40"/>
        <v>4.0070787511060635E-2</v>
      </c>
      <c r="I400" s="10">
        <f t="shared" si="36"/>
        <v>7.5893886966551083E-2</v>
      </c>
      <c r="J400" s="10">
        <f t="shared" si="37"/>
        <v>3.7646126411730041E-3</v>
      </c>
      <c r="K400" s="10">
        <f t="shared" si="38"/>
        <v>3.7734847680713335E-2</v>
      </c>
      <c r="L400" s="10">
        <f t="shared" si="39"/>
        <v>2.20800000000001E-2</v>
      </c>
      <c r="M400" s="10">
        <f t="shared" si="41"/>
        <v>8.0078174821975878E-3</v>
      </c>
      <c r="N400" s="1"/>
      <c r="O400" s="2">
        <v>5137.08</v>
      </c>
      <c r="P400" s="12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spans="1:31" ht="15" thickBot="1" x14ac:dyDescent="0.35">
      <c r="A401" s="1">
        <v>45351</v>
      </c>
      <c r="B401">
        <v>79.11</v>
      </c>
      <c r="C401">
        <v>130.05000000000001</v>
      </c>
      <c r="D401">
        <v>201.88</v>
      </c>
      <c r="E401">
        <v>753.68</v>
      </c>
      <c r="F401">
        <v>31.25</v>
      </c>
      <c r="G401" s="4"/>
      <c r="H401" s="10">
        <f t="shared" si="40"/>
        <v>1.8671130569147598E-2</v>
      </c>
      <c r="I401" s="10">
        <f t="shared" si="36"/>
        <v>8.6086551884598794E-3</v>
      </c>
      <c r="J401" s="10">
        <f t="shared" si="37"/>
        <v>-7.9192239160563727E-4</v>
      </c>
      <c r="K401" s="10">
        <f t="shared" si="38"/>
        <v>-5.2267567710259089E-3</v>
      </c>
      <c r="L401" s="10">
        <f t="shared" si="39"/>
        <v>4.6200200870438524E-2</v>
      </c>
      <c r="M401" s="10">
        <f t="shared" si="41"/>
        <v>5.229044372909275E-3</v>
      </c>
      <c r="N401" s="1"/>
      <c r="O401" s="2">
        <v>5096.2700000000004</v>
      </c>
      <c r="P401" s="12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spans="1:31" ht="15" thickBot="1" x14ac:dyDescent="0.35">
      <c r="A402" s="1">
        <v>45350</v>
      </c>
      <c r="B402">
        <v>77.66</v>
      </c>
      <c r="C402">
        <v>128.94</v>
      </c>
      <c r="D402">
        <v>202.04</v>
      </c>
      <c r="E402">
        <v>757.64</v>
      </c>
      <c r="F402">
        <v>29.87</v>
      </c>
      <c r="G402" s="4"/>
      <c r="H402" s="10">
        <f t="shared" si="40"/>
        <v>-1.3214739517153795E-2</v>
      </c>
      <c r="I402" s="10">
        <f t="shared" si="36"/>
        <v>-5.2461039962968803E-3</v>
      </c>
      <c r="J402" s="10">
        <f t="shared" si="37"/>
        <v>1.1565613578330858E-2</v>
      </c>
      <c r="K402" s="10">
        <f t="shared" si="38"/>
        <v>-9.620915032679811E-3</v>
      </c>
      <c r="L402" s="10">
        <f t="shared" si="39"/>
        <v>3.3489618218363049E-4</v>
      </c>
      <c r="M402" s="10">
        <f t="shared" si="41"/>
        <v>-1.6580743494716277E-3</v>
      </c>
      <c r="N402" s="1"/>
      <c r="O402" s="2">
        <v>5069.76</v>
      </c>
      <c r="P402" s="12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spans="1:31" ht="15" thickBot="1" x14ac:dyDescent="0.35">
      <c r="A403" s="1">
        <v>45349</v>
      </c>
      <c r="B403">
        <v>78.7</v>
      </c>
      <c r="C403">
        <v>129.62</v>
      </c>
      <c r="D403">
        <v>199.73</v>
      </c>
      <c r="E403">
        <v>765</v>
      </c>
      <c r="F403">
        <v>29.86</v>
      </c>
      <c r="G403" s="4"/>
      <c r="H403" s="10">
        <f t="shared" si="40"/>
        <v>-4.931091161967438E-3</v>
      </c>
      <c r="I403" s="10">
        <f t="shared" ref="I403:I466" si="42">(C403/C404)-1</f>
        <v>-9.8540982354288209E-3</v>
      </c>
      <c r="J403" s="10">
        <f t="shared" ref="J403:J466" si="43">(D403/D404)-1</f>
        <v>1.6549648946839746E-3</v>
      </c>
      <c r="K403" s="10">
        <f t="shared" ref="K403:K466" si="44">(E403/E404)-1</f>
        <v>-8.9646595502124171E-3</v>
      </c>
      <c r="L403" s="10">
        <f t="shared" ref="L403:L466" si="45">(F403/F404)-1</f>
        <v>-4.9983338887038542E-3</v>
      </c>
      <c r="M403" s="10">
        <f t="shared" si="41"/>
        <v>1.7062725735916828E-3</v>
      </c>
      <c r="N403" s="1"/>
      <c r="O403" s="2">
        <v>5078.18</v>
      </c>
      <c r="P403" s="12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spans="1:31" ht="15" thickBot="1" x14ac:dyDescent="0.35">
      <c r="A404" s="1">
        <v>45348</v>
      </c>
      <c r="B404">
        <v>79.09</v>
      </c>
      <c r="C404">
        <v>130.91</v>
      </c>
      <c r="D404">
        <v>199.4</v>
      </c>
      <c r="E404">
        <v>771.92</v>
      </c>
      <c r="F404">
        <v>30.01</v>
      </c>
      <c r="G404" s="4"/>
      <c r="H404" s="10">
        <f t="shared" si="40"/>
        <v>3.4255265161127202E-3</v>
      </c>
      <c r="I404" s="10">
        <f t="shared" si="42"/>
        <v>9.796359148411149E-3</v>
      </c>
      <c r="J404" s="10">
        <f t="shared" si="43"/>
        <v>3.8703964161066917E-2</v>
      </c>
      <c r="K404" s="10">
        <f t="shared" si="44"/>
        <v>3.0927567118017585E-3</v>
      </c>
      <c r="L404" s="10">
        <f t="shared" si="45"/>
        <v>-4.0601023017902804E-2</v>
      </c>
      <c r="M404" s="10">
        <f t="shared" si="41"/>
        <v>-3.7867473667663187E-3</v>
      </c>
      <c r="N404" s="1"/>
      <c r="O404" s="2">
        <v>5069.53</v>
      </c>
      <c r="P404" s="12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spans="1:31" ht="15" thickBot="1" x14ac:dyDescent="0.35">
      <c r="A405" s="1">
        <v>45345</v>
      </c>
      <c r="B405">
        <v>78.819999999999993</v>
      </c>
      <c r="C405">
        <v>129.63999999999999</v>
      </c>
      <c r="D405">
        <v>191.97</v>
      </c>
      <c r="E405">
        <v>769.54</v>
      </c>
      <c r="F405">
        <v>31.28</v>
      </c>
      <c r="G405" s="4"/>
      <c r="H405" s="10">
        <f t="shared" si="40"/>
        <v>3.5650623885916666E-3</v>
      </c>
      <c r="I405" s="10">
        <f t="shared" si="42"/>
        <v>-6.5139091118094905E-3</v>
      </c>
      <c r="J405" s="10">
        <f t="shared" si="43"/>
        <v>-2.7556861354541273E-2</v>
      </c>
      <c r="K405" s="10">
        <f t="shared" si="44"/>
        <v>-1.2993087677359849E-4</v>
      </c>
      <c r="L405" s="10">
        <f t="shared" si="45"/>
        <v>1.2625445127873114E-2</v>
      </c>
      <c r="M405" s="10">
        <f t="shared" si="41"/>
        <v>3.4794369209545373E-4</v>
      </c>
      <c r="N405" s="1"/>
      <c r="O405" s="2">
        <v>5088.8</v>
      </c>
      <c r="P405" s="12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spans="1:31" ht="15" thickBot="1" x14ac:dyDescent="0.35">
      <c r="A406" s="1">
        <v>45344</v>
      </c>
      <c r="B406">
        <v>78.540000000000006</v>
      </c>
      <c r="C406">
        <v>130.49</v>
      </c>
      <c r="D406">
        <v>197.41</v>
      </c>
      <c r="E406">
        <v>769.64</v>
      </c>
      <c r="F406">
        <v>30.89</v>
      </c>
      <c r="G406" s="4"/>
      <c r="H406" s="10">
        <f t="shared" si="40"/>
        <v>0.16407292129835493</v>
      </c>
      <c r="I406" s="10">
        <f t="shared" si="42"/>
        <v>6.3054989816700768E-2</v>
      </c>
      <c r="J406" s="10">
        <f t="shared" si="43"/>
        <v>1.3554448837089783E-2</v>
      </c>
      <c r="K406" s="10">
        <f t="shared" si="44"/>
        <v>3.1813489563083941E-2</v>
      </c>
      <c r="L406" s="10">
        <f t="shared" si="45"/>
        <v>-7.5979658988932108E-2</v>
      </c>
      <c r="M406" s="10">
        <f t="shared" si="41"/>
        <v>2.1122887309807714E-2</v>
      </c>
      <c r="N406" s="1"/>
      <c r="O406" s="2">
        <v>5087.03</v>
      </c>
      <c r="P406" s="12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spans="1:31" ht="15" thickBot="1" x14ac:dyDescent="0.35">
      <c r="A407" s="1">
        <v>45343</v>
      </c>
      <c r="B407">
        <v>67.47</v>
      </c>
      <c r="C407">
        <v>122.75</v>
      </c>
      <c r="D407">
        <v>194.77</v>
      </c>
      <c r="E407">
        <v>745.91</v>
      </c>
      <c r="F407">
        <v>33.43</v>
      </c>
      <c r="G407" s="4"/>
      <c r="H407" s="10">
        <f t="shared" si="40"/>
        <v>-2.850971922246226E-2</v>
      </c>
      <c r="I407" s="10">
        <f t="shared" si="42"/>
        <v>8.1532816958818088E-4</v>
      </c>
      <c r="J407" s="10">
        <f t="shared" si="43"/>
        <v>5.2126341866227666E-3</v>
      </c>
      <c r="K407" s="10">
        <f t="shared" si="44"/>
        <v>-1.2902628166106433E-2</v>
      </c>
      <c r="L407" s="10">
        <f t="shared" si="45"/>
        <v>7.2310937029225197E-3</v>
      </c>
      <c r="M407" s="10">
        <f t="shared" si="41"/>
        <v>1.2641920124771833E-3</v>
      </c>
      <c r="N407" s="1"/>
      <c r="O407" s="2">
        <v>4981.8</v>
      </c>
      <c r="P407" s="12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spans="1:31" ht="15" thickBot="1" x14ac:dyDescent="0.35">
      <c r="A408" s="1">
        <v>45342</v>
      </c>
      <c r="B408">
        <v>69.45</v>
      </c>
      <c r="C408">
        <v>122.65</v>
      </c>
      <c r="D408">
        <v>193.76</v>
      </c>
      <c r="E408">
        <v>755.66</v>
      </c>
      <c r="F408">
        <v>33.19</v>
      </c>
      <c r="G408" s="4"/>
      <c r="H408" s="10">
        <f t="shared" si="40"/>
        <v>-4.3520176284258305E-2</v>
      </c>
      <c r="I408" s="10">
        <f t="shared" si="42"/>
        <v>-1.5254917703733328E-2</v>
      </c>
      <c r="J408" s="10">
        <f t="shared" si="43"/>
        <v>-3.0957739434858689E-2</v>
      </c>
      <c r="K408" s="10">
        <f t="shared" si="44"/>
        <v>-3.3757000741631016E-2</v>
      </c>
      <c r="L408" s="10">
        <f t="shared" si="45"/>
        <v>-7.1791803769070128E-3</v>
      </c>
      <c r="M408" s="10">
        <f t="shared" si="41"/>
        <v>-6.0053100845657292E-3</v>
      </c>
      <c r="N408" s="1"/>
      <c r="O408" s="2">
        <v>4975.51</v>
      </c>
      <c r="P408" s="12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spans="1:31" ht="15" thickBot="1" x14ac:dyDescent="0.35">
      <c r="A409" s="1">
        <v>45338</v>
      </c>
      <c r="B409">
        <v>72.61</v>
      </c>
      <c r="C409">
        <v>124.55</v>
      </c>
      <c r="D409">
        <v>199.95</v>
      </c>
      <c r="E409">
        <v>782.06</v>
      </c>
      <c r="F409">
        <v>33.43</v>
      </c>
      <c r="G409" s="4"/>
      <c r="H409" s="10">
        <f t="shared" si="40"/>
        <v>-6.8813652628674227E-4</v>
      </c>
      <c r="I409" s="10">
        <f t="shared" si="42"/>
        <v>-1.5492846415303241E-2</v>
      </c>
      <c r="J409" s="10">
        <f t="shared" si="43"/>
        <v>-2.49438762783738E-3</v>
      </c>
      <c r="K409" s="10">
        <f t="shared" si="44"/>
        <v>3.204096175671034E-2</v>
      </c>
      <c r="L409" s="10">
        <f t="shared" si="45"/>
        <v>1.0580411124546663E-2</v>
      </c>
      <c r="M409" s="10">
        <f t="shared" si="41"/>
        <v>-4.8034387531735723E-3</v>
      </c>
      <c r="N409" s="1"/>
      <c r="O409" s="2">
        <v>5005.57</v>
      </c>
      <c r="P409" s="12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spans="1:31" ht="15" thickBot="1" x14ac:dyDescent="0.35">
      <c r="A410" s="1">
        <v>45337</v>
      </c>
      <c r="B410">
        <v>72.66</v>
      </c>
      <c r="C410">
        <v>126.51</v>
      </c>
      <c r="D410">
        <v>200.45</v>
      </c>
      <c r="E410">
        <v>757.78</v>
      </c>
      <c r="F410">
        <v>33.08</v>
      </c>
      <c r="G410" s="4"/>
      <c r="H410" s="10">
        <f t="shared" si="40"/>
        <v>-1.6779431664411537E-2</v>
      </c>
      <c r="I410" s="10">
        <f t="shared" si="42"/>
        <v>2.2975756615433163E-3</v>
      </c>
      <c r="J410" s="10">
        <f t="shared" si="43"/>
        <v>6.2211859466906771E-2</v>
      </c>
      <c r="K410" s="10">
        <f t="shared" si="44"/>
        <v>6.2061771269372734E-4</v>
      </c>
      <c r="L410" s="10">
        <f t="shared" si="45"/>
        <v>2.9887920298879322E-2</v>
      </c>
      <c r="M410" s="10">
        <f t="shared" si="41"/>
        <v>5.8212781615079034E-3</v>
      </c>
      <c r="N410" s="1"/>
      <c r="O410" s="2">
        <v>5029.7299999999996</v>
      </c>
      <c r="P410" s="12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spans="1:31" ht="15" thickBot="1" x14ac:dyDescent="0.35">
      <c r="A411" s="1">
        <v>45336</v>
      </c>
      <c r="B411">
        <v>73.900000000000006</v>
      </c>
      <c r="C411">
        <v>126.22</v>
      </c>
      <c r="D411">
        <v>188.71</v>
      </c>
      <c r="E411">
        <v>757.31</v>
      </c>
      <c r="F411">
        <v>32.119999999999997</v>
      </c>
      <c r="G411" s="4"/>
      <c r="H411" s="10">
        <f t="shared" si="40"/>
        <v>2.4539026757244065E-2</v>
      </c>
      <c r="I411" s="10">
        <f t="shared" si="42"/>
        <v>8.3885915155388346E-3</v>
      </c>
      <c r="J411" s="10">
        <f t="shared" si="43"/>
        <v>2.5486360178241574E-2</v>
      </c>
      <c r="K411" s="10">
        <f t="shared" si="44"/>
        <v>1.9300913899618966E-2</v>
      </c>
      <c r="L411" s="10">
        <f t="shared" si="45"/>
        <v>2.4968789013732895E-3</v>
      </c>
      <c r="M411" s="10">
        <f t="shared" si="41"/>
        <v>9.5797236921002504E-3</v>
      </c>
      <c r="N411" s="1"/>
      <c r="O411" s="2">
        <v>5000.62</v>
      </c>
      <c r="P411" s="12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spans="1:31" ht="15" thickBot="1" x14ac:dyDescent="0.35">
      <c r="A412" s="1">
        <v>45335</v>
      </c>
      <c r="B412">
        <v>72.13</v>
      </c>
      <c r="C412">
        <v>125.17</v>
      </c>
      <c r="D412">
        <v>184.02</v>
      </c>
      <c r="E412">
        <v>742.97</v>
      </c>
      <c r="F412">
        <v>32.04</v>
      </c>
      <c r="G412" s="4"/>
      <c r="H412" s="10">
        <f t="shared" si="40"/>
        <v>-1.6608996539793086E-3</v>
      </c>
      <c r="I412" s="10">
        <f t="shared" si="42"/>
        <v>-1.0513833992094823E-2</v>
      </c>
      <c r="J412" s="10">
        <f t="shared" si="43"/>
        <v>-2.1846595439323768E-2</v>
      </c>
      <c r="K412" s="10">
        <f t="shared" si="44"/>
        <v>7.7448932533976667E-3</v>
      </c>
      <c r="L412" s="10">
        <f t="shared" si="45"/>
        <v>-4.5292014302741435E-2</v>
      </c>
      <c r="M412" s="10">
        <f t="shared" si="41"/>
        <v>-1.3674270785210219E-2</v>
      </c>
      <c r="N412" s="1"/>
      <c r="O412" s="2">
        <v>4953.17</v>
      </c>
      <c r="P412" s="12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spans="1:31" ht="15" thickBot="1" x14ac:dyDescent="0.35">
      <c r="A413" s="1">
        <v>45334</v>
      </c>
      <c r="B413">
        <v>72.25</v>
      </c>
      <c r="C413">
        <v>126.5</v>
      </c>
      <c r="D413">
        <v>188.13</v>
      </c>
      <c r="E413">
        <v>737.26</v>
      </c>
      <c r="F413">
        <v>33.56</v>
      </c>
      <c r="G413" s="4"/>
      <c r="H413" s="10">
        <f t="shared" si="40"/>
        <v>1.6636628309996127E-3</v>
      </c>
      <c r="I413" s="10">
        <f t="shared" si="42"/>
        <v>-1.4336917562724039E-2</v>
      </c>
      <c r="J413" s="10">
        <f t="shared" si="43"/>
        <v>-2.8103528439324288E-2</v>
      </c>
      <c r="K413" s="10">
        <f t="shared" si="44"/>
        <v>-3.9180717682663069E-3</v>
      </c>
      <c r="L413" s="10">
        <f t="shared" si="45"/>
        <v>2.3482769136932147E-2</v>
      </c>
      <c r="M413" s="10">
        <f t="shared" si="41"/>
        <v>-9.4894968975101079E-4</v>
      </c>
      <c r="N413" s="1"/>
      <c r="O413" s="2">
        <v>5021.84</v>
      </c>
      <c r="P413" s="12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spans="1:31" ht="15" thickBot="1" x14ac:dyDescent="0.35">
      <c r="A414" s="1">
        <v>45331</v>
      </c>
      <c r="B414">
        <v>72.13</v>
      </c>
      <c r="C414">
        <v>128.34</v>
      </c>
      <c r="D414">
        <v>193.57</v>
      </c>
      <c r="E414">
        <v>740.16</v>
      </c>
      <c r="F414">
        <v>32.79</v>
      </c>
      <c r="G414" s="4"/>
      <c r="H414" s="10">
        <f t="shared" si="40"/>
        <v>3.575531303848356E-2</v>
      </c>
      <c r="I414" s="10">
        <f t="shared" si="42"/>
        <v>6.7461562598054581E-3</v>
      </c>
      <c r="J414" s="10">
        <f t="shared" si="43"/>
        <v>2.1154251951888581E-2</v>
      </c>
      <c r="K414" s="10">
        <f t="shared" si="44"/>
        <v>6.089604175728569E-3</v>
      </c>
      <c r="L414" s="10">
        <f t="shared" si="45"/>
        <v>-1.6496700659868191E-2</v>
      </c>
      <c r="M414" s="10">
        <f t="shared" si="41"/>
        <v>5.7424003233350618E-3</v>
      </c>
      <c r="N414" s="1"/>
      <c r="O414" s="2">
        <v>5026.6099999999997</v>
      </c>
      <c r="P414" s="12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spans="1:31" ht="15" thickBot="1" x14ac:dyDescent="0.35">
      <c r="A415" s="1">
        <v>45330</v>
      </c>
      <c r="B415">
        <v>69.64</v>
      </c>
      <c r="C415">
        <v>127.48</v>
      </c>
      <c r="D415">
        <v>189.56</v>
      </c>
      <c r="E415">
        <v>735.68</v>
      </c>
      <c r="F415">
        <v>33.340000000000003</v>
      </c>
      <c r="G415" s="4"/>
      <c r="H415" s="10">
        <f t="shared" si="40"/>
        <v>-6.5620542082738265E-3</v>
      </c>
      <c r="I415" s="10">
        <f t="shared" si="42"/>
        <v>1.4080025455413425E-2</v>
      </c>
      <c r="J415" s="10">
        <f t="shared" si="43"/>
        <v>1.0555496321569491E-2</v>
      </c>
      <c r="K415" s="10">
        <f t="shared" si="44"/>
        <v>1.4199454079241169E-2</v>
      </c>
      <c r="L415" s="10">
        <f t="shared" si="45"/>
        <v>-9.2124814264485932E-3</v>
      </c>
      <c r="M415" s="10">
        <f t="shared" si="41"/>
        <v>5.7056371695218822E-4</v>
      </c>
      <c r="N415" s="1"/>
      <c r="O415" s="2">
        <v>4997.91</v>
      </c>
      <c r="P415" s="12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spans="1:31" ht="15" thickBot="1" x14ac:dyDescent="0.35">
      <c r="A416" s="1">
        <v>45329</v>
      </c>
      <c r="B416">
        <v>70.099999999999994</v>
      </c>
      <c r="C416">
        <v>125.71</v>
      </c>
      <c r="D416">
        <v>187.58</v>
      </c>
      <c r="E416">
        <v>725.38</v>
      </c>
      <c r="F416">
        <v>33.65</v>
      </c>
      <c r="G416" s="4"/>
      <c r="H416" s="10">
        <f t="shared" si="40"/>
        <v>2.7557900908824262E-2</v>
      </c>
      <c r="I416" s="10">
        <f t="shared" si="42"/>
        <v>2.8218550629805161E-2</v>
      </c>
      <c r="J416" s="10">
        <f t="shared" si="43"/>
        <v>1.339816315505149E-2</v>
      </c>
      <c r="K416" s="10">
        <f t="shared" si="44"/>
        <v>2.8864019970781474E-2</v>
      </c>
      <c r="L416" s="10">
        <f t="shared" si="45"/>
        <v>-2.9708853238263888E-4</v>
      </c>
      <c r="M416" s="10">
        <f t="shared" si="41"/>
        <v>8.2414421615468747E-3</v>
      </c>
      <c r="N416" s="1"/>
      <c r="O416" s="2">
        <v>4995.0600000000004</v>
      </c>
      <c r="P416" s="12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spans="1:31" ht="15" thickBot="1" x14ac:dyDescent="0.35">
      <c r="A417" s="1">
        <v>45328</v>
      </c>
      <c r="B417">
        <v>68.22</v>
      </c>
      <c r="C417">
        <v>122.26</v>
      </c>
      <c r="D417">
        <v>185.1</v>
      </c>
      <c r="E417">
        <v>705.03</v>
      </c>
      <c r="F417">
        <v>33.659999999999997</v>
      </c>
      <c r="G417" s="4"/>
      <c r="H417" s="10">
        <f t="shared" si="40"/>
        <v>-1.6010385114669012E-2</v>
      </c>
      <c r="I417" s="10">
        <f t="shared" si="42"/>
        <v>-1.6491030488295366E-2</v>
      </c>
      <c r="J417" s="10">
        <f t="shared" si="43"/>
        <v>2.2313045399315001E-2</v>
      </c>
      <c r="K417" s="10">
        <f t="shared" si="44"/>
        <v>-1.6567544604928486E-3</v>
      </c>
      <c r="L417" s="10">
        <f t="shared" si="45"/>
        <v>8.9928057553956275E-3</v>
      </c>
      <c r="M417" s="10">
        <f t="shared" si="41"/>
        <v>2.310426660138587E-3</v>
      </c>
      <c r="N417" s="1"/>
      <c r="O417" s="2">
        <v>4954.2299999999996</v>
      </c>
      <c r="P417" s="12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spans="1:31" ht="15" thickBot="1" x14ac:dyDescent="0.35">
      <c r="A418" s="1">
        <v>45327</v>
      </c>
      <c r="B418">
        <v>69.33</v>
      </c>
      <c r="C418">
        <v>124.31</v>
      </c>
      <c r="D418">
        <v>181.06</v>
      </c>
      <c r="E418">
        <v>706.2</v>
      </c>
      <c r="F418">
        <v>33.36</v>
      </c>
      <c r="G418" s="4"/>
      <c r="H418" s="10">
        <f t="shared" si="40"/>
        <v>4.7914147521160855E-2</v>
      </c>
      <c r="I418" s="10">
        <f t="shared" si="42"/>
        <v>1.5355713468921062E-2</v>
      </c>
      <c r="J418" s="10">
        <f t="shared" si="43"/>
        <v>-3.645362141450692E-2</v>
      </c>
      <c r="K418" s="10">
        <f t="shared" si="44"/>
        <v>5.7739833745225955E-2</v>
      </c>
      <c r="L418" s="10">
        <f t="shared" si="45"/>
        <v>-3.0514385353094919E-2</v>
      </c>
      <c r="M418" s="10">
        <f t="shared" si="41"/>
        <v>-3.18637682737688E-3</v>
      </c>
      <c r="N418" s="1"/>
      <c r="O418" s="2">
        <v>4942.8100000000004</v>
      </c>
      <c r="P418" s="12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spans="1:31" ht="15" thickBot="1" x14ac:dyDescent="0.35">
      <c r="A419" s="1">
        <v>45324</v>
      </c>
      <c r="B419">
        <v>66.16</v>
      </c>
      <c r="C419">
        <v>122.43</v>
      </c>
      <c r="D419">
        <v>187.91</v>
      </c>
      <c r="E419">
        <v>667.65</v>
      </c>
      <c r="F419">
        <v>34.409999999999997</v>
      </c>
      <c r="G419" s="4"/>
      <c r="H419" s="10">
        <f t="shared" si="40"/>
        <v>4.9658892590829673E-2</v>
      </c>
      <c r="I419" s="10">
        <f t="shared" si="42"/>
        <v>2.0250000000000101E-2</v>
      </c>
      <c r="J419" s="10">
        <f t="shared" si="43"/>
        <v>-5.0301810865192031E-3</v>
      </c>
      <c r="K419" s="10">
        <f t="shared" si="44"/>
        <v>1.0932271398937043E-2</v>
      </c>
      <c r="L419" s="10">
        <f t="shared" si="45"/>
        <v>-3.3698399326032136E-2</v>
      </c>
      <c r="M419" s="10">
        <f t="shared" si="41"/>
        <v>1.0684461873673889E-2</v>
      </c>
      <c r="N419" s="1"/>
      <c r="O419" s="2">
        <v>4958.6099999999997</v>
      </c>
      <c r="P419" s="12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spans="1:31" ht="15" thickBot="1" x14ac:dyDescent="0.35">
      <c r="A420" s="1">
        <v>45323</v>
      </c>
      <c r="B420">
        <v>63.03</v>
      </c>
      <c r="C420">
        <v>120</v>
      </c>
      <c r="D420">
        <v>188.86</v>
      </c>
      <c r="E420">
        <v>660.43</v>
      </c>
      <c r="F420">
        <v>35.61</v>
      </c>
      <c r="G420" s="4"/>
      <c r="H420" s="10">
        <f t="shared" si="40"/>
        <v>2.4378352023403327E-2</v>
      </c>
      <c r="I420" s="10">
        <f t="shared" si="42"/>
        <v>1.6949152542372836E-2</v>
      </c>
      <c r="J420" s="10">
        <f t="shared" si="43"/>
        <v>8.3827219819532228E-3</v>
      </c>
      <c r="K420" s="10">
        <f t="shared" si="44"/>
        <v>2.2955034773314953E-2</v>
      </c>
      <c r="L420" s="10">
        <f t="shared" si="45"/>
        <v>3.1874818893074419E-2</v>
      </c>
      <c r="M420" s="10">
        <f t="shared" si="41"/>
        <v>1.2493679898465615E-2</v>
      </c>
      <c r="N420" s="1"/>
      <c r="O420" s="2">
        <v>4906.1899999999996</v>
      </c>
      <c r="P420" s="12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spans="1:31" ht="15" thickBot="1" x14ac:dyDescent="0.35">
      <c r="A421" s="1">
        <v>45322</v>
      </c>
      <c r="B421">
        <v>61.53</v>
      </c>
      <c r="C421">
        <v>118</v>
      </c>
      <c r="D421">
        <v>187.29</v>
      </c>
      <c r="E421">
        <v>645.61</v>
      </c>
      <c r="F421">
        <v>34.51</v>
      </c>
      <c r="G421" s="4"/>
      <c r="H421" s="10">
        <f t="shared" si="40"/>
        <v>-1.9754659869364422E-2</v>
      </c>
      <c r="I421" s="10">
        <f t="shared" si="42"/>
        <v>-2.3340506538652495E-2</v>
      </c>
      <c r="J421" s="10">
        <f t="shared" si="43"/>
        <v>-2.2443760112740851E-2</v>
      </c>
      <c r="K421" s="10">
        <f t="shared" si="44"/>
        <v>9.7677447362709557E-4</v>
      </c>
      <c r="L421" s="10">
        <f t="shared" si="45"/>
        <v>0</v>
      </c>
      <c r="M421" s="10">
        <f t="shared" si="41"/>
        <v>-1.6105681862021659E-2</v>
      </c>
      <c r="N421" s="1"/>
      <c r="O421" s="2">
        <v>4845.6499999999996</v>
      </c>
      <c r="P421" s="12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spans="1:31" ht="15" thickBot="1" x14ac:dyDescent="0.35">
      <c r="A422" s="1">
        <v>45321</v>
      </c>
      <c r="B422">
        <v>62.77</v>
      </c>
      <c r="C422">
        <v>120.82</v>
      </c>
      <c r="D422">
        <v>191.59</v>
      </c>
      <c r="E422">
        <v>644.98</v>
      </c>
      <c r="F422">
        <v>34.51</v>
      </c>
      <c r="G422" s="4"/>
      <c r="H422" s="10">
        <f t="shared" si="40"/>
        <v>4.8023051064511879E-3</v>
      </c>
      <c r="I422" s="10">
        <f t="shared" si="42"/>
        <v>-7.883067827229473E-3</v>
      </c>
      <c r="J422" s="10">
        <f t="shared" si="43"/>
        <v>3.4567642591525338E-3</v>
      </c>
      <c r="K422" s="10">
        <f t="shared" si="44"/>
        <v>-3.1007751937983663E-5</v>
      </c>
      <c r="L422" s="10">
        <f t="shared" si="45"/>
        <v>-4.0404040404040664E-3</v>
      </c>
      <c r="M422" s="10">
        <f t="shared" si="41"/>
        <v>-6.0065788272156695E-4</v>
      </c>
      <c r="N422" s="1"/>
      <c r="O422" s="2">
        <v>4924.97</v>
      </c>
      <c r="P422" s="12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spans="1:31" ht="15" thickBot="1" x14ac:dyDescent="0.35">
      <c r="A423" s="1">
        <v>45320</v>
      </c>
      <c r="B423">
        <v>62.47</v>
      </c>
      <c r="C423">
        <v>121.78</v>
      </c>
      <c r="D423">
        <v>190.93</v>
      </c>
      <c r="E423">
        <v>645</v>
      </c>
      <c r="F423">
        <v>34.65</v>
      </c>
      <c r="G423" s="4"/>
      <c r="H423" s="10">
        <f t="shared" si="40"/>
        <v>2.3594953301654842E-2</v>
      </c>
      <c r="I423" s="10">
        <f t="shared" si="42"/>
        <v>1.0706282679060486E-2</v>
      </c>
      <c r="J423" s="10">
        <f t="shared" si="43"/>
        <v>4.1909959072305547E-2</v>
      </c>
      <c r="K423" s="10">
        <f t="shared" si="44"/>
        <v>8.9949159170903403E-3</v>
      </c>
      <c r="L423" s="10">
        <f t="shared" si="45"/>
        <v>1.2861736334405016E-2</v>
      </c>
      <c r="M423" s="10">
        <f t="shared" si="41"/>
        <v>7.5567832147815928E-3</v>
      </c>
      <c r="N423" s="1"/>
      <c r="O423" s="2">
        <v>4927.93</v>
      </c>
      <c r="P423" s="12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spans="1:31" ht="15" thickBot="1" x14ac:dyDescent="0.35">
      <c r="A424" s="1">
        <v>45317</v>
      </c>
      <c r="B424">
        <v>61.03</v>
      </c>
      <c r="C424">
        <v>120.49</v>
      </c>
      <c r="D424">
        <v>183.25</v>
      </c>
      <c r="E424">
        <v>639.25</v>
      </c>
      <c r="F424">
        <v>34.21</v>
      </c>
      <c r="G424" s="4"/>
      <c r="H424" s="10">
        <f t="shared" si="40"/>
        <v>-9.5748133722817208E-3</v>
      </c>
      <c r="I424" s="10">
        <f t="shared" si="42"/>
        <v>-2.0406504065040743E-2</v>
      </c>
      <c r="J424" s="10">
        <f t="shared" si="43"/>
        <v>3.3948420303346882E-3</v>
      </c>
      <c r="K424" s="10">
        <f t="shared" si="44"/>
        <v>1.8530320894808883E-2</v>
      </c>
      <c r="L424" s="10">
        <f t="shared" si="45"/>
        <v>-8.118295158016875E-3</v>
      </c>
      <c r="M424" s="10">
        <f t="shared" si="41"/>
        <v>-6.517972440622799E-4</v>
      </c>
      <c r="N424" s="1"/>
      <c r="O424" s="2">
        <v>4890.97</v>
      </c>
      <c r="P424" s="12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spans="1:31" ht="15" thickBot="1" x14ac:dyDescent="0.35">
      <c r="A425" s="1">
        <v>45316</v>
      </c>
      <c r="B425">
        <v>61.62</v>
      </c>
      <c r="C425">
        <v>123</v>
      </c>
      <c r="D425">
        <v>182.63</v>
      </c>
      <c r="E425">
        <v>627.62</v>
      </c>
      <c r="F425">
        <v>34.49</v>
      </c>
      <c r="G425" s="4"/>
      <c r="H425" s="10">
        <f t="shared" si="40"/>
        <v>4.237288135593209E-3</v>
      </c>
      <c r="I425" s="10">
        <f t="shared" si="42"/>
        <v>-1.9060531142834347E-2</v>
      </c>
      <c r="J425" s="10">
        <f t="shared" si="43"/>
        <v>-0.12125294712024259</v>
      </c>
      <c r="K425" s="10">
        <f t="shared" si="44"/>
        <v>-9.594445321129963E-3</v>
      </c>
      <c r="L425" s="10">
        <f t="shared" si="45"/>
        <v>1.4518002322880807E-3</v>
      </c>
      <c r="M425" s="10">
        <f t="shared" si="41"/>
        <v>5.2602931057501578E-3</v>
      </c>
      <c r="N425" s="1"/>
      <c r="O425" s="2">
        <v>4894.16</v>
      </c>
      <c r="P425" s="12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spans="1:31" ht="15" thickBot="1" x14ac:dyDescent="0.35">
      <c r="A426" s="1">
        <v>45315</v>
      </c>
      <c r="B426">
        <v>61.36</v>
      </c>
      <c r="C426">
        <v>125.39</v>
      </c>
      <c r="D426">
        <v>207.83</v>
      </c>
      <c r="E426">
        <v>633.70000000000005</v>
      </c>
      <c r="F426">
        <v>34.44</v>
      </c>
      <c r="G426" s="4"/>
      <c r="H426" s="10">
        <f t="shared" si="40"/>
        <v>2.4887255720728252E-2</v>
      </c>
      <c r="I426" s="10">
        <f t="shared" si="42"/>
        <v>2.2506727554432171E-2</v>
      </c>
      <c r="J426" s="10">
        <f t="shared" si="43"/>
        <v>-6.2637467724967477E-3</v>
      </c>
      <c r="K426" s="10">
        <f t="shared" si="44"/>
        <v>6.3841951467413782E-3</v>
      </c>
      <c r="L426" s="10">
        <f t="shared" si="45"/>
        <v>-2.6018099547511331E-2</v>
      </c>
      <c r="M426" s="10">
        <f t="shared" si="41"/>
        <v>8.1198865271558951E-4</v>
      </c>
      <c r="N426" s="1"/>
      <c r="O426" s="2">
        <v>4868.55</v>
      </c>
      <c r="P426" s="12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spans="1:31" ht="15" thickBot="1" x14ac:dyDescent="0.35">
      <c r="A427" s="1">
        <v>45314</v>
      </c>
      <c r="B427">
        <v>59.87</v>
      </c>
      <c r="C427">
        <v>122.63</v>
      </c>
      <c r="D427">
        <v>209.14</v>
      </c>
      <c r="E427">
        <v>629.67999999999995</v>
      </c>
      <c r="F427">
        <v>35.36</v>
      </c>
      <c r="G427" s="4"/>
      <c r="H427" s="10">
        <f t="shared" si="40"/>
        <v>3.6881810561608663E-3</v>
      </c>
      <c r="I427" s="10">
        <f t="shared" si="42"/>
        <v>4.7521507578860422E-3</v>
      </c>
      <c r="J427" s="10">
        <f t="shared" si="43"/>
        <v>1.6283524904212587E-3</v>
      </c>
      <c r="K427" s="10">
        <f t="shared" si="44"/>
        <v>-1.9021049961958081E-3</v>
      </c>
      <c r="L427" s="10">
        <f t="shared" si="45"/>
        <v>1.0285714285714231E-2</v>
      </c>
      <c r="M427" s="10">
        <f t="shared" si="41"/>
        <v>2.9213904746590025E-3</v>
      </c>
      <c r="N427" s="1"/>
      <c r="O427" s="2">
        <v>4864.6000000000004</v>
      </c>
      <c r="P427" s="12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spans="1:31" ht="15" thickBot="1" x14ac:dyDescent="0.35">
      <c r="A428" s="1">
        <v>45313</v>
      </c>
      <c r="B428">
        <v>59.65</v>
      </c>
      <c r="C428">
        <v>122.05</v>
      </c>
      <c r="D428">
        <v>208.8</v>
      </c>
      <c r="E428">
        <v>630.88</v>
      </c>
      <c r="F428">
        <v>35</v>
      </c>
      <c r="G428" s="4"/>
      <c r="H428" s="10">
        <f t="shared" si="40"/>
        <v>2.6895276517060474E-3</v>
      </c>
      <c r="I428" s="10">
        <f t="shared" si="42"/>
        <v>7.6783355350065197E-3</v>
      </c>
      <c r="J428" s="10">
        <f t="shared" si="43"/>
        <v>-1.5976247702530699E-2</v>
      </c>
      <c r="K428" s="10">
        <f t="shared" si="44"/>
        <v>3.6590410130770135E-3</v>
      </c>
      <c r="L428" s="10">
        <f t="shared" si="45"/>
        <v>1.2145748987854255E-2</v>
      </c>
      <c r="M428" s="10">
        <f t="shared" si="41"/>
        <v>2.194301015948863E-3</v>
      </c>
      <c r="N428" s="1"/>
      <c r="O428" s="2">
        <v>4850.43</v>
      </c>
      <c r="P428" s="12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spans="1:31" ht="15" thickBot="1" x14ac:dyDescent="0.35">
      <c r="A429" s="1">
        <v>45310</v>
      </c>
      <c r="B429">
        <v>59.49</v>
      </c>
      <c r="C429">
        <v>121.12</v>
      </c>
      <c r="D429">
        <v>212.19</v>
      </c>
      <c r="E429">
        <v>628.58000000000004</v>
      </c>
      <c r="F429">
        <v>34.58</v>
      </c>
      <c r="G429" s="4"/>
      <c r="H429" s="10">
        <f t="shared" si="40"/>
        <v>4.1673962528453901E-2</v>
      </c>
      <c r="I429" s="10">
        <f t="shared" si="42"/>
        <v>5.8833814144592989E-2</v>
      </c>
      <c r="J429" s="10">
        <f t="shared" si="43"/>
        <v>1.4630923164056231E-3</v>
      </c>
      <c r="K429" s="10">
        <f t="shared" si="44"/>
        <v>8.3901499959895265E-3</v>
      </c>
      <c r="L429" s="10">
        <f t="shared" si="45"/>
        <v>-1.1554015020219799E-3</v>
      </c>
      <c r="M429" s="10">
        <f t="shared" si="41"/>
        <v>1.2313478102632613E-2</v>
      </c>
      <c r="N429" s="1"/>
      <c r="O429" s="2">
        <v>4839.8100000000004</v>
      </c>
      <c r="P429" s="12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spans="1:31" ht="15" thickBot="1" x14ac:dyDescent="0.35">
      <c r="A430" s="1">
        <v>45309</v>
      </c>
      <c r="B430">
        <v>57.11</v>
      </c>
      <c r="C430">
        <v>114.39</v>
      </c>
      <c r="D430">
        <v>211.88</v>
      </c>
      <c r="E430">
        <v>623.35</v>
      </c>
      <c r="F430">
        <v>34.619999999999997</v>
      </c>
      <c r="G430" s="4"/>
      <c r="H430" s="10">
        <f t="shared" si="40"/>
        <v>1.8911685994647653E-2</v>
      </c>
      <c r="I430" s="10">
        <f t="shared" si="42"/>
        <v>3.6422941016580612E-2</v>
      </c>
      <c r="J430" s="10">
        <f t="shared" si="43"/>
        <v>-1.7026212015773701E-2</v>
      </c>
      <c r="K430" s="10">
        <f t="shared" si="44"/>
        <v>-8.8406926269258834E-3</v>
      </c>
      <c r="L430" s="10">
        <f t="shared" si="45"/>
        <v>-3.1672905269219953E-3</v>
      </c>
      <c r="M430" s="10">
        <f t="shared" si="41"/>
        <v>8.8052650125229892E-3</v>
      </c>
      <c r="N430" s="1"/>
      <c r="O430" s="2">
        <v>4780.9399999999996</v>
      </c>
      <c r="P430" s="12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spans="1:31" ht="15" thickBot="1" x14ac:dyDescent="0.35">
      <c r="A431" s="1">
        <v>45308</v>
      </c>
      <c r="B431">
        <v>56.05</v>
      </c>
      <c r="C431">
        <v>110.37</v>
      </c>
      <c r="D431">
        <v>215.55</v>
      </c>
      <c r="E431">
        <v>628.91</v>
      </c>
      <c r="F431">
        <v>34.729999999999997</v>
      </c>
      <c r="G431" s="4"/>
      <c r="H431" s="10">
        <f t="shared" si="40"/>
        <v>-5.8531394111388524E-3</v>
      </c>
      <c r="I431" s="10">
        <f t="shared" si="42"/>
        <v>-1.0134529147982074E-2</v>
      </c>
      <c r="J431" s="10">
        <f t="shared" si="43"/>
        <v>-1.9826292574234849E-2</v>
      </c>
      <c r="K431" s="10">
        <f t="shared" si="44"/>
        <v>-8.9194257528721899E-3</v>
      </c>
      <c r="L431" s="10">
        <f t="shared" si="45"/>
        <v>-3.5545681755068115E-2</v>
      </c>
      <c r="M431" s="10">
        <f t="shared" si="41"/>
        <v>-5.6168930629166836E-3</v>
      </c>
      <c r="N431" s="1"/>
      <c r="O431" s="2">
        <v>4739.21</v>
      </c>
      <c r="P431" s="12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spans="1:31" ht="15" thickBot="1" x14ac:dyDescent="0.35">
      <c r="A432" s="1">
        <v>45307</v>
      </c>
      <c r="B432">
        <v>56.38</v>
      </c>
      <c r="C432">
        <v>111.5</v>
      </c>
      <c r="D432">
        <v>219.91</v>
      </c>
      <c r="E432">
        <v>634.57000000000005</v>
      </c>
      <c r="F432">
        <v>36.01</v>
      </c>
      <c r="G432" s="4"/>
      <c r="H432" s="10">
        <f t="shared" si="40"/>
        <v>3.0524584171083946E-2</v>
      </c>
      <c r="I432" s="10">
        <f t="shared" si="42"/>
        <v>6.5902320122777081E-3</v>
      </c>
      <c r="J432" s="10">
        <f t="shared" si="43"/>
        <v>4.6598748229704778E-3</v>
      </c>
      <c r="K432" s="10">
        <f t="shared" si="44"/>
        <v>-1.2987618988365424E-2</v>
      </c>
      <c r="L432" s="10">
        <f t="shared" si="45"/>
        <v>-4.3304994686503839E-2</v>
      </c>
      <c r="M432" s="10">
        <f t="shared" si="41"/>
        <v>-3.7313198838587747E-3</v>
      </c>
      <c r="N432" s="1"/>
      <c r="O432" s="2">
        <v>4765.9799999999996</v>
      </c>
      <c r="P432" s="12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spans="1:31" ht="15" thickBot="1" x14ac:dyDescent="0.35">
      <c r="A433" s="1">
        <v>45303</v>
      </c>
      <c r="B433">
        <v>54.71</v>
      </c>
      <c r="C433">
        <v>110.77</v>
      </c>
      <c r="D433">
        <v>218.89</v>
      </c>
      <c r="E433">
        <v>642.91999999999996</v>
      </c>
      <c r="F433">
        <v>37.64</v>
      </c>
      <c r="G433" s="4"/>
      <c r="H433" s="10">
        <f t="shared" si="40"/>
        <v>-2.0065669463699143E-3</v>
      </c>
      <c r="I433" s="10">
        <f t="shared" si="42"/>
        <v>6.9999999999998952E-3</v>
      </c>
      <c r="J433" s="10">
        <f t="shared" si="43"/>
        <v>-3.6660505237215091E-2</v>
      </c>
      <c r="K433" s="10">
        <f t="shared" si="44"/>
        <v>1.1325740892216496E-2</v>
      </c>
      <c r="L433" s="10">
        <f t="shared" si="45"/>
        <v>3.1982942430703876E-3</v>
      </c>
      <c r="M433" s="10">
        <f t="shared" si="41"/>
        <v>7.5100831757413111E-4</v>
      </c>
      <c r="N433" s="1"/>
      <c r="O433" s="2">
        <v>4783.83</v>
      </c>
      <c r="P433" s="12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spans="1:31" ht="15" thickBot="1" x14ac:dyDescent="0.35">
      <c r="A434" s="1">
        <v>45302</v>
      </c>
      <c r="B434">
        <v>54.82</v>
      </c>
      <c r="C434">
        <v>110</v>
      </c>
      <c r="D434">
        <v>227.22</v>
      </c>
      <c r="E434">
        <v>635.72</v>
      </c>
      <c r="F434">
        <v>37.520000000000003</v>
      </c>
      <c r="G434" s="4"/>
      <c r="H434" s="10">
        <f t="shared" si="40"/>
        <v>8.6476540938362767E-3</v>
      </c>
      <c r="I434" s="10">
        <f t="shared" si="42"/>
        <v>1.7952989080140647E-2</v>
      </c>
      <c r="J434" s="10">
        <f t="shared" si="43"/>
        <v>-2.8725314183123851E-2</v>
      </c>
      <c r="K434" s="10">
        <f t="shared" si="44"/>
        <v>8.7751313096049444E-3</v>
      </c>
      <c r="L434" s="10">
        <f t="shared" si="45"/>
        <v>-1.1330698287219998E-2</v>
      </c>
      <c r="M434" s="10">
        <f t="shared" si="41"/>
        <v>-6.7106377196379796E-4</v>
      </c>
      <c r="N434" s="1"/>
      <c r="O434" s="2">
        <v>4780.24</v>
      </c>
      <c r="P434" s="12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spans="1:31" ht="15" thickBot="1" x14ac:dyDescent="0.35">
      <c r="A435" s="1">
        <v>45301</v>
      </c>
      <c r="B435">
        <v>54.35</v>
      </c>
      <c r="C435">
        <v>108.06</v>
      </c>
      <c r="D435">
        <v>233.94</v>
      </c>
      <c r="E435">
        <v>630.19000000000005</v>
      </c>
      <c r="F435">
        <v>37.950000000000003</v>
      </c>
      <c r="G435" s="4"/>
      <c r="H435" s="10">
        <f t="shared" si="40"/>
        <v>2.2770041400075325E-2</v>
      </c>
      <c r="I435" s="10">
        <f t="shared" si="42"/>
        <v>-1.755196304849882E-3</v>
      </c>
      <c r="J435" s="10">
        <f t="shared" si="43"/>
        <v>-4.3411644535240601E-3</v>
      </c>
      <c r="K435" s="10">
        <f t="shared" si="44"/>
        <v>7.530216793502742E-3</v>
      </c>
      <c r="L435" s="10">
        <f t="shared" si="45"/>
        <v>-1.8872802481902706E-2</v>
      </c>
      <c r="M435" s="10">
        <f t="shared" si="41"/>
        <v>5.6659308314936929E-3</v>
      </c>
      <c r="N435" s="1"/>
      <c r="O435" s="2">
        <v>4783.45</v>
      </c>
      <c r="P435" s="12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spans="1:31" ht="15" thickBot="1" x14ac:dyDescent="0.35">
      <c r="A436" s="1">
        <v>45300</v>
      </c>
      <c r="B436">
        <v>53.14</v>
      </c>
      <c r="C436">
        <v>108.25</v>
      </c>
      <c r="D436">
        <v>234.96</v>
      </c>
      <c r="E436">
        <v>625.48</v>
      </c>
      <c r="F436">
        <v>38.68</v>
      </c>
      <c r="G436" s="4"/>
      <c r="H436" s="10">
        <f t="shared" si="40"/>
        <v>1.7033492822966512E-2</v>
      </c>
      <c r="I436" s="10">
        <f t="shared" si="42"/>
        <v>7.0704251558284525E-3</v>
      </c>
      <c r="J436" s="10">
        <f t="shared" si="43"/>
        <v>-2.2832189644416689E-2</v>
      </c>
      <c r="K436" s="10">
        <f t="shared" si="44"/>
        <v>-8.785521460632495E-4</v>
      </c>
      <c r="L436" s="10">
        <f t="shared" si="45"/>
        <v>-3.8528461347253184E-2</v>
      </c>
      <c r="M436" s="10">
        <f t="shared" si="41"/>
        <v>-1.4778924917183689E-3</v>
      </c>
      <c r="N436" s="1"/>
      <c r="O436" s="2">
        <v>4756.5</v>
      </c>
      <c r="P436" s="12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spans="1:31" ht="15" thickBot="1" x14ac:dyDescent="0.35">
      <c r="A437" s="1">
        <v>45299</v>
      </c>
      <c r="B437">
        <v>52.25</v>
      </c>
      <c r="C437">
        <v>107.49</v>
      </c>
      <c r="D437">
        <v>240.45</v>
      </c>
      <c r="E437">
        <v>626.03</v>
      </c>
      <c r="F437">
        <v>40.229999999999997</v>
      </c>
      <c r="G437" s="4"/>
      <c r="H437" s="10">
        <f t="shared" si="40"/>
        <v>6.4154786150712795E-2</v>
      </c>
      <c r="I437" s="10">
        <f t="shared" si="42"/>
        <v>2.4397217192413834E-2</v>
      </c>
      <c r="J437" s="10">
        <f t="shared" si="43"/>
        <v>1.2463682681375987E-2</v>
      </c>
      <c r="K437" s="10">
        <f t="shared" si="44"/>
        <v>1.2092797671974909E-2</v>
      </c>
      <c r="L437" s="10">
        <f t="shared" si="45"/>
        <v>-2.7268220128905396E-3</v>
      </c>
      <c r="M437" s="10">
        <f t="shared" si="41"/>
        <v>1.4114671594383177E-2</v>
      </c>
      <c r="N437" s="1"/>
      <c r="O437" s="2">
        <v>4763.54</v>
      </c>
      <c r="P437" s="12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spans="1:31" ht="15" thickBot="1" x14ac:dyDescent="0.35">
      <c r="A438" s="1">
        <v>45296</v>
      </c>
      <c r="B438">
        <v>49.1</v>
      </c>
      <c r="C438">
        <v>104.93</v>
      </c>
      <c r="D438">
        <v>237.49</v>
      </c>
      <c r="E438">
        <v>618.54999999999995</v>
      </c>
      <c r="F438">
        <v>40.340000000000003</v>
      </c>
      <c r="G438" s="4"/>
      <c r="H438" s="10">
        <f t="shared" si="40"/>
        <v>2.2916666666666696E-2</v>
      </c>
      <c r="I438" s="10">
        <f t="shared" si="42"/>
        <v>2.8598665395618283E-4</v>
      </c>
      <c r="J438" s="10">
        <f t="shared" si="43"/>
        <v>-1.8492834026814231E-3</v>
      </c>
      <c r="K438" s="10">
        <f t="shared" si="44"/>
        <v>6.590724165988604E-3</v>
      </c>
      <c r="L438" s="10">
        <f t="shared" si="45"/>
        <v>5.4835493519442835E-3</v>
      </c>
      <c r="M438" s="10">
        <f t="shared" si="41"/>
        <v>1.8256737503945519E-3</v>
      </c>
      <c r="N438" s="1"/>
      <c r="O438" s="2">
        <v>4697.24</v>
      </c>
      <c r="P438" s="12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spans="1:31" ht="15" thickBot="1" x14ac:dyDescent="0.35">
      <c r="A439" s="1">
        <v>45295</v>
      </c>
      <c r="B439">
        <v>48</v>
      </c>
      <c r="C439">
        <v>104.9</v>
      </c>
      <c r="D439">
        <v>237.93</v>
      </c>
      <c r="E439">
        <v>614.5</v>
      </c>
      <c r="F439">
        <v>40.119999999999997</v>
      </c>
      <c r="G439" s="4"/>
      <c r="H439" s="10">
        <f t="shared" si="40"/>
        <v>9.0393104898045529E-3</v>
      </c>
      <c r="I439" s="10">
        <f t="shared" si="42"/>
        <v>-9.0685811449082721E-3</v>
      </c>
      <c r="J439" s="10">
        <f t="shared" si="43"/>
        <v>-2.180750681484489E-3</v>
      </c>
      <c r="K439" s="10">
        <f t="shared" si="44"/>
        <v>-5.180508337380707E-3</v>
      </c>
      <c r="L439" s="10">
        <f t="shared" si="45"/>
        <v>2.9999999999998916E-3</v>
      </c>
      <c r="M439" s="10">
        <f t="shared" si="41"/>
        <v>-3.4284062480738342E-3</v>
      </c>
      <c r="N439" s="1"/>
      <c r="O439" s="2">
        <v>4688.68</v>
      </c>
      <c r="P439" s="12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spans="1:31" ht="15" thickBot="1" x14ac:dyDescent="0.35">
      <c r="A440" s="1">
        <v>45294</v>
      </c>
      <c r="B440">
        <v>47.57</v>
      </c>
      <c r="C440">
        <v>105.86</v>
      </c>
      <c r="D440">
        <v>238.45</v>
      </c>
      <c r="E440">
        <v>617.70000000000005</v>
      </c>
      <c r="F440">
        <v>40</v>
      </c>
      <c r="G440" s="4"/>
      <c r="H440" s="10">
        <f t="shared" si="40"/>
        <v>-1.2455885405854294E-2</v>
      </c>
      <c r="I440" s="10">
        <f t="shared" si="42"/>
        <v>-2.4691358024691468E-2</v>
      </c>
      <c r="J440" s="10">
        <f t="shared" si="43"/>
        <v>-4.0133644634087418E-2</v>
      </c>
      <c r="K440" s="10">
        <f t="shared" si="44"/>
        <v>4.3059777102330221E-2</v>
      </c>
      <c r="L440" s="10">
        <f t="shared" si="45"/>
        <v>-2.2243950134441359E-2</v>
      </c>
      <c r="M440" s="10">
        <f t="shared" si="41"/>
        <v>-8.0163109367190621E-3</v>
      </c>
      <c r="N440" s="1"/>
      <c r="O440" s="2">
        <v>4704.8100000000004</v>
      </c>
      <c r="P440" s="12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spans="1:31" ht="15" thickBot="1" x14ac:dyDescent="0.35">
      <c r="A441" s="1">
        <v>45293</v>
      </c>
      <c r="B441">
        <v>48.17</v>
      </c>
      <c r="C441">
        <v>108.54</v>
      </c>
      <c r="D441">
        <v>248.42</v>
      </c>
      <c r="E441">
        <v>592.20000000000005</v>
      </c>
      <c r="F441">
        <v>40.909999999999997</v>
      </c>
      <c r="G441" s="4"/>
      <c r="H441" s="10">
        <f t="shared" si="40"/>
        <v>-2.726171243941844E-2</v>
      </c>
      <c r="I441" s="10">
        <f t="shared" si="42"/>
        <v>-2.7680730986293867E-2</v>
      </c>
      <c r="J441" s="10">
        <f t="shared" si="43"/>
        <v>-2.4146812620740032E-4</v>
      </c>
      <c r="K441" s="10">
        <f t="shared" si="44"/>
        <v>1.5919851780690442E-2</v>
      </c>
      <c r="L441" s="10">
        <f t="shared" si="45"/>
        <v>-1.159700410727238E-2</v>
      </c>
      <c r="M441" s="10">
        <f t="shared" si="41"/>
        <v>-5.6605790982068305E-3</v>
      </c>
      <c r="N441" s="1"/>
      <c r="O441" s="2">
        <v>4742.83</v>
      </c>
      <c r="P441" s="12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spans="1:31" ht="15" thickBot="1" x14ac:dyDescent="0.35">
      <c r="A442" s="1">
        <v>45289</v>
      </c>
      <c r="B442">
        <v>49.52</v>
      </c>
      <c r="C442">
        <v>111.63</v>
      </c>
      <c r="D442">
        <v>248.48</v>
      </c>
      <c r="E442">
        <v>582.91999999999996</v>
      </c>
      <c r="F442">
        <v>41.39</v>
      </c>
      <c r="G442" s="4"/>
      <c r="H442" s="10">
        <f t="shared" si="40"/>
        <v>0</v>
      </c>
      <c r="I442" s="10">
        <f t="shared" si="42"/>
        <v>-5.4347826086956763E-3</v>
      </c>
      <c r="J442" s="10">
        <f t="shared" si="43"/>
        <v>-1.8563867604076245E-2</v>
      </c>
      <c r="K442" s="10">
        <f t="shared" si="44"/>
        <v>3.5637427907375674E-3</v>
      </c>
      <c r="L442" s="10">
        <f t="shared" si="45"/>
        <v>-7.434052757793852E-3</v>
      </c>
      <c r="M442" s="10">
        <f t="shared" si="41"/>
        <v>-2.8264709879060046E-3</v>
      </c>
      <c r="N442" s="1"/>
      <c r="O442" s="2">
        <v>4769.83</v>
      </c>
      <c r="P442" s="12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spans="1:31" ht="15" thickBot="1" x14ac:dyDescent="0.35">
      <c r="A443" s="1">
        <v>45288</v>
      </c>
      <c r="B443">
        <v>49.52</v>
      </c>
      <c r="C443">
        <v>112.24</v>
      </c>
      <c r="D443">
        <v>253.18</v>
      </c>
      <c r="E443">
        <v>580.85</v>
      </c>
      <c r="F443">
        <v>41.7</v>
      </c>
      <c r="G443" s="4"/>
      <c r="H443" s="10">
        <f t="shared" si="40"/>
        <v>2.0234722784298054E-3</v>
      </c>
      <c r="I443" s="10">
        <f t="shared" si="42"/>
        <v>-3.3741786538803442E-3</v>
      </c>
      <c r="J443" s="10">
        <f t="shared" si="43"/>
        <v>-3.1594247246022E-2</v>
      </c>
      <c r="K443" s="10">
        <f t="shared" si="44"/>
        <v>-1.1349761826967564E-3</v>
      </c>
      <c r="L443" s="10">
        <f t="shared" si="45"/>
        <v>-1.6045304388862647E-2</v>
      </c>
      <c r="M443" s="10">
        <f t="shared" si="41"/>
        <v>3.7017052940679918E-4</v>
      </c>
      <c r="N443" s="1"/>
      <c r="O443" s="2">
        <v>4783.3500000000004</v>
      </c>
      <c r="P443" s="12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spans="1:31" ht="15" thickBot="1" x14ac:dyDescent="0.35">
      <c r="A444" s="1">
        <v>45287</v>
      </c>
      <c r="B444">
        <v>49.42</v>
      </c>
      <c r="C444">
        <v>112.62</v>
      </c>
      <c r="D444">
        <v>261.44</v>
      </c>
      <c r="E444">
        <v>581.51</v>
      </c>
      <c r="F444">
        <v>42.38</v>
      </c>
      <c r="G444" s="4"/>
      <c r="H444" s="10">
        <f t="shared" si="40"/>
        <v>2.8409090909091717E-3</v>
      </c>
      <c r="I444" s="10">
        <f t="shared" si="42"/>
        <v>-5.0357805459845251E-3</v>
      </c>
      <c r="J444" s="10">
        <f t="shared" si="43"/>
        <v>1.8822337399166056E-2</v>
      </c>
      <c r="K444" s="10">
        <f t="shared" si="44"/>
        <v>1.8995216149438443E-2</v>
      </c>
      <c r="L444" s="10">
        <f t="shared" si="45"/>
        <v>1.1214507277499619E-2</v>
      </c>
      <c r="M444" s="10">
        <f t="shared" si="41"/>
        <v>1.430441384365766E-3</v>
      </c>
      <c r="N444" s="1"/>
      <c r="O444" s="2">
        <v>4781.58</v>
      </c>
      <c r="P444" s="12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spans="1:31" ht="15" thickBot="1" x14ac:dyDescent="0.35">
      <c r="A445" s="1">
        <v>45286</v>
      </c>
      <c r="B445">
        <v>49.28</v>
      </c>
      <c r="C445">
        <v>113.19</v>
      </c>
      <c r="D445">
        <v>256.61</v>
      </c>
      <c r="E445">
        <v>570.66999999999996</v>
      </c>
      <c r="F445">
        <v>41.91</v>
      </c>
      <c r="G445" s="4"/>
      <c r="H445" s="10">
        <f t="shared" si="40"/>
        <v>9.2156461191890138E-3</v>
      </c>
      <c r="I445" s="10">
        <f t="shared" si="42"/>
        <v>8.8235294117646745E-3</v>
      </c>
      <c r="J445" s="10">
        <f t="shared" si="43"/>
        <v>1.6116258810485506E-2</v>
      </c>
      <c r="K445" s="10">
        <f t="shared" si="44"/>
        <v>4.9089219656717198E-4</v>
      </c>
      <c r="L445" s="10">
        <f t="shared" si="45"/>
        <v>-3.566333808844635E-3</v>
      </c>
      <c r="M445" s="10">
        <f t="shared" si="41"/>
        <v>4.2316647141837915E-3</v>
      </c>
      <c r="N445" s="1"/>
      <c r="O445" s="2">
        <v>4774.75</v>
      </c>
      <c r="P445" s="12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spans="1:31" ht="15" thickBot="1" x14ac:dyDescent="0.35">
      <c r="A446" s="1">
        <v>45282</v>
      </c>
      <c r="B446">
        <v>48.83</v>
      </c>
      <c r="C446">
        <v>112.2</v>
      </c>
      <c r="D446">
        <v>252.54</v>
      </c>
      <c r="E446">
        <v>570.39</v>
      </c>
      <c r="F446">
        <v>42.06</v>
      </c>
      <c r="G446" s="4"/>
      <c r="H446" s="10">
        <f t="shared" si="40"/>
        <v>-3.2659726474791873E-3</v>
      </c>
      <c r="I446" s="10">
        <f t="shared" si="42"/>
        <v>-4.7014991572784659E-3</v>
      </c>
      <c r="J446" s="10">
        <f t="shared" si="43"/>
        <v>-7.701375245579567E-3</v>
      </c>
      <c r="K446" s="10">
        <f t="shared" si="44"/>
        <v>-2.8146853146853168E-3</v>
      </c>
      <c r="L446" s="10">
        <f t="shared" si="45"/>
        <v>1.520637219406229E-2</v>
      </c>
      <c r="M446" s="10">
        <f t="shared" si="41"/>
        <v>1.6600832148312428E-3</v>
      </c>
      <c r="N446" s="1"/>
      <c r="O446" s="2">
        <v>4754.63</v>
      </c>
      <c r="P446" s="12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spans="1:31" ht="15" thickBot="1" x14ac:dyDescent="0.35">
      <c r="A447" s="1">
        <v>45281</v>
      </c>
      <c r="B447">
        <v>48.99</v>
      </c>
      <c r="C447">
        <v>112.73</v>
      </c>
      <c r="D447">
        <v>254.5</v>
      </c>
      <c r="E447">
        <v>572</v>
      </c>
      <c r="F447">
        <v>41.43</v>
      </c>
      <c r="G447" s="4"/>
      <c r="H447" s="10">
        <f t="shared" si="40"/>
        <v>1.8291415506131781E-2</v>
      </c>
      <c r="I447" s="10">
        <f t="shared" si="42"/>
        <v>1.5219740634005774E-2</v>
      </c>
      <c r="J447" s="10">
        <f t="shared" si="43"/>
        <v>2.9780691106255697E-2</v>
      </c>
      <c r="K447" s="10">
        <f t="shared" si="44"/>
        <v>3.1391943319127869E-3</v>
      </c>
      <c r="L447" s="10">
        <f t="shared" si="45"/>
        <v>7.5389105058365491E-3</v>
      </c>
      <c r="M447" s="10">
        <f t="shared" si="41"/>
        <v>1.030148882054327E-2</v>
      </c>
      <c r="N447" s="1"/>
      <c r="O447" s="2">
        <v>4746.75</v>
      </c>
      <c r="P447" s="12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spans="1:31" ht="15" thickBot="1" x14ac:dyDescent="0.35">
      <c r="A448" s="1">
        <v>45280</v>
      </c>
      <c r="B448">
        <v>48.11</v>
      </c>
      <c r="C448">
        <v>111.04</v>
      </c>
      <c r="D448">
        <v>247.14</v>
      </c>
      <c r="E448">
        <v>570.21</v>
      </c>
      <c r="F448">
        <v>41.12</v>
      </c>
      <c r="G448" s="4"/>
      <c r="H448" s="10">
        <f t="shared" si="40"/>
        <v>-3.0040322580645151E-2</v>
      </c>
      <c r="I448" s="10">
        <f t="shared" si="42"/>
        <v>-2.5623025623025542E-2</v>
      </c>
      <c r="J448" s="10">
        <f t="shared" si="43"/>
        <v>-3.9188243526942057E-2</v>
      </c>
      <c r="K448" s="10">
        <f t="shared" si="44"/>
        <v>-1.6557148031251412E-2</v>
      </c>
      <c r="L448" s="10">
        <f t="shared" si="45"/>
        <v>-1.5561407708882147E-2</v>
      </c>
      <c r="M448" s="10">
        <f t="shared" si="41"/>
        <v>-1.4684263175886003E-2</v>
      </c>
      <c r="N448" s="1"/>
      <c r="O448" s="2">
        <v>4698.3500000000004</v>
      </c>
      <c r="P448" s="12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spans="1:31" ht="15" thickBot="1" x14ac:dyDescent="0.35">
      <c r="A449" s="1">
        <v>45279</v>
      </c>
      <c r="B449">
        <v>49.6</v>
      </c>
      <c r="C449">
        <v>113.96</v>
      </c>
      <c r="D449">
        <v>257.22000000000003</v>
      </c>
      <c r="E449">
        <v>579.80999999999995</v>
      </c>
      <c r="F449">
        <v>41.77</v>
      </c>
      <c r="G449" s="4"/>
      <c r="H449" s="10">
        <f t="shared" si="40"/>
        <v>-9.5846645367411165E-3</v>
      </c>
      <c r="I449" s="10">
        <f t="shared" si="42"/>
        <v>-6.4516129032259339E-3</v>
      </c>
      <c r="J449" s="10">
        <f t="shared" si="43"/>
        <v>2.0390352269120893E-2</v>
      </c>
      <c r="K449" s="10">
        <f t="shared" si="44"/>
        <v>8.6242583137829953E-5</v>
      </c>
      <c r="L449" s="10">
        <f t="shared" si="45"/>
        <v>1.6549038695546248E-2</v>
      </c>
      <c r="M449" s="10">
        <f t="shared" si="41"/>
        <v>5.8663955313296157E-3</v>
      </c>
      <c r="N449" s="1"/>
      <c r="O449" s="2">
        <v>4768.37</v>
      </c>
      <c r="P449" s="12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spans="1:31" ht="15" thickBot="1" x14ac:dyDescent="0.35">
      <c r="A450" s="1">
        <v>45278</v>
      </c>
      <c r="B450">
        <v>50.08</v>
      </c>
      <c r="C450">
        <v>114.7</v>
      </c>
      <c r="D450">
        <v>252.08</v>
      </c>
      <c r="E450">
        <v>579.76</v>
      </c>
      <c r="F450">
        <v>41.09</v>
      </c>
      <c r="G450" s="4"/>
      <c r="H450" s="10">
        <f t="shared" si="40"/>
        <v>2.4340355901002253E-2</v>
      </c>
      <c r="I450" s="10">
        <f t="shared" si="42"/>
        <v>1.5313800123926802E-2</v>
      </c>
      <c r="J450" s="10">
        <f t="shared" si="43"/>
        <v>-5.6015779092701834E-3</v>
      </c>
      <c r="K450" s="10">
        <f t="shared" si="44"/>
        <v>1.3495559751066422E-2</v>
      </c>
      <c r="L450" s="10">
        <f t="shared" si="45"/>
        <v>5.3829214582825635E-3</v>
      </c>
      <c r="M450" s="10">
        <f t="shared" si="41"/>
        <v>4.5283194785548098E-3</v>
      </c>
      <c r="N450" s="1"/>
      <c r="O450" s="2">
        <v>4740.5600000000004</v>
      </c>
      <c r="P450" s="12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spans="1:31" ht="15" thickBot="1" x14ac:dyDescent="0.35">
      <c r="A451" s="1">
        <v>45275</v>
      </c>
      <c r="B451">
        <v>48.89</v>
      </c>
      <c r="C451">
        <v>112.97</v>
      </c>
      <c r="D451">
        <v>253.5</v>
      </c>
      <c r="E451">
        <v>572.04</v>
      </c>
      <c r="F451">
        <v>40.869999999999997</v>
      </c>
      <c r="G451" s="4"/>
      <c r="H451" s="10">
        <f t="shared" si="40"/>
        <v>1.1168562564632945E-2</v>
      </c>
      <c r="I451" s="10">
        <f t="shared" si="42"/>
        <v>2.0967013104383092E-2</v>
      </c>
      <c r="J451" s="10">
        <f t="shared" si="43"/>
        <v>9.7590121489743442E-3</v>
      </c>
      <c r="K451" s="10">
        <f t="shared" si="44"/>
        <v>-2.8413547858524568E-3</v>
      </c>
      <c r="L451" s="10">
        <f t="shared" si="45"/>
        <v>-6.8043742405832219E-3</v>
      </c>
      <c r="M451" s="10">
        <f t="shared" si="41"/>
        <v>-7.6278458751466438E-5</v>
      </c>
      <c r="N451" s="1"/>
      <c r="O451" s="2">
        <v>4719.1899999999996</v>
      </c>
      <c r="P451" s="12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spans="1:31" ht="15" thickBot="1" x14ac:dyDescent="0.35">
      <c r="A452" s="1">
        <v>45274</v>
      </c>
      <c r="B452">
        <v>48.35</v>
      </c>
      <c r="C452">
        <v>110.65</v>
      </c>
      <c r="D452">
        <v>251.05</v>
      </c>
      <c r="E452">
        <v>573.66999999999996</v>
      </c>
      <c r="F452">
        <v>41.15</v>
      </c>
      <c r="G452" s="4"/>
      <c r="H452" s="10">
        <f t="shared" ref="H452:H515" si="46">(B452/B453)-1</f>
        <v>5.4065294239966644E-3</v>
      </c>
      <c r="I452" s="10">
        <f t="shared" si="42"/>
        <v>1.5417087271726304E-2</v>
      </c>
      <c r="J452" s="10">
        <f t="shared" si="43"/>
        <v>4.9145388440804183E-2</v>
      </c>
      <c r="K452" s="10">
        <f t="shared" si="44"/>
        <v>-3.9882845188284555E-2</v>
      </c>
      <c r="L452" s="10">
        <f t="shared" si="45"/>
        <v>2.8750000000000053E-2</v>
      </c>
      <c r="M452" s="10">
        <f t="shared" ref="M452:M515" si="47">(O452/O453)-1</f>
        <v>2.6470706954828671E-3</v>
      </c>
      <c r="N452" s="1"/>
      <c r="O452" s="2">
        <v>4719.55</v>
      </c>
      <c r="P452" s="12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spans="1:31" ht="15" thickBot="1" x14ac:dyDescent="0.35">
      <c r="A453" s="1">
        <v>45273</v>
      </c>
      <c r="B453">
        <v>48.09</v>
      </c>
      <c r="C453">
        <v>108.97</v>
      </c>
      <c r="D453">
        <v>239.29</v>
      </c>
      <c r="E453">
        <v>597.5</v>
      </c>
      <c r="F453">
        <v>40</v>
      </c>
      <c r="G453" s="4"/>
      <c r="H453" s="10">
        <f t="shared" si="46"/>
        <v>9.0222408728495296E-3</v>
      </c>
      <c r="I453" s="10">
        <f t="shared" si="42"/>
        <v>1.6226802200876467E-2</v>
      </c>
      <c r="J453" s="10">
        <f t="shared" si="43"/>
        <v>9.6198472638284738E-3</v>
      </c>
      <c r="K453" s="10">
        <f t="shared" si="44"/>
        <v>2.1786715917641475E-2</v>
      </c>
      <c r="L453" s="10">
        <f t="shared" si="45"/>
        <v>5.9041567381519666E-2</v>
      </c>
      <c r="M453" s="10">
        <f t="shared" si="47"/>
        <v>1.3650752632599072E-2</v>
      </c>
      <c r="N453" s="1"/>
      <c r="O453" s="2">
        <v>4707.09</v>
      </c>
      <c r="P453" s="12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spans="1:31" ht="15" thickBot="1" x14ac:dyDescent="0.35">
      <c r="A454" s="1">
        <v>45272</v>
      </c>
      <c r="B454">
        <v>47.66</v>
      </c>
      <c r="C454">
        <v>107.23</v>
      </c>
      <c r="D454">
        <v>237.01</v>
      </c>
      <c r="E454">
        <v>584.76</v>
      </c>
      <c r="F454">
        <v>37.770000000000003</v>
      </c>
      <c r="G454" s="4"/>
      <c r="H454" s="10">
        <f t="shared" si="46"/>
        <v>2.2088784044606458E-2</v>
      </c>
      <c r="I454" s="10">
        <f t="shared" si="42"/>
        <v>4.1877186164010816E-2</v>
      </c>
      <c r="J454" s="10">
        <f t="shared" si="43"/>
        <v>-1.1387336280971105E-2</v>
      </c>
      <c r="K454" s="10">
        <f t="shared" si="44"/>
        <v>1.2327922745019038E-3</v>
      </c>
      <c r="L454" s="10">
        <f t="shared" si="45"/>
        <v>-2.829945973758663E-2</v>
      </c>
      <c r="M454" s="10">
        <f t="shared" si="47"/>
        <v>4.599302532861449E-3</v>
      </c>
      <c r="N454" s="1"/>
      <c r="O454" s="2">
        <v>4643.7</v>
      </c>
      <c r="P454" s="12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spans="1:31" ht="15" thickBot="1" x14ac:dyDescent="0.35">
      <c r="A455" s="1">
        <v>45271</v>
      </c>
      <c r="B455">
        <v>46.63</v>
      </c>
      <c r="C455">
        <v>102.92</v>
      </c>
      <c r="D455">
        <v>239.74</v>
      </c>
      <c r="E455">
        <v>584.04</v>
      </c>
      <c r="F455">
        <v>38.869999999999997</v>
      </c>
      <c r="G455" s="4"/>
      <c r="H455" s="10">
        <f t="shared" si="46"/>
        <v>-1.8522416333403346E-2</v>
      </c>
      <c r="I455" s="10">
        <f t="shared" si="42"/>
        <v>8.990786826220476E-2</v>
      </c>
      <c r="J455" s="10">
        <f t="shared" si="43"/>
        <v>-1.6814304461942209E-2</v>
      </c>
      <c r="K455" s="10">
        <f t="shared" si="44"/>
        <v>-2.342613493855028E-2</v>
      </c>
      <c r="L455" s="10">
        <f t="shared" si="45"/>
        <v>-5.3735926305015225E-3</v>
      </c>
      <c r="M455" s="10">
        <f t="shared" si="47"/>
        <v>3.9245325636296791E-3</v>
      </c>
      <c r="N455" s="1"/>
      <c r="O455" s="2">
        <v>4622.4399999999996</v>
      </c>
      <c r="P455" s="12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spans="1:31" ht="15" thickBot="1" x14ac:dyDescent="0.35">
      <c r="A456" s="1">
        <v>45268</v>
      </c>
      <c r="B456">
        <v>47.51</v>
      </c>
      <c r="C456">
        <v>94.43</v>
      </c>
      <c r="D456">
        <v>243.84</v>
      </c>
      <c r="E456">
        <v>598.04999999999995</v>
      </c>
      <c r="F456">
        <v>39.08</v>
      </c>
      <c r="G456" s="4"/>
      <c r="H456" s="10">
        <f t="shared" si="46"/>
        <v>1.9527896995708005E-2</v>
      </c>
      <c r="I456" s="10">
        <f t="shared" si="42"/>
        <v>2.3853409953377369E-2</v>
      </c>
      <c r="J456" s="10">
        <f t="shared" si="43"/>
        <v>4.9455984174084922E-3</v>
      </c>
      <c r="K456" s="10">
        <f t="shared" si="44"/>
        <v>1.6625019123871709E-2</v>
      </c>
      <c r="L456" s="10">
        <f t="shared" si="45"/>
        <v>-1.6360432922224999E-2</v>
      </c>
      <c r="M456" s="10">
        <f t="shared" si="47"/>
        <v>4.0954381006588214E-3</v>
      </c>
      <c r="N456" s="1"/>
      <c r="O456" s="2">
        <v>4604.37</v>
      </c>
      <c r="P456" s="12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spans="1:31" ht="15" thickBot="1" x14ac:dyDescent="0.35">
      <c r="A457" s="1">
        <v>45267</v>
      </c>
      <c r="B457">
        <v>46.6</v>
      </c>
      <c r="C457">
        <v>92.23</v>
      </c>
      <c r="D457">
        <v>242.64</v>
      </c>
      <c r="E457">
        <v>588.27</v>
      </c>
      <c r="F457">
        <v>39.729999999999997</v>
      </c>
      <c r="G457" s="4"/>
      <c r="H457" s="10">
        <f t="shared" si="46"/>
        <v>2.4175824175824312E-2</v>
      </c>
      <c r="I457" s="10">
        <f t="shared" si="42"/>
        <v>2.0694997786631308E-2</v>
      </c>
      <c r="J457" s="10">
        <f t="shared" si="43"/>
        <v>1.366085975686171E-2</v>
      </c>
      <c r="K457" s="10">
        <f t="shared" si="44"/>
        <v>-1.66313109885452E-3</v>
      </c>
      <c r="L457" s="10">
        <f t="shared" si="45"/>
        <v>1.0078105316200237E-3</v>
      </c>
      <c r="M457" s="10">
        <f t="shared" si="47"/>
        <v>7.9681887922204986E-3</v>
      </c>
      <c r="N457" s="1"/>
      <c r="O457" s="2">
        <v>4585.59</v>
      </c>
      <c r="P457" s="12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spans="1:31" ht="15" thickBot="1" x14ac:dyDescent="0.35">
      <c r="A458" s="1">
        <v>45266</v>
      </c>
      <c r="B458">
        <v>45.5</v>
      </c>
      <c r="C458">
        <v>90.36</v>
      </c>
      <c r="D458">
        <v>239.37</v>
      </c>
      <c r="E458">
        <v>589.25</v>
      </c>
      <c r="F458">
        <v>39.69</v>
      </c>
      <c r="G458" s="4"/>
      <c r="H458" s="10">
        <f t="shared" si="46"/>
        <v>-2.2976164913034114E-2</v>
      </c>
      <c r="I458" s="10">
        <f t="shared" si="42"/>
        <v>-1.0404117840324245E-2</v>
      </c>
      <c r="J458" s="10">
        <f t="shared" si="43"/>
        <v>2.7228552278819596E-3</v>
      </c>
      <c r="K458" s="10">
        <f t="shared" si="44"/>
        <v>1.8702711893225921E-3</v>
      </c>
      <c r="L458" s="10">
        <f t="shared" si="45"/>
        <v>-5.0137879167712063E-3</v>
      </c>
      <c r="M458" s="10">
        <f t="shared" si="47"/>
        <v>-3.9061302598102365E-3</v>
      </c>
      <c r="N458" s="1"/>
      <c r="O458" s="2">
        <v>4549.34</v>
      </c>
      <c r="P458" s="12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spans="1:31" ht="15" thickBot="1" x14ac:dyDescent="0.35">
      <c r="A459" s="1">
        <v>45265</v>
      </c>
      <c r="B459">
        <v>46.57</v>
      </c>
      <c r="C459">
        <v>91.31</v>
      </c>
      <c r="D459">
        <v>238.72</v>
      </c>
      <c r="E459">
        <v>588.15</v>
      </c>
      <c r="F459">
        <v>39.89</v>
      </c>
      <c r="G459" s="4"/>
      <c r="H459" s="10">
        <f t="shared" si="46"/>
        <v>2.3291584267194132E-2</v>
      </c>
      <c r="I459" s="10">
        <f t="shared" si="42"/>
        <v>-1.1796536796536805E-2</v>
      </c>
      <c r="J459" s="10">
        <f t="shared" si="43"/>
        <v>1.3328805501315877E-2</v>
      </c>
      <c r="K459" s="10">
        <f t="shared" si="44"/>
        <v>4.2173200382462639E-3</v>
      </c>
      <c r="L459" s="10">
        <f t="shared" si="45"/>
        <v>-1.6033547113961433E-2</v>
      </c>
      <c r="M459" s="10">
        <f t="shared" si="47"/>
        <v>-5.6895517946142782E-4</v>
      </c>
      <c r="N459" s="1"/>
      <c r="O459" s="2">
        <v>4567.18</v>
      </c>
      <c r="P459" s="12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spans="1:31" ht="15" thickBot="1" x14ac:dyDescent="0.35">
      <c r="A460" s="1">
        <v>45264</v>
      </c>
      <c r="B460">
        <v>45.51</v>
      </c>
      <c r="C460">
        <v>92.4</v>
      </c>
      <c r="D460">
        <v>235.58</v>
      </c>
      <c r="E460">
        <v>585.67999999999995</v>
      </c>
      <c r="F460">
        <v>40.54</v>
      </c>
      <c r="G460" s="4"/>
      <c r="H460" s="10">
        <f t="shared" si="46"/>
        <v>-2.6732249786141971E-2</v>
      </c>
      <c r="I460" s="10">
        <f t="shared" si="42"/>
        <v>-6.4516129032257119E-3</v>
      </c>
      <c r="J460" s="10">
        <f t="shared" si="43"/>
        <v>-1.3608005694426994E-2</v>
      </c>
      <c r="K460" s="10">
        <f t="shared" si="44"/>
        <v>2.8080268474761638E-3</v>
      </c>
      <c r="L460" s="10">
        <f t="shared" si="45"/>
        <v>-1.6019417475728215E-2</v>
      </c>
      <c r="M460" s="10">
        <f t="shared" si="47"/>
        <v>-5.4084877345945692E-3</v>
      </c>
      <c r="N460" s="1"/>
      <c r="O460" s="2">
        <v>4569.78</v>
      </c>
      <c r="P460" s="12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spans="1:31" ht="15" thickBot="1" x14ac:dyDescent="0.35">
      <c r="A461" s="1">
        <v>45261</v>
      </c>
      <c r="B461">
        <v>46.76</v>
      </c>
      <c r="C461">
        <v>93</v>
      </c>
      <c r="D461">
        <v>238.83</v>
      </c>
      <c r="E461">
        <v>584.04</v>
      </c>
      <c r="F461">
        <v>41.2</v>
      </c>
      <c r="G461" s="4"/>
      <c r="H461" s="10">
        <f t="shared" si="46"/>
        <v>-2.1381227282457616E-4</v>
      </c>
      <c r="I461" s="10">
        <f t="shared" si="42"/>
        <v>4.6451334125527932E-3</v>
      </c>
      <c r="J461" s="10">
        <f t="shared" si="43"/>
        <v>-5.2065978007330704E-3</v>
      </c>
      <c r="K461" s="10">
        <f t="shared" si="44"/>
        <v>-1.1843530048727624E-2</v>
      </c>
      <c r="L461" s="10">
        <f t="shared" si="45"/>
        <v>2.5130629509828362E-2</v>
      </c>
      <c r="M461" s="10">
        <f t="shared" si="47"/>
        <v>5.873724769035471E-3</v>
      </c>
      <c r="N461" s="1"/>
      <c r="O461" s="2">
        <v>4594.63</v>
      </c>
      <c r="P461" s="12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spans="1:31" ht="15" thickBot="1" x14ac:dyDescent="0.35">
      <c r="A462" s="1">
        <v>45260</v>
      </c>
      <c r="B462">
        <v>46.77</v>
      </c>
      <c r="C462">
        <v>92.57</v>
      </c>
      <c r="D462">
        <v>240.08</v>
      </c>
      <c r="E462">
        <v>591.04</v>
      </c>
      <c r="F462">
        <v>40.19</v>
      </c>
      <c r="G462" s="4"/>
      <c r="H462" s="10">
        <f t="shared" si="46"/>
        <v>-2.8458662235147481E-2</v>
      </c>
      <c r="I462" s="10">
        <f t="shared" si="42"/>
        <v>-1.6050170068027225E-2</v>
      </c>
      <c r="J462" s="10">
        <f t="shared" si="43"/>
        <v>-1.6629802572294516E-2</v>
      </c>
      <c r="K462" s="10">
        <f t="shared" si="44"/>
        <v>-1.385462778359825E-3</v>
      </c>
      <c r="L462" s="10">
        <f t="shared" si="45"/>
        <v>-4.7052996532938041E-3</v>
      </c>
      <c r="M462" s="10">
        <f t="shared" si="47"/>
        <v>3.7841330116161753E-3</v>
      </c>
      <c r="N462" s="1"/>
      <c r="O462" s="2">
        <v>4567.8</v>
      </c>
      <c r="P462" s="12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spans="1:31" ht="15" thickBot="1" x14ac:dyDescent="0.35">
      <c r="A463" s="1">
        <v>45259</v>
      </c>
      <c r="B463">
        <v>48.14</v>
      </c>
      <c r="C463">
        <v>94.08</v>
      </c>
      <c r="D463">
        <v>244.14</v>
      </c>
      <c r="E463">
        <v>591.86</v>
      </c>
      <c r="F463">
        <v>40.380000000000003</v>
      </c>
      <c r="G463" s="4"/>
      <c r="H463" s="10">
        <f t="shared" si="46"/>
        <v>6.6917607695524683E-3</v>
      </c>
      <c r="I463" s="10">
        <f t="shared" si="42"/>
        <v>-5.9171597633136397E-3</v>
      </c>
      <c r="J463" s="10">
        <f t="shared" si="43"/>
        <v>-1.045719844357984E-2</v>
      </c>
      <c r="K463" s="10">
        <f t="shared" si="44"/>
        <v>4.3948613928335156E-4</v>
      </c>
      <c r="L463" s="10">
        <f t="shared" si="45"/>
        <v>-4.6832634951934349E-3</v>
      </c>
      <c r="M463" s="10">
        <f t="shared" si="47"/>
        <v>-9.4623580371877569E-4</v>
      </c>
      <c r="N463" s="1"/>
      <c r="O463" s="2">
        <v>4550.58</v>
      </c>
      <c r="P463" s="12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spans="1:31" ht="15" thickBot="1" x14ac:dyDescent="0.35">
      <c r="A464" s="1">
        <v>45258</v>
      </c>
      <c r="B464">
        <v>47.82</v>
      </c>
      <c r="C464">
        <v>94.64</v>
      </c>
      <c r="D464">
        <v>246.72</v>
      </c>
      <c r="E464">
        <v>591.6</v>
      </c>
      <c r="F464">
        <v>40.57</v>
      </c>
      <c r="G464" s="4"/>
      <c r="H464" s="10">
        <f t="shared" si="46"/>
        <v>-8.7064676616915859E-3</v>
      </c>
      <c r="I464" s="10">
        <f t="shared" si="42"/>
        <v>-3.9991580719848097E-3</v>
      </c>
      <c r="J464" s="10">
        <f t="shared" si="43"/>
        <v>4.5069467976956989E-2</v>
      </c>
      <c r="K464" s="10">
        <f t="shared" si="44"/>
        <v>1.1833719337994708E-4</v>
      </c>
      <c r="L464" s="10">
        <f t="shared" si="45"/>
        <v>6.2598218962807817E-2</v>
      </c>
      <c r="M464" s="10">
        <f t="shared" si="47"/>
        <v>9.801271528184774E-4</v>
      </c>
      <c r="N464" s="1"/>
      <c r="O464" s="2">
        <v>4554.8900000000003</v>
      </c>
      <c r="P464" s="12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spans="1:31" ht="15" thickBot="1" x14ac:dyDescent="0.35">
      <c r="A465" s="1">
        <v>45257</v>
      </c>
      <c r="B465">
        <v>48.24</v>
      </c>
      <c r="C465">
        <v>95.02</v>
      </c>
      <c r="D465">
        <v>236.08</v>
      </c>
      <c r="E465">
        <v>591.53</v>
      </c>
      <c r="F465">
        <v>38.18</v>
      </c>
      <c r="G465" s="4"/>
      <c r="H465" s="10">
        <f t="shared" si="46"/>
        <v>9.6274591879448312E-3</v>
      </c>
      <c r="I465" s="10">
        <f t="shared" si="42"/>
        <v>-2.931862294412102E-2</v>
      </c>
      <c r="J465" s="10">
        <f t="shared" si="43"/>
        <v>2.6757273306434737E-3</v>
      </c>
      <c r="K465" s="10">
        <f t="shared" si="44"/>
        <v>-1.5920811844950977E-2</v>
      </c>
      <c r="L465" s="10">
        <f t="shared" si="45"/>
        <v>1.5695663740356469E-2</v>
      </c>
      <c r="M465" s="10">
        <f t="shared" si="47"/>
        <v>-1.9542302175314941E-3</v>
      </c>
      <c r="N465" s="1"/>
      <c r="O465" s="2">
        <v>4550.43</v>
      </c>
      <c r="P465" s="12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spans="1:31" ht="15" thickBot="1" x14ac:dyDescent="0.35">
      <c r="A466" s="1">
        <v>45254</v>
      </c>
      <c r="B466">
        <v>47.78</v>
      </c>
      <c r="C466">
        <v>97.89</v>
      </c>
      <c r="D466">
        <v>235.45</v>
      </c>
      <c r="E466">
        <v>601.1</v>
      </c>
      <c r="F466">
        <v>37.590000000000003</v>
      </c>
      <c r="G466" s="4"/>
      <c r="H466" s="10">
        <f t="shared" si="46"/>
        <v>-1.9293924466338264E-2</v>
      </c>
      <c r="I466" s="10">
        <f t="shared" si="42"/>
        <v>7.0987654320986415E-3</v>
      </c>
      <c r="J466" s="10">
        <f t="shared" si="43"/>
        <v>5.2943939199863177E-3</v>
      </c>
      <c r="K466" s="10">
        <f t="shared" si="44"/>
        <v>1.0099312709001884E-2</v>
      </c>
      <c r="L466" s="10">
        <f t="shared" si="45"/>
        <v>-2.6532236667549114E-3</v>
      </c>
      <c r="M466" s="10">
        <f t="shared" si="47"/>
        <v>5.9693369207880487E-4</v>
      </c>
      <c r="N466" s="1"/>
      <c r="O466" s="2">
        <v>4559.34</v>
      </c>
      <c r="P466" s="12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spans="1:31" ht="15" thickBot="1" x14ac:dyDescent="0.35">
      <c r="A467" s="1">
        <v>45252</v>
      </c>
      <c r="B467">
        <v>48.72</v>
      </c>
      <c r="C467">
        <v>97.2</v>
      </c>
      <c r="D467">
        <v>234.21</v>
      </c>
      <c r="E467">
        <v>595.09</v>
      </c>
      <c r="F467">
        <v>37.69</v>
      </c>
      <c r="G467" s="4"/>
      <c r="H467" s="10">
        <f t="shared" si="46"/>
        <v>-2.4429315178213784E-2</v>
      </c>
      <c r="I467" s="10">
        <f t="shared" ref="I467:I530" si="48">(C467/C468)-1</f>
        <v>-9.3762739502649683E-3</v>
      </c>
      <c r="J467" s="10">
        <f t="shared" ref="J467:J530" si="49">(D467/D468)-1</f>
        <v>-2.8980099502487477E-2</v>
      </c>
      <c r="K467" s="10">
        <f t="shared" ref="K467:K530" si="50">(E467/E468)-1</f>
        <v>4.2018224772191193E-3</v>
      </c>
      <c r="L467" s="10">
        <f t="shared" ref="L467:L530" si="51">(F467/F468)-1</f>
        <v>7.2153928380545018E-3</v>
      </c>
      <c r="M467" s="10">
        <f t="shared" si="47"/>
        <v>4.0610904347329058E-3</v>
      </c>
      <c r="N467" s="1"/>
      <c r="O467" s="2">
        <v>4556.62</v>
      </c>
      <c r="P467" s="12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spans="1:31" ht="15" thickBot="1" x14ac:dyDescent="0.35">
      <c r="A468" s="1">
        <v>45251</v>
      </c>
      <c r="B468">
        <v>49.94</v>
      </c>
      <c r="C468">
        <v>98.12</v>
      </c>
      <c r="D468">
        <v>241.2</v>
      </c>
      <c r="E468">
        <v>592.6</v>
      </c>
      <c r="F468">
        <v>37.42</v>
      </c>
      <c r="G468" s="4"/>
      <c r="H468" s="10">
        <f t="shared" si="46"/>
        <v>-9.3235469152945782E-3</v>
      </c>
      <c r="I468" s="10">
        <f t="shared" si="48"/>
        <v>-1.456261926283009E-2</v>
      </c>
      <c r="J468" s="10">
        <f t="shared" si="49"/>
        <v>2.3769100169779289E-2</v>
      </c>
      <c r="K468" s="10">
        <f t="shared" si="50"/>
        <v>-8.3668005354752273E-3</v>
      </c>
      <c r="L468" s="10">
        <f t="shared" si="51"/>
        <v>2.3522975929978207E-2</v>
      </c>
      <c r="M468" s="10">
        <f t="shared" si="47"/>
        <v>-2.020943928152108E-3</v>
      </c>
      <c r="N468" s="1"/>
      <c r="O468" s="2">
        <v>4538.1899999999996</v>
      </c>
      <c r="P468" s="12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spans="1:31" ht="15" thickBot="1" x14ac:dyDescent="0.35">
      <c r="A469" s="1">
        <v>45250</v>
      </c>
      <c r="B469">
        <v>50.41</v>
      </c>
      <c r="C469">
        <v>99.57</v>
      </c>
      <c r="D469">
        <v>235.6</v>
      </c>
      <c r="E469">
        <v>597.6</v>
      </c>
      <c r="F469">
        <v>36.56</v>
      </c>
      <c r="G469" s="4"/>
      <c r="H469" s="10">
        <f t="shared" si="46"/>
        <v>2.2515212981744304E-2</v>
      </c>
      <c r="I469" s="10">
        <f t="shared" si="48"/>
        <v>1.8410555385087513E-2</v>
      </c>
      <c r="J469" s="10">
        <f t="shared" si="49"/>
        <v>5.5484421681604168E-3</v>
      </c>
      <c r="K469" s="10">
        <f t="shared" si="50"/>
        <v>9.9542005374253506E-3</v>
      </c>
      <c r="L469" s="10">
        <f t="shared" si="51"/>
        <v>5.7771664374139942E-3</v>
      </c>
      <c r="M469" s="10">
        <f t="shared" si="47"/>
        <v>7.3903084168878141E-3</v>
      </c>
      <c r="N469" s="1"/>
      <c r="O469" s="2">
        <v>4547.38</v>
      </c>
      <c r="P469" s="12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spans="1:31" ht="15" thickBot="1" x14ac:dyDescent="0.35">
      <c r="A470" s="1">
        <v>45247</v>
      </c>
      <c r="B470">
        <v>49.3</v>
      </c>
      <c r="C470">
        <v>97.77</v>
      </c>
      <c r="D470">
        <v>234.3</v>
      </c>
      <c r="E470">
        <v>591.71</v>
      </c>
      <c r="F470">
        <v>36.35</v>
      </c>
      <c r="G470" s="4"/>
      <c r="H470" s="10">
        <f t="shared" si="46"/>
        <v>-3.637833468067897E-3</v>
      </c>
      <c r="I470" s="10">
        <f t="shared" si="48"/>
        <v>1.8862025844101682E-2</v>
      </c>
      <c r="J470" s="10">
        <f t="shared" si="49"/>
        <v>3.0395136778116338E-3</v>
      </c>
      <c r="K470" s="10">
        <f t="shared" si="50"/>
        <v>5.027600849256908E-3</v>
      </c>
      <c r="L470" s="10">
        <f t="shared" si="51"/>
        <v>-5.7439824945295648E-3</v>
      </c>
      <c r="M470" s="10">
        <f t="shared" si="47"/>
        <v>1.2820967827800178E-3</v>
      </c>
      <c r="N470" s="1"/>
      <c r="O470" s="2">
        <v>4514.0200000000004</v>
      </c>
      <c r="P470" s="12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spans="1:31" ht="15" thickBot="1" x14ac:dyDescent="0.35">
      <c r="A471" s="1">
        <v>45246</v>
      </c>
      <c r="B471">
        <v>49.48</v>
      </c>
      <c r="C471">
        <v>95.96</v>
      </c>
      <c r="D471">
        <v>233.59</v>
      </c>
      <c r="E471">
        <v>588.75</v>
      </c>
      <c r="F471">
        <v>36.56</v>
      </c>
      <c r="G471" s="4"/>
      <c r="H471" s="10">
        <f t="shared" si="46"/>
        <v>1.2067907547555601E-2</v>
      </c>
      <c r="I471" s="10">
        <f t="shared" si="48"/>
        <v>-1.6198482673774994E-2</v>
      </c>
      <c r="J471" s="10">
        <f t="shared" si="49"/>
        <v>-3.8090924065228182E-2</v>
      </c>
      <c r="K471" s="10">
        <f t="shared" si="50"/>
        <v>3.5681516974217509E-4</v>
      </c>
      <c r="L471" s="10">
        <f t="shared" si="51"/>
        <v>5.2240857849876754E-3</v>
      </c>
      <c r="M471" s="10">
        <f t="shared" si="47"/>
        <v>1.1903492875668942E-3</v>
      </c>
      <c r="N471" s="1"/>
      <c r="O471" s="2">
        <v>4508.24</v>
      </c>
      <c r="P471" s="12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spans="1:31" ht="15" thickBot="1" x14ac:dyDescent="0.35">
      <c r="A472" s="1">
        <v>45245</v>
      </c>
      <c r="B472">
        <v>48.89</v>
      </c>
      <c r="C472">
        <v>97.54</v>
      </c>
      <c r="D472">
        <v>242.84</v>
      </c>
      <c r="E472">
        <v>588.54</v>
      </c>
      <c r="F472">
        <v>36.369999999999997</v>
      </c>
      <c r="G472" s="4"/>
      <c r="H472" s="10">
        <f t="shared" si="46"/>
        <v>-1.5505436971405495E-2</v>
      </c>
      <c r="I472" s="10">
        <f t="shared" si="48"/>
        <v>2.4665981500515688E-3</v>
      </c>
      <c r="J472" s="10">
        <f t="shared" si="49"/>
        <v>2.2871825112674271E-2</v>
      </c>
      <c r="K472" s="10">
        <f t="shared" si="50"/>
        <v>-3.6475557447365969E-2</v>
      </c>
      <c r="L472" s="10">
        <f t="shared" si="51"/>
        <v>7.75838182321964E-3</v>
      </c>
      <c r="M472" s="10">
        <f t="shared" si="47"/>
        <v>1.597081655804411E-3</v>
      </c>
      <c r="N472" s="1"/>
      <c r="O472" s="2">
        <v>4502.88</v>
      </c>
      <c r="P472" s="12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spans="1:31" ht="15" thickBot="1" x14ac:dyDescent="0.35">
      <c r="A473" s="1">
        <v>45244</v>
      </c>
      <c r="B473">
        <v>49.66</v>
      </c>
      <c r="C473">
        <v>97.3</v>
      </c>
      <c r="D473">
        <v>237.41</v>
      </c>
      <c r="E473">
        <v>610.82000000000005</v>
      </c>
      <c r="F473">
        <v>36.090000000000003</v>
      </c>
      <c r="G473" s="4"/>
      <c r="H473" s="10">
        <f t="shared" si="46"/>
        <v>2.1390374331550888E-2</v>
      </c>
      <c r="I473" s="10">
        <f t="shared" si="48"/>
        <v>2.7563628683071162E-2</v>
      </c>
      <c r="J473" s="10">
        <f t="shared" si="49"/>
        <v>6.1239998211970903E-2</v>
      </c>
      <c r="K473" s="10">
        <f t="shared" si="50"/>
        <v>-3.0846566891351568E-3</v>
      </c>
      <c r="L473" s="10">
        <f t="shared" si="51"/>
        <v>5.5263157894736903E-2</v>
      </c>
      <c r="M473" s="10">
        <f t="shared" si="47"/>
        <v>1.9074928313177919E-2</v>
      </c>
      <c r="N473" s="1"/>
      <c r="O473" s="2">
        <v>4495.7</v>
      </c>
      <c r="P473" s="12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spans="1:31" ht="15" thickBot="1" x14ac:dyDescent="0.35">
      <c r="A474" s="1">
        <v>45243</v>
      </c>
      <c r="B474">
        <v>48.62</v>
      </c>
      <c r="C474">
        <v>94.69</v>
      </c>
      <c r="D474">
        <v>223.71</v>
      </c>
      <c r="E474">
        <v>612.71</v>
      </c>
      <c r="F474">
        <v>34.200000000000003</v>
      </c>
      <c r="G474" s="4"/>
      <c r="H474" s="10">
        <f t="shared" si="46"/>
        <v>6.0004138216429581E-3</v>
      </c>
      <c r="I474" s="10">
        <f t="shared" si="48"/>
        <v>-1.1070496083550929E-2</v>
      </c>
      <c r="J474" s="10">
        <f t="shared" si="49"/>
        <v>4.2208245981830927E-2</v>
      </c>
      <c r="K474" s="10">
        <f t="shared" si="50"/>
        <v>2.5095782235532216E-2</v>
      </c>
      <c r="L474" s="10">
        <f t="shared" si="51"/>
        <v>0</v>
      </c>
      <c r="M474" s="10">
        <f t="shared" si="47"/>
        <v>-8.3574165843747217E-4</v>
      </c>
      <c r="N474" s="1"/>
      <c r="O474" s="2">
        <v>4411.55</v>
      </c>
      <c r="P474" s="12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spans="1:31" ht="15" thickBot="1" x14ac:dyDescent="0.35">
      <c r="A475" s="1">
        <v>45240</v>
      </c>
      <c r="B475">
        <v>48.33</v>
      </c>
      <c r="C475">
        <v>95.75</v>
      </c>
      <c r="D475">
        <v>214.65</v>
      </c>
      <c r="E475">
        <v>597.71</v>
      </c>
      <c r="F475">
        <v>34.200000000000003</v>
      </c>
      <c r="G475" s="4"/>
      <c r="H475" s="10">
        <f t="shared" si="46"/>
        <v>2.9392971246006372E-2</v>
      </c>
      <c r="I475" s="10">
        <f t="shared" si="48"/>
        <v>5.0581522931753442E-2</v>
      </c>
      <c r="J475" s="10">
        <f t="shared" si="49"/>
        <v>2.2240213353652782E-2</v>
      </c>
      <c r="K475" s="10">
        <f t="shared" si="50"/>
        <v>1.0806331597104757E-2</v>
      </c>
      <c r="L475" s="10">
        <f t="shared" si="51"/>
        <v>7.3637702503681624E-3</v>
      </c>
      <c r="M475" s="10">
        <f t="shared" si="47"/>
        <v>1.5616409996894509E-2</v>
      </c>
      <c r="N475" s="1"/>
      <c r="O475" s="2">
        <v>4415.24</v>
      </c>
      <c r="P475" s="12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spans="1:31" ht="15" thickBot="1" x14ac:dyDescent="0.35">
      <c r="A476" s="1">
        <v>45239</v>
      </c>
      <c r="B476">
        <v>46.95</v>
      </c>
      <c r="C476">
        <v>91.14</v>
      </c>
      <c r="D476">
        <v>209.98</v>
      </c>
      <c r="E476">
        <v>591.32000000000005</v>
      </c>
      <c r="F476">
        <v>33.950000000000003</v>
      </c>
      <c r="G476" s="4"/>
      <c r="H476" s="10">
        <f t="shared" si="46"/>
        <v>8.1597595018252367E-3</v>
      </c>
      <c r="I476" s="10">
        <f t="shared" si="48"/>
        <v>3.2927230819890241E-4</v>
      </c>
      <c r="J476" s="10">
        <f t="shared" si="49"/>
        <v>-5.4612579352573132E-2</v>
      </c>
      <c r="K476" s="10">
        <f t="shared" si="50"/>
        <v>-4.4917868622098678E-2</v>
      </c>
      <c r="L476" s="10">
        <f t="shared" si="51"/>
        <v>-2.3864289821736606E-2</v>
      </c>
      <c r="M476" s="10">
        <f t="shared" si="47"/>
        <v>-8.0839102122395312E-3</v>
      </c>
      <c r="N476" s="1"/>
      <c r="O476" s="2">
        <v>4347.3500000000004</v>
      </c>
      <c r="P476" s="12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spans="1:31" ht="15" thickBot="1" x14ac:dyDescent="0.35">
      <c r="A477" s="1">
        <v>45238</v>
      </c>
      <c r="B477">
        <v>46.57</v>
      </c>
      <c r="C477">
        <v>91.11</v>
      </c>
      <c r="D477">
        <v>222.11</v>
      </c>
      <c r="E477">
        <v>619.13</v>
      </c>
      <c r="F477">
        <v>34.78</v>
      </c>
      <c r="G477" s="4"/>
      <c r="H477" s="10">
        <f t="shared" si="46"/>
        <v>1.3272410791993039E-2</v>
      </c>
      <c r="I477" s="10">
        <f t="shared" si="48"/>
        <v>1.4813989752728851E-2</v>
      </c>
      <c r="J477" s="10">
        <f t="shared" si="49"/>
        <v>-3.1505986137358999E-4</v>
      </c>
      <c r="K477" s="10">
        <f t="shared" si="50"/>
        <v>3.2003733768939835E-2</v>
      </c>
      <c r="L477" s="10">
        <f t="shared" si="51"/>
        <v>-5.1282051282051211E-2</v>
      </c>
      <c r="M477" s="10">
        <f t="shared" si="47"/>
        <v>1.0049378994057001E-3</v>
      </c>
      <c r="N477" s="1"/>
      <c r="O477" s="2">
        <v>4382.78</v>
      </c>
      <c r="P477" s="12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spans="1:31" ht="15" thickBot="1" x14ac:dyDescent="0.35">
      <c r="A478" s="1">
        <v>45237</v>
      </c>
      <c r="B478">
        <v>45.96</v>
      </c>
      <c r="C478">
        <v>89.78</v>
      </c>
      <c r="D478">
        <v>222.18</v>
      </c>
      <c r="E478">
        <v>599.92999999999995</v>
      </c>
      <c r="F478">
        <v>36.659999999999997</v>
      </c>
      <c r="G478" s="4"/>
      <c r="H478" s="10">
        <f t="shared" si="46"/>
        <v>4.5901639344263501E-3</v>
      </c>
      <c r="I478" s="10">
        <f t="shared" si="48"/>
        <v>1.9300635785649334E-2</v>
      </c>
      <c r="J478" s="10">
        <f t="shared" si="49"/>
        <v>1.3271309344643489E-2</v>
      </c>
      <c r="K478" s="10">
        <f t="shared" si="50"/>
        <v>7.9638434785529455E-3</v>
      </c>
      <c r="L478" s="10">
        <f t="shared" si="51"/>
        <v>-3.2206969376980088E-2</v>
      </c>
      <c r="M478" s="10">
        <f t="shared" si="47"/>
        <v>2.8401412741241305E-3</v>
      </c>
      <c r="N478" s="1"/>
      <c r="O478" s="2">
        <v>4378.38</v>
      </c>
      <c r="P478" s="12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spans="1:31" ht="15" thickBot="1" x14ac:dyDescent="0.35">
      <c r="A479" s="1">
        <v>45236</v>
      </c>
      <c r="B479">
        <v>45.75</v>
      </c>
      <c r="C479">
        <v>88.08</v>
      </c>
      <c r="D479">
        <v>219.27</v>
      </c>
      <c r="E479">
        <v>595.19000000000005</v>
      </c>
      <c r="F479">
        <v>37.880000000000003</v>
      </c>
      <c r="G479" s="4"/>
      <c r="H479" s="10">
        <f t="shared" si="46"/>
        <v>1.6440790935347671E-2</v>
      </c>
      <c r="I479" s="10">
        <f t="shared" si="48"/>
        <v>-2.1524866885691551E-3</v>
      </c>
      <c r="J479" s="10">
        <f t="shared" si="49"/>
        <v>-3.1369339879978586E-3</v>
      </c>
      <c r="K479" s="10">
        <f t="shared" si="50"/>
        <v>4.8220355400574233E-2</v>
      </c>
      <c r="L479" s="10">
        <f t="shared" si="51"/>
        <v>-2.9215786776012331E-2</v>
      </c>
      <c r="M479" s="10">
        <f t="shared" si="47"/>
        <v>1.7529609897344312E-3</v>
      </c>
      <c r="N479" s="1"/>
      <c r="O479" s="2">
        <v>4365.9799999999996</v>
      </c>
      <c r="P479" s="12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spans="1:31" ht="15" thickBot="1" x14ac:dyDescent="0.35">
      <c r="A480" s="1">
        <v>45233</v>
      </c>
      <c r="B480">
        <v>45.01</v>
      </c>
      <c r="C480">
        <v>88.27</v>
      </c>
      <c r="D480">
        <v>219.96</v>
      </c>
      <c r="E480">
        <v>567.80999999999995</v>
      </c>
      <c r="F480">
        <v>39.020000000000003</v>
      </c>
      <c r="G480" s="4"/>
      <c r="H480" s="10">
        <f t="shared" si="46"/>
        <v>3.4474833371638702E-2</v>
      </c>
      <c r="I480" s="10">
        <f t="shared" si="48"/>
        <v>1.308389762423956E-2</v>
      </c>
      <c r="J480" s="10">
        <f t="shared" si="49"/>
        <v>6.6358519060913945E-3</v>
      </c>
      <c r="K480" s="10">
        <f t="shared" si="50"/>
        <v>-2.1506488135242807E-2</v>
      </c>
      <c r="L480" s="10">
        <f t="shared" si="51"/>
        <v>2.7924130663856683E-2</v>
      </c>
      <c r="M480" s="10">
        <f t="shared" si="47"/>
        <v>9.3937162152772924E-3</v>
      </c>
      <c r="N480" s="1"/>
      <c r="O480" s="2">
        <v>4358.34</v>
      </c>
      <c r="P480" s="12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spans="1:31" ht="15" thickBot="1" x14ac:dyDescent="0.35">
      <c r="A481" s="1">
        <v>45232</v>
      </c>
      <c r="B481">
        <v>43.51</v>
      </c>
      <c r="C481">
        <v>87.13</v>
      </c>
      <c r="D481">
        <v>218.51</v>
      </c>
      <c r="E481">
        <v>580.29</v>
      </c>
      <c r="F481">
        <v>37.96</v>
      </c>
      <c r="G481" s="4"/>
      <c r="H481" s="10">
        <f t="shared" si="46"/>
        <v>2.7876210725253925E-2</v>
      </c>
      <c r="I481" s="10">
        <f t="shared" si="48"/>
        <v>2.1573455270254227E-2</v>
      </c>
      <c r="J481" s="10">
        <f t="shared" si="49"/>
        <v>6.2481766021589058E-2</v>
      </c>
      <c r="K481" s="10">
        <f t="shared" si="50"/>
        <v>4.6585867330375397E-2</v>
      </c>
      <c r="L481" s="10">
        <f t="shared" si="51"/>
        <v>1.8513549771934423E-2</v>
      </c>
      <c r="M481" s="10">
        <f t="shared" si="47"/>
        <v>1.8858574846738696E-2</v>
      </c>
      <c r="N481" s="1"/>
      <c r="O481" s="2">
        <v>4317.78</v>
      </c>
      <c r="P481" s="12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spans="1:31" ht="15" thickBot="1" x14ac:dyDescent="0.35">
      <c r="A482" s="1">
        <v>45231</v>
      </c>
      <c r="B482">
        <v>42.33</v>
      </c>
      <c r="C482">
        <v>85.29</v>
      </c>
      <c r="D482">
        <v>205.66</v>
      </c>
      <c r="E482">
        <v>554.46</v>
      </c>
      <c r="F482">
        <v>37.270000000000003</v>
      </c>
      <c r="G482" s="4"/>
      <c r="H482" s="10">
        <f t="shared" si="46"/>
        <v>3.8008827856792493E-2</v>
      </c>
      <c r="I482" s="10">
        <f t="shared" si="48"/>
        <v>1.3667696695983E-2</v>
      </c>
      <c r="J482" s="10">
        <f t="shared" si="49"/>
        <v>2.3999203345947073E-2</v>
      </c>
      <c r="K482" s="10">
        <f t="shared" si="50"/>
        <v>9.5679959561700834E-4</v>
      </c>
      <c r="L482" s="10">
        <f t="shared" si="51"/>
        <v>-5.3376034160660391E-3</v>
      </c>
      <c r="M482" s="10">
        <f t="shared" si="47"/>
        <v>1.0505985025513809E-2</v>
      </c>
      <c r="N482" s="1"/>
      <c r="O482" s="2">
        <v>4237.8599999999997</v>
      </c>
      <c r="P482" s="12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spans="1:31" ht="15" thickBot="1" x14ac:dyDescent="0.35">
      <c r="A483" s="1">
        <v>45230</v>
      </c>
      <c r="B483">
        <v>40.78</v>
      </c>
      <c r="C483">
        <v>84.14</v>
      </c>
      <c r="D483">
        <v>200.84</v>
      </c>
      <c r="E483">
        <v>553.92999999999995</v>
      </c>
      <c r="F483">
        <v>37.47</v>
      </c>
      <c r="G483" s="4"/>
      <c r="H483" s="10">
        <f t="shared" si="46"/>
        <v>-9.2322643343050181E-3</v>
      </c>
      <c r="I483" s="10">
        <f t="shared" si="48"/>
        <v>1.188636633782103E-4</v>
      </c>
      <c r="J483" s="10">
        <f t="shared" si="49"/>
        <v>1.7632752330765999E-2</v>
      </c>
      <c r="K483" s="10">
        <f t="shared" si="50"/>
        <v>-2.0823390076187609E-2</v>
      </c>
      <c r="L483" s="10">
        <f t="shared" si="51"/>
        <v>-3.1782945736434254E-2</v>
      </c>
      <c r="M483" s="10">
        <f t="shared" si="47"/>
        <v>6.4749617214088229E-3</v>
      </c>
      <c r="N483" s="1"/>
      <c r="O483" s="2">
        <v>4193.8</v>
      </c>
      <c r="P483" s="12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spans="1:31" ht="15" thickBot="1" x14ac:dyDescent="0.35">
      <c r="A484" s="1">
        <v>45229</v>
      </c>
      <c r="B484">
        <v>41.16</v>
      </c>
      <c r="C484">
        <v>84.13</v>
      </c>
      <c r="D484">
        <v>197.36</v>
      </c>
      <c r="E484">
        <v>565.71</v>
      </c>
      <c r="F484">
        <v>38.700000000000003</v>
      </c>
      <c r="G484" s="4"/>
      <c r="H484" s="10">
        <f t="shared" si="46"/>
        <v>1.6296296296296253E-2</v>
      </c>
      <c r="I484" s="10">
        <f t="shared" si="48"/>
        <v>3.4589694656488312E-3</v>
      </c>
      <c r="J484" s="10">
        <f t="shared" si="49"/>
        <v>-4.7949831162566348E-2</v>
      </c>
      <c r="K484" s="10">
        <f t="shared" si="50"/>
        <v>9.7816968030988161E-3</v>
      </c>
      <c r="L484" s="10">
        <f t="shared" si="51"/>
        <v>-6.9284064665126044E-3</v>
      </c>
      <c r="M484" s="10">
        <f t="shared" si="47"/>
        <v>1.2010093822027113E-2</v>
      </c>
      <c r="N484" s="1"/>
      <c r="O484" s="2">
        <v>4166.82</v>
      </c>
      <c r="P484" s="12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spans="1:31" ht="15" thickBot="1" x14ac:dyDescent="0.35">
      <c r="A485" s="1">
        <v>45226</v>
      </c>
      <c r="B485">
        <v>40.5</v>
      </c>
      <c r="C485">
        <v>83.84</v>
      </c>
      <c r="D485">
        <v>207.3</v>
      </c>
      <c r="E485">
        <v>560.23</v>
      </c>
      <c r="F485">
        <v>38.97</v>
      </c>
      <c r="G485" s="4"/>
      <c r="H485" s="10">
        <f t="shared" si="46"/>
        <v>4.215224398710582E-3</v>
      </c>
      <c r="I485" s="10">
        <f t="shared" si="48"/>
        <v>1.4029995162070596E-2</v>
      </c>
      <c r="J485" s="10">
        <f t="shared" si="49"/>
        <v>7.4844479004667619E-3</v>
      </c>
      <c r="K485" s="10">
        <f t="shared" si="50"/>
        <v>-1.385319486005987E-2</v>
      </c>
      <c r="L485" s="10">
        <f t="shared" si="51"/>
        <v>3.9754535752401399E-2</v>
      </c>
      <c r="M485" s="10">
        <f t="shared" si="47"/>
        <v>-4.8003132530701764E-3</v>
      </c>
      <c r="N485" s="1"/>
      <c r="O485" s="2">
        <v>4117.37</v>
      </c>
      <c r="P485" s="12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spans="1:31" ht="15" thickBot="1" x14ac:dyDescent="0.35">
      <c r="A486" s="1">
        <v>45225</v>
      </c>
      <c r="B486">
        <v>40.33</v>
      </c>
      <c r="C486">
        <v>82.68</v>
      </c>
      <c r="D486">
        <v>205.76</v>
      </c>
      <c r="E486">
        <v>568.1</v>
      </c>
      <c r="F486">
        <v>37.479999999999997</v>
      </c>
      <c r="G486" s="4"/>
      <c r="H486" s="10">
        <f t="shared" si="46"/>
        <v>-3.4705600765916778E-2</v>
      </c>
      <c r="I486" s="10">
        <f t="shared" si="48"/>
        <v>-2.6836158192090287E-2</v>
      </c>
      <c r="J486" s="10">
        <f t="shared" si="49"/>
        <v>-3.1352979945391213E-2</v>
      </c>
      <c r="K486" s="10">
        <f t="shared" si="50"/>
        <v>-3.1306482965590132E-2</v>
      </c>
      <c r="L486" s="10">
        <f t="shared" si="51"/>
        <v>1.9586507072905324E-2</v>
      </c>
      <c r="M486" s="10">
        <f t="shared" si="47"/>
        <v>-1.183251050332379E-2</v>
      </c>
      <c r="N486" s="1"/>
      <c r="O486" s="2">
        <v>4137.2299999999996</v>
      </c>
      <c r="P486" s="12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spans="1:31" ht="15" thickBot="1" x14ac:dyDescent="0.35">
      <c r="A487" s="1">
        <v>45224</v>
      </c>
      <c r="B487">
        <v>41.78</v>
      </c>
      <c r="C487">
        <v>84.96</v>
      </c>
      <c r="D487">
        <v>212.42</v>
      </c>
      <c r="E487">
        <v>586.46</v>
      </c>
      <c r="F487">
        <v>36.76</v>
      </c>
      <c r="G487" s="4"/>
      <c r="H487" s="10">
        <f t="shared" si="46"/>
        <v>-4.3060009161703938E-2</v>
      </c>
      <c r="I487" s="10">
        <f t="shared" si="48"/>
        <v>-3.5750766087844776E-2</v>
      </c>
      <c r="J487" s="10">
        <f t="shared" si="49"/>
        <v>-1.8935895067430319E-2</v>
      </c>
      <c r="K487" s="10">
        <f t="shared" si="50"/>
        <v>-1.0077139915264155E-2</v>
      </c>
      <c r="L487" s="10">
        <f t="shared" si="51"/>
        <v>-4.39531859557869E-2</v>
      </c>
      <c r="M487" s="10">
        <f t="shared" si="47"/>
        <v>-1.4339592436341642E-2</v>
      </c>
      <c r="N487" s="1"/>
      <c r="O487" s="2">
        <v>4186.7700000000004</v>
      </c>
      <c r="P487" s="12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spans="1:31" ht="15" thickBot="1" x14ac:dyDescent="0.35">
      <c r="A488" s="1">
        <v>45223</v>
      </c>
      <c r="B488">
        <v>43.66</v>
      </c>
      <c r="C488">
        <v>88.11</v>
      </c>
      <c r="D488">
        <v>216.52</v>
      </c>
      <c r="E488">
        <v>592.42999999999995</v>
      </c>
      <c r="F488">
        <v>38.450000000000003</v>
      </c>
      <c r="G488" s="4"/>
      <c r="H488" s="10">
        <f t="shared" si="46"/>
        <v>1.605771468466366E-2</v>
      </c>
      <c r="I488" s="10">
        <f t="shared" si="48"/>
        <v>2.1920668058455162E-2</v>
      </c>
      <c r="J488" s="10">
        <f t="shared" si="49"/>
        <v>2.0935496039230506E-2</v>
      </c>
      <c r="K488" s="10">
        <f t="shared" si="50"/>
        <v>2.7364952744298954E-2</v>
      </c>
      <c r="L488" s="10">
        <f t="shared" si="51"/>
        <v>2.6014568158183593E-4</v>
      </c>
      <c r="M488" s="10">
        <f t="shared" si="47"/>
        <v>7.2657598694820802E-3</v>
      </c>
      <c r="N488" s="1"/>
      <c r="O488" s="2">
        <v>4247.68</v>
      </c>
      <c r="P488" s="12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spans="1:31" ht="15" thickBot="1" x14ac:dyDescent="0.35">
      <c r="A489" s="1">
        <v>45222</v>
      </c>
      <c r="B489">
        <v>42.97</v>
      </c>
      <c r="C489">
        <v>86.22</v>
      </c>
      <c r="D489">
        <v>212.08</v>
      </c>
      <c r="E489">
        <v>576.65</v>
      </c>
      <c r="F489">
        <v>38.44</v>
      </c>
      <c r="G489" s="4"/>
      <c r="H489" s="10">
        <f t="shared" si="46"/>
        <v>3.8173471853104601E-2</v>
      </c>
      <c r="I489" s="10">
        <f t="shared" si="48"/>
        <v>1.0074976569821814E-2</v>
      </c>
      <c r="J489" s="10">
        <f t="shared" si="49"/>
        <v>4.2454832775140616E-4</v>
      </c>
      <c r="K489" s="10">
        <f t="shared" si="50"/>
        <v>-1.3666529830322904E-2</v>
      </c>
      <c r="L489" s="10">
        <f t="shared" si="51"/>
        <v>-9.2783505154638846E-3</v>
      </c>
      <c r="M489" s="10">
        <f t="shared" si="47"/>
        <v>-1.685542214310054E-3</v>
      </c>
      <c r="N489" s="1"/>
      <c r="O489" s="2">
        <v>4217.04</v>
      </c>
      <c r="P489" s="12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spans="1:31" ht="15" thickBot="1" x14ac:dyDescent="0.35">
      <c r="A490" s="1">
        <v>45219</v>
      </c>
      <c r="B490">
        <v>41.39</v>
      </c>
      <c r="C490">
        <v>85.36</v>
      </c>
      <c r="D490">
        <v>211.99</v>
      </c>
      <c r="E490">
        <v>584.64</v>
      </c>
      <c r="F490">
        <v>38.799999999999997</v>
      </c>
      <c r="G490" s="4"/>
      <c r="H490" s="10">
        <f t="shared" si="46"/>
        <v>-1.6864608076009535E-2</v>
      </c>
      <c r="I490" s="10">
        <f t="shared" si="48"/>
        <v>-1.6363217331182289E-2</v>
      </c>
      <c r="J490" s="10">
        <f t="shared" si="49"/>
        <v>-3.6890645586297732E-2</v>
      </c>
      <c r="K490" s="10">
        <f t="shared" si="50"/>
        <v>-1.0426540284360186E-2</v>
      </c>
      <c r="L490" s="10">
        <f t="shared" si="51"/>
        <v>-1.647655259822578E-2</v>
      </c>
      <c r="M490" s="10">
        <f t="shared" si="47"/>
        <v>-1.2585320243104325E-2</v>
      </c>
      <c r="N490" s="1"/>
      <c r="O490" s="2">
        <v>4224.16</v>
      </c>
      <c r="P490" s="12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spans="1:31" ht="15" thickBot="1" x14ac:dyDescent="0.35">
      <c r="A491" s="1">
        <v>45218</v>
      </c>
      <c r="B491">
        <v>42.1</v>
      </c>
      <c r="C491">
        <v>86.78</v>
      </c>
      <c r="D491">
        <v>220.11</v>
      </c>
      <c r="E491">
        <v>590.79999999999995</v>
      </c>
      <c r="F491">
        <v>39.450000000000003</v>
      </c>
      <c r="G491" s="4"/>
      <c r="H491" s="10">
        <f t="shared" si="46"/>
        <v>-2.3696682464455776E-3</v>
      </c>
      <c r="I491" s="10">
        <f t="shared" si="48"/>
        <v>-2.1645997745208589E-2</v>
      </c>
      <c r="J491" s="10">
        <f t="shared" si="49"/>
        <v>-9.300313169606067E-2</v>
      </c>
      <c r="K491" s="10">
        <f t="shared" si="50"/>
        <v>-2.7073315328371095E-2</v>
      </c>
      <c r="L491" s="10">
        <f t="shared" si="51"/>
        <v>-1.1773547094188319E-2</v>
      </c>
      <c r="M491" s="10">
        <f t="shared" si="47"/>
        <v>-8.4828257544152796E-3</v>
      </c>
      <c r="N491" s="1"/>
      <c r="O491" s="2">
        <v>4278</v>
      </c>
      <c r="P491" s="12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spans="1:31" ht="15" thickBot="1" x14ac:dyDescent="0.35">
      <c r="A492" s="1">
        <v>45217</v>
      </c>
      <c r="B492">
        <v>42.2</v>
      </c>
      <c r="C492">
        <v>88.7</v>
      </c>
      <c r="D492">
        <v>242.68</v>
      </c>
      <c r="E492">
        <v>607.24</v>
      </c>
      <c r="F492">
        <v>39.92</v>
      </c>
      <c r="G492" s="4"/>
      <c r="H492" s="10">
        <f t="shared" si="46"/>
        <v>-3.9599453800637119E-2</v>
      </c>
      <c r="I492" s="10">
        <f t="shared" si="48"/>
        <v>2.9398462234284661E-3</v>
      </c>
      <c r="J492" s="10">
        <f t="shared" si="49"/>
        <v>-4.7753580537571061E-2</v>
      </c>
      <c r="K492" s="10">
        <f t="shared" si="50"/>
        <v>-1.7589715769918968E-3</v>
      </c>
      <c r="L492" s="10">
        <f t="shared" si="51"/>
        <v>-1.3590313812700705E-2</v>
      </c>
      <c r="M492" s="10">
        <f t="shared" si="47"/>
        <v>-1.3399798774352711E-2</v>
      </c>
      <c r="N492" s="1"/>
      <c r="O492" s="2">
        <v>4314.6000000000004</v>
      </c>
      <c r="P492" s="12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spans="1:31" ht="15" thickBot="1" x14ac:dyDescent="0.35">
      <c r="A493" s="1">
        <v>45216</v>
      </c>
      <c r="B493">
        <v>43.94</v>
      </c>
      <c r="C493">
        <v>88.44</v>
      </c>
      <c r="D493">
        <v>254.85</v>
      </c>
      <c r="E493">
        <v>608.30999999999995</v>
      </c>
      <c r="F493">
        <v>40.47</v>
      </c>
      <c r="G493" s="4"/>
      <c r="H493" s="10">
        <f t="shared" si="46"/>
        <v>-4.6854663774403504E-2</v>
      </c>
      <c r="I493" s="10">
        <f t="shared" si="48"/>
        <v>-2.0163970751163385E-2</v>
      </c>
      <c r="J493" s="10">
        <f t="shared" si="49"/>
        <v>3.6625708884687747E-3</v>
      </c>
      <c r="K493" s="10">
        <f t="shared" si="50"/>
        <v>-1.3508692267773847E-2</v>
      </c>
      <c r="L493" s="10">
        <f t="shared" si="51"/>
        <v>1.048689138576786E-2</v>
      </c>
      <c r="M493" s="10">
        <f t="shared" si="47"/>
        <v>-9.831650139591197E-5</v>
      </c>
      <c r="N493" s="1"/>
      <c r="O493" s="2">
        <v>4373.2</v>
      </c>
      <c r="P493" s="12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spans="1:31" ht="15" thickBot="1" x14ac:dyDescent="0.35">
      <c r="A494" s="1">
        <v>45215</v>
      </c>
      <c r="B494">
        <v>46.1</v>
      </c>
      <c r="C494">
        <v>90.26</v>
      </c>
      <c r="D494">
        <v>253.92</v>
      </c>
      <c r="E494">
        <v>616.64</v>
      </c>
      <c r="F494">
        <v>40.049999999999997</v>
      </c>
      <c r="G494" s="4"/>
      <c r="H494" s="10">
        <f t="shared" si="46"/>
        <v>1.4078310602727795E-2</v>
      </c>
      <c r="I494" s="10">
        <f t="shared" si="48"/>
        <v>2.1965579710145011E-2</v>
      </c>
      <c r="J494" s="10">
        <f t="shared" si="49"/>
        <v>1.1150047785918993E-2</v>
      </c>
      <c r="K494" s="10">
        <f t="shared" si="50"/>
        <v>1.2212738017071567E-2</v>
      </c>
      <c r="L494" s="10">
        <f t="shared" si="51"/>
        <v>1.5724067968551747E-2</v>
      </c>
      <c r="M494" s="10">
        <f t="shared" si="47"/>
        <v>1.0594346293018697E-2</v>
      </c>
      <c r="N494" s="1"/>
      <c r="O494" s="2">
        <v>4373.63</v>
      </c>
      <c r="P494" s="12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spans="1:31" ht="15" thickBot="1" x14ac:dyDescent="0.35">
      <c r="A495" s="1">
        <v>45212</v>
      </c>
      <c r="B495">
        <v>45.46</v>
      </c>
      <c r="C495">
        <v>88.32</v>
      </c>
      <c r="D495">
        <v>251.12</v>
      </c>
      <c r="E495">
        <v>609.20000000000005</v>
      </c>
      <c r="F495">
        <v>39.43</v>
      </c>
      <c r="G495" s="4"/>
      <c r="H495" s="10">
        <f t="shared" si="46"/>
        <v>-3.1529612270984164E-2</v>
      </c>
      <c r="I495" s="10">
        <f t="shared" si="48"/>
        <v>-2.4734982332155542E-2</v>
      </c>
      <c r="J495" s="10">
        <f t="shared" si="49"/>
        <v>-2.9937806621083918E-2</v>
      </c>
      <c r="K495" s="10">
        <f t="shared" si="50"/>
        <v>-2.1294021294020471E-3</v>
      </c>
      <c r="L495" s="10">
        <f t="shared" si="51"/>
        <v>1.6761217122228E-2</v>
      </c>
      <c r="M495" s="10">
        <f t="shared" si="47"/>
        <v>-5.0188407696322157E-3</v>
      </c>
      <c r="N495" s="1"/>
      <c r="O495" s="2">
        <v>4327.78</v>
      </c>
      <c r="P495" s="12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spans="1:31" ht="15" thickBot="1" x14ac:dyDescent="0.35">
      <c r="A496" s="1">
        <v>45211</v>
      </c>
      <c r="B496">
        <v>46.94</v>
      </c>
      <c r="C496">
        <v>90.56</v>
      </c>
      <c r="D496">
        <v>258.87</v>
      </c>
      <c r="E496">
        <v>610.5</v>
      </c>
      <c r="F496">
        <v>38.78</v>
      </c>
      <c r="G496" s="4"/>
      <c r="H496" s="10">
        <f t="shared" si="46"/>
        <v>2.7771843623156656E-3</v>
      </c>
      <c r="I496" s="10">
        <f t="shared" si="48"/>
        <v>3.5444774754173514E-2</v>
      </c>
      <c r="J496" s="10">
        <f t="shared" si="49"/>
        <v>-1.5665994904749292E-2</v>
      </c>
      <c r="K496" s="10">
        <f t="shared" si="50"/>
        <v>8.624107850911944E-3</v>
      </c>
      <c r="L496" s="10">
        <f t="shared" si="51"/>
        <v>-8.437739708514358E-3</v>
      </c>
      <c r="M496" s="10">
        <f t="shared" si="47"/>
        <v>-6.2463587658072584E-3</v>
      </c>
      <c r="N496" s="1"/>
      <c r="O496" s="2">
        <v>4349.6099999999997</v>
      </c>
      <c r="P496" s="12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spans="1:31" ht="15" thickBot="1" x14ac:dyDescent="0.35">
      <c r="A497" s="1">
        <v>45210</v>
      </c>
      <c r="B497">
        <v>46.81</v>
      </c>
      <c r="C497">
        <v>87.46</v>
      </c>
      <c r="D497">
        <v>262.99</v>
      </c>
      <c r="E497">
        <v>605.28</v>
      </c>
      <c r="F497">
        <v>39.11</v>
      </c>
      <c r="G497" s="4"/>
      <c r="H497" s="10">
        <f t="shared" si="46"/>
        <v>2.2052401746724959E-2</v>
      </c>
      <c r="I497" s="10">
        <f t="shared" si="48"/>
        <v>1.8872320596458492E-2</v>
      </c>
      <c r="J497" s="10">
        <f t="shared" si="49"/>
        <v>-2.3898035050451405E-3</v>
      </c>
      <c r="K497" s="10">
        <f t="shared" si="50"/>
        <v>4.4829193350710339E-2</v>
      </c>
      <c r="L497" s="10">
        <f t="shared" si="51"/>
        <v>1.7429760665973015E-2</v>
      </c>
      <c r="M497" s="10">
        <f t="shared" si="47"/>
        <v>4.2930173648079162E-3</v>
      </c>
      <c r="N497" s="1"/>
      <c r="O497" s="2">
        <v>4376.95</v>
      </c>
      <c r="P497" s="12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spans="1:31" ht="15" thickBot="1" x14ac:dyDescent="0.35">
      <c r="A498" s="1">
        <v>45209</v>
      </c>
      <c r="B498">
        <v>45.8</v>
      </c>
      <c r="C498">
        <v>85.84</v>
      </c>
      <c r="D498">
        <v>263.62</v>
      </c>
      <c r="E498">
        <v>579.30999999999995</v>
      </c>
      <c r="F498">
        <v>38.44</v>
      </c>
      <c r="G498" s="4"/>
      <c r="H498" s="10">
        <f t="shared" si="46"/>
        <v>1.1707532582283964E-2</v>
      </c>
      <c r="I498" s="10">
        <f t="shared" si="48"/>
        <v>2.920901974529766E-3</v>
      </c>
      <c r="J498" s="10">
        <f t="shared" si="49"/>
        <v>1.521161474178756E-2</v>
      </c>
      <c r="K498" s="10">
        <f t="shared" si="50"/>
        <v>1.3204841192108407E-2</v>
      </c>
      <c r="L498" s="10">
        <f t="shared" si="51"/>
        <v>2.15253786872176E-2</v>
      </c>
      <c r="M498" s="10">
        <f t="shared" si="47"/>
        <v>5.2079729499083793E-3</v>
      </c>
      <c r="N498" s="1"/>
      <c r="O498" s="2">
        <v>4358.24</v>
      </c>
      <c r="P498" s="12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spans="1:31" ht="15" thickBot="1" x14ac:dyDescent="0.35">
      <c r="A499" s="1">
        <v>45208</v>
      </c>
      <c r="B499">
        <v>45.27</v>
      </c>
      <c r="C499">
        <v>85.59</v>
      </c>
      <c r="D499">
        <v>259.67</v>
      </c>
      <c r="E499">
        <v>571.76</v>
      </c>
      <c r="F499">
        <v>37.630000000000003</v>
      </c>
      <c r="G499" s="4"/>
      <c r="H499" s="10">
        <f t="shared" si="46"/>
        <v>-1.070804195804187E-2</v>
      </c>
      <c r="I499" s="10">
        <f t="shared" si="48"/>
        <v>1.2539926653259315E-2</v>
      </c>
      <c r="J499" s="10">
        <f t="shared" si="49"/>
        <v>-3.3009634207191718E-3</v>
      </c>
      <c r="K499" s="10">
        <f t="shared" si="50"/>
        <v>1.1570715827465383E-2</v>
      </c>
      <c r="L499" s="10">
        <f t="shared" si="51"/>
        <v>-4.4973544973543333E-3</v>
      </c>
      <c r="M499" s="10">
        <f t="shared" si="47"/>
        <v>6.3038180341186134E-3</v>
      </c>
      <c r="N499" s="1"/>
      <c r="O499" s="2">
        <v>4335.66</v>
      </c>
      <c r="P499" s="12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spans="1:31" ht="15" thickBot="1" x14ac:dyDescent="0.35">
      <c r="A500" s="1">
        <v>45205</v>
      </c>
      <c r="B500">
        <v>45.76</v>
      </c>
      <c r="C500">
        <v>84.53</v>
      </c>
      <c r="D500">
        <v>260.52999999999997</v>
      </c>
      <c r="E500">
        <v>565.22</v>
      </c>
      <c r="F500">
        <v>37.799999999999997</v>
      </c>
      <c r="G500" s="4"/>
      <c r="H500" s="10">
        <f t="shared" si="46"/>
        <v>2.3942716491385019E-2</v>
      </c>
      <c r="I500" s="10">
        <f t="shared" si="48"/>
        <v>2.5974025974025983E-2</v>
      </c>
      <c r="J500" s="10">
        <f t="shared" si="49"/>
        <v>1.8457988848297191E-3</v>
      </c>
      <c r="K500" s="10">
        <f t="shared" si="50"/>
        <v>4.384280121149442E-2</v>
      </c>
      <c r="L500" s="10">
        <f t="shared" si="51"/>
        <v>3.9889958734525388E-2</v>
      </c>
      <c r="M500" s="10">
        <f t="shared" si="47"/>
        <v>1.1814879091820885E-2</v>
      </c>
      <c r="N500" s="1"/>
      <c r="O500" s="2">
        <v>4308.5</v>
      </c>
      <c r="P500" s="12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spans="1:31" ht="15" thickBot="1" x14ac:dyDescent="0.35">
      <c r="A501" s="1">
        <v>45204</v>
      </c>
      <c r="B501">
        <v>44.69</v>
      </c>
      <c r="C501">
        <v>82.39</v>
      </c>
      <c r="D501">
        <v>260.05</v>
      </c>
      <c r="E501">
        <v>541.48</v>
      </c>
      <c r="F501">
        <v>36.35</v>
      </c>
      <c r="G501" s="4"/>
      <c r="H501" s="10">
        <f t="shared" si="46"/>
        <v>1.4759309718437752E-2</v>
      </c>
      <c r="I501" s="10">
        <f t="shared" si="48"/>
        <v>1.2138868657451951E-4</v>
      </c>
      <c r="J501" s="10">
        <f t="shared" si="49"/>
        <v>-4.250268034921123E-3</v>
      </c>
      <c r="K501" s="10">
        <f t="shared" si="50"/>
        <v>1.8853723704512104E-2</v>
      </c>
      <c r="L501" s="10">
        <f t="shared" si="51"/>
        <v>2.5966694891335074E-2</v>
      </c>
      <c r="M501" s="10">
        <f t="shared" si="47"/>
        <v>-1.3040164174730196E-3</v>
      </c>
      <c r="N501" s="1"/>
      <c r="O501" s="2">
        <v>4258.1899999999996</v>
      </c>
      <c r="P501" s="12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spans="1:31" ht="15" thickBot="1" x14ac:dyDescent="0.35">
      <c r="A502" s="1">
        <v>45203</v>
      </c>
      <c r="B502">
        <v>44.04</v>
      </c>
      <c r="C502">
        <v>82.38</v>
      </c>
      <c r="D502">
        <v>261.16000000000003</v>
      </c>
      <c r="E502">
        <v>531.46</v>
      </c>
      <c r="F502">
        <v>35.43</v>
      </c>
      <c r="G502" s="4"/>
      <c r="H502" s="10">
        <f t="shared" si="46"/>
        <v>1.1948529411764719E-2</v>
      </c>
      <c r="I502" s="10">
        <f t="shared" si="48"/>
        <v>1.1045655375552244E-2</v>
      </c>
      <c r="J502" s="10">
        <f t="shared" si="49"/>
        <v>5.9343690423072415E-2</v>
      </c>
      <c r="K502" s="10">
        <f t="shared" si="50"/>
        <v>1.1938536529636945E-2</v>
      </c>
      <c r="L502" s="10">
        <f t="shared" si="51"/>
        <v>6.2482249360975572E-3</v>
      </c>
      <c r="M502" s="10">
        <f t="shared" si="47"/>
        <v>8.1098015108347354E-3</v>
      </c>
      <c r="N502" s="1"/>
      <c r="O502" s="2">
        <v>4263.75</v>
      </c>
      <c r="P502" s="12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spans="1:31" ht="15" thickBot="1" x14ac:dyDescent="0.35">
      <c r="A503" s="1">
        <v>45202</v>
      </c>
      <c r="B503">
        <v>43.52</v>
      </c>
      <c r="C503">
        <v>81.48</v>
      </c>
      <c r="D503">
        <v>246.53</v>
      </c>
      <c r="E503">
        <v>525.19000000000005</v>
      </c>
      <c r="F503">
        <v>35.21</v>
      </c>
      <c r="G503" s="4"/>
      <c r="H503" s="10">
        <f t="shared" si="46"/>
        <v>-2.813756141134427E-2</v>
      </c>
      <c r="I503" s="10">
        <f t="shared" si="48"/>
        <v>-2.4191616766466972E-2</v>
      </c>
      <c r="J503" s="10">
        <f t="shared" si="49"/>
        <v>-2.015103338632751E-2</v>
      </c>
      <c r="K503" s="10">
        <f t="shared" si="50"/>
        <v>-2.4336324286165278E-2</v>
      </c>
      <c r="L503" s="10">
        <f t="shared" si="51"/>
        <v>-9.285312324141759E-3</v>
      </c>
      <c r="M503" s="10">
        <f t="shared" si="47"/>
        <v>-1.374408577578079E-2</v>
      </c>
      <c r="N503" s="1"/>
      <c r="O503" s="2">
        <v>4229.45</v>
      </c>
      <c r="P503" s="12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spans="1:31" ht="15" thickBot="1" x14ac:dyDescent="0.35">
      <c r="A504" s="1">
        <v>45201</v>
      </c>
      <c r="B504">
        <v>44.78</v>
      </c>
      <c r="C504">
        <v>83.5</v>
      </c>
      <c r="D504">
        <v>251.6</v>
      </c>
      <c r="E504">
        <v>538.29</v>
      </c>
      <c r="F504">
        <v>35.54</v>
      </c>
      <c r="G504" s="4"/>
      <c r="H504" s="10">
        <f t="shared" si="46"/>
        <v>2.9425287356321883E-2</v>
      </c>
      <c r="I504" s="10">
        <f t="shared" si="48"/>
        <v>5.2973753912832766E-3</v>
      </c>
      <c r="J504" s="10">
        <f t="shared" si="49"/>
        <v>5.5151466709295605E-3</v>
      </c>
      <c r="K504" s="10">
        <f t="shared" si="50"/>
        <v>2.1596261612644163E-3</v>
      </c>
      <c r="L504" s="10">
        <f t="shared" si="51"/>
        <v>-3.8159675236806634E-2</v>
      </c>
      <c r="M504" s="10">
        <f t="shared" si="47"/>
        <v>7.9290120217789806E-5</v>
      </c>
      <c r="N504" s="1"/>
      <c r="O504" s="2">
        <v>4288.3900000000003</v>
      </c>
      <c r="P504" s="12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spans="1:31" ht="15" thickBot="1" x14ac:dyDescent="0.35">
      <c r="A505" s="1">
        <v>45198</v>
      </c>
      <c r="B505">
        <v>43.5</v>
      </c>
      <c r="C505">
        <v>83.06</v>
      </c>
      <c r="D505">
        <v>250.22</v>
      </c>
      <c r="E505">
        <v>537.13</v>
      </c>
      <c r="F505">
        <v>36.950000000000003</v>
      </c>
      <c r="G505" s="4"/>
      <c r="H505" s="10">
        <f t="shared" si="46"/>
        <v>9.5149686702249436E-3</v>
      </c>
      <c r="I505" s="10">
        <f t="shared" si="48"/>
        <v>-1.6826923076923572E-3</v>
      </c>
      <c r="J505" s="10">
        <f t="shared" si="49"/>
        <v>1.5585680655897383E-2</v>
      </c>
      <c r="K505" s="10">
        <f t="shared" si="50"/>
        <v>-1.3444760767747366E-2</v>
      </c>
      <c r="L505" s="10">
        <f t="shared" si="51"/>
        <v>-2.1604104779907596E-3</v>
      </c>
      <c r="M505" s="10">
        <f t="shared" si="47"/>
        <v>-2.7094913598622039E-3</v>
      </c>
      <c r="N505" s="1"/>
      <c r="O505" s="2">
        <v>4288.05</v>
      </c>
      <c r="P505" s="12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spans="1:31" ht="15" thickBot="1" x14ac:dyDescent="0.35">
      <c r="A506" s="1">
        <v>45197</v>
      </c>
      <c r="B506">
        <v>43.09</v>
      </c>
      <c r="C506">
        <v>83.2</v>
      </c>
      <c r="D506">
        <v>246.38</v>
      </c>
      <c r="E506">
        <v>544.45000000000005</v>
      </c>
      <c r="F506">
        <v>37.03</v>
      </c>
      <c r="G506" s="4"/>
      <c r="H506" s="10">
        <f t="shared" si="46"/>
        <v>1.4598540145985606E-2</v>
      </c>
      <c r="I506" s="10">
        <f t="shared" si="48"/>
        <v>1.8609206660137101E-2</v>
      </c>
      <c r="J506" s="10">
        <f t="shared" si="49"/>
        <v>2.4449064449064473E-2</v>
      </c>
      <c r="K506" s="10">
        <f t="shared" si="50"/>
        <v>-9.6587601862629935E-3</v>
      </c>
      <c r="L506" s="10">
        <f t="shared" si="51"/>
        <v>-6.70600858369097E-3</v>
      </c>
      <c r="M506" s="10">
        <f t="shared" si="47"/>
        <v>5.8930731241708667E-3</v>
      </c>
      <c r="N506" s="1"/>
      <c r="O506" s="2">
        <v>4299.7</v>
      </c>
      <c r="P506" s="12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spans="1:31" ht="15" thickBot="1" x14ac:dyDescent="0.35">
      <c r="A507" s="1">
        <v>45196</v>
      </c>
      <c r="B507">
        <v>42.47</v>
      </c>
      <c r="C507">
        <v>81.680000000000007</v>
      </c>
      <c r="D507">
        <v>240.5</v>
      </c>
      <c r="E507">
        <v>549.76</v>
      </c>
      <c r="F507">
        <v>37.28</v>
      </c>
      <c r="G507" s="4"/>
      <c r="H507" s="10">
        <f t="shared" si="46"/>
        <v>1.336196611787166E-2</v>
      </c>
      <c r="I507" s="10">
        <f t="shared" si="48"/>
        <v>7.3511394266123631E-4</v>
      </c>
      <c r="J507" s="10">
        <f t="shared" si="49"/>
        <v>-1.4828772734720608E-2</v>
      </c>
      <c r="K507" s="10">
        <f t="shared" si="50"/>
        <v>-4.5453719023291761E-4</v>
      </c>
      <c r="L507" s="10">
        <f t="shared" si="51"/>
        <v>-5.3807106598984689E-2</v>
      </c>
      <c r="M507" s="10">
        <f t="shared" si="47"/>
        <v>2.2931861950192811E-4</v>
      </c>
      <c r="N507" s="1"/>
      <c r="O507" s="2">
        <v>4274.51</v>
      </c>
      <c r="P507" s="12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spans="1:31" ht="15" thickBot="1" x14ac:dyDescent="0.35">
      <c r="A508" s="1">
        <v>45195</v>
      </c>
      <c r="B508">
        <v>41.91</v>
      </c>
      <c r="C508">
        <v>81.62</v>
      </c>
      <c r="D508">
        <v>244.12</v>
      </c>
      <c r="E508">
        <v>550.01</v>
      </c>
      <c r="F508">
        <v>39.4</v>
      </c>
      <c r="G508" s="4"/>
      <c r="H508" s="10">
        <f t="shared" si="46"/>
        <v>-7.3424917100900489E-3</v>
      </c>
      <c r="I508" s="10">
        <f t="shared" si="48"/>
        <v>-2.1225566614701985E-2</v>
      </c>
      <c r="J508" s="10">
        <f t="shared" si="49"/>
        <v>-1.1619903639823459E-2</v>
      </c>
      <c r="K508" s="10">
        <f t="shared" si="50"/>
        <v>-4.128265947237808E-3</v>
      </c>
      <c r="L508" s="10">
        <f t="shared" si="51"/>
        <v>-2.6679841897233159E-2</v>
      </c>
      <c r="M508" s="10">
        <f t="shared" si="47"/>
        <v>-1.473449776826885E-2</v>
      </c>
      <c r="N508" s="1"/>
      <c r="O508" s="2">
        <v>4273.53</v>
      </c>
      <c r="P508" s="12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spans="1:31" ht="15" thickBot="1" x14ac:dyDescent="0.35">
      <c r="A509" s="1">
        <v>45194</v>
      </c>
      <c r="B509">
        <v>42.22</v>
      </c>
      <c r="C509">
        <v>83.39</v>
      </c>
      <c r="D509">
        <v>246.99</v>
      </c>
      <c r="E509">
        <v>552.29</v>
      </c>
      <c r="F509">
        <v>40.479999999999997</v>
      </c>
      <c r="G509" s="4"/>
      <c r="H509" s="10">
        <f t="shared" si="46"/>
        <v>1.4659937515020482E-2</v>
      </c>
      <c r="I509" s="10">
        <f t="shared" si="48"/>
        <v>5.7894102038356099E-3</v>
      </c>
      <c r="J509" s="10">
        <f t="shared" si="49"/>
        <v>8.6164652074485204E-3</v>
      </c>
      <c r="K509" s="10">
        <f t="shared" si="50"/>
        <v>3.1786972790350809E-3</v>
      </c>
      <c r="L509" s="10">
        <f t="shared" si="51"/>
        <v>-6.3819342169858517E-3</v>
      </c>
      <c r="M509" s="10">
        <f t="shared" si="47"/>
        <v>4.0230922718664797E-3</v>
      </c>
      <c r="N509" s="1"/>
      <c r="O509" s="2">
        <v>4337.4399999999996</v>
      </c>
      <c r="P509" s="12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spans="1:31" ht="15" thickBot="1" x14ac:dyDescent="0.35">
      <c r="A510" s="1">
        <v>45191</v>
      </c>
      <c r="B510">
        <v>41.61</v>
      </c>
      <c r="C510">
        <v>82.91</v>
      </c>
      <c r="D510">
        <v>244.88</v>
      </c>
      <c r="E510">
        <v>550.54</v>
      </c>
      <c r="F510">
        <v>40.74</v>
      </c>
      <c r="G510" s="4"/>
      <c r="H510" s="10">
        <f t="shared" si="46"/>
        <v>1.4383227693807843E-2</v>
      </c>
      <c r="I510" s="10">
        <f t="shared" si="48"/>
        <v>2.5606135576447198E-2</v>
      </c>
      <c r="J510" s="10">
        <f t="shared" si="49"/>
        <v>-4.2315213140398877E-2</v>
      </c>
      <c r="K510" s="10">
        <f t="shared" si="50"/>
        <v>7.4527838874449692E-4</v>
      </c>
      <c r="L510" s="10">
        <f t="shared" si="51"/>
        <v>5.4294175715696724E-3</v>
      </c>
      <c r="M510" s="10">
        <f t="shared" si="47"/>
        <v>-2.2956120092377796E-3</v>
      </c>
      <c r="N510" s="1"/>
      <c r="O510" s="2">
        <v>4320.0600000000004</v>
      </c>
      <c r="P510" s="12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spans="1:31" ht="15" thickBot="1" x14ac:dyDescent="0.35">
      <c r="A511" s="1">
        <v>45190</v>
      </c>
      <c r="B511">
        <v>41.02</v>
      </c>
      <c r="C511">
        <v>80.84</v>
      </c>
      <c r="D511">
        <v>255.7</v>
      </c>
      <c r="E511">
        <v>550.13</v>
      </c>
      <c r="F511">
        <v>40.520000000000003</v>
      </c>
      <c r="G511" s="4"/>
      <c r="H511" s="10">
        <f t="shared" si="46"/>
        <v>-2.888257575757569E-2</v>
      </c>
      <c r="I511" s="10">
        <f t="shared" si="48"/>
        <v>-2.6727666746929946E-2</v>
      </c>
      <c r="J511" s="10">
        <f t="shared" si="49"/>
        <v>-2.6238622948322465E-2</v>
      </c>
      <c r="K511" s="10">
        <f t="shared" si="50"/>
        <v>-3.4249701565901236E-2</v>
      </c>
      <c r="L511" s="10">
        <f t="shared" si="51"/>
        <v>-1.0500610500610463E-2</v>
      </c>
      <c r="M511" s="10">
        <f t="shared" si="47"/>
        <v>-1.6400890463858953E-2</v>
      </c>
      <c r="N511" s="1"/>
      <c r="O511" s="2">
        <v>4330</v>
      </c>
      <c r="P511" s="12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spans="1:31" ht="15" thickBot="1" x14ac:dyDescent="0.35">
      <c r="A512" s="1">
        <v>45189</v>
      </c>
      <c r="B512">
        <v>42.24</v>
      </c>
      <c r="C512">
        <v>83.06</v>
      </c>
      <c r="D512">
        <v>262.58999999999997</v>
      </c>
      <c r="E512">
        <v>569.64</v>
      </c>
      <c r="F512">
        <v>40.950000000000003</v>
      </c>
      <c r="G512" s="4"/>
      <c r="H512" s="10">
        <f t="shared" si="46"/>
        <v>-2.9411764705882359E-2</v>
      </c>
      <c r="I512" s="10">
        <f t="shared" si="48"/>
        <v>-2.1902967498822368E-2</v>
      </c>
      <c r="J512" s="10">
        <f t="shared" si="49"/>
        <v>-1.4671669793621112E-2</v>
      </c>
      <c r="K512" s="10">
        <f t="shared" si="50"/>
        <v>-9.2528175873105578E-3</v>
      </c>
      <c r="L512" s="10">
        <f t="shared" si="51"/>
        <v>1.6381236038719438E-2</v>
      </c>
      <c r="M512" s="10">
        <f t="shared" si="47"/>
        <v>-9.3947951709627553E-3</v>
      </c>
      <c r="N512" s="1"/>
      <c r="O512" s="2">
        <v>4402.2</v>
      </c>
      <c r="P512" s="12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spans="1:31" ht="15" thickBot="1" x14ac:dyDescent="0.35">
      <c r="A513" s="1">
        <v>45188</v>
      </c>
      <c r="B513">
        <v>43.52</v>
      </c>
      <c r="C513">
        <v>84.92</v>
      </c>
      <c r="D513">
        <v>266.5</v>
      </c>
      <c r="E513">
        <v>574.96</v>
      </c>
      <c r="F513">
        <v>40.29</v>
      </c>
      <c r="G513" s="4"/>
      <c r="H513" s="10">
        <f t="shared" si="46"/>
        <v>-1.0234250625426378E-2</v>
      </c>
      <c r="I513" s="10">
        <f t="shared" si="48"/>
        <v>-9.4117647058822307E-4</v>
      </c>
      <c r="J513" s="10">
        <f t="shared" si="49"/>
        <v>4.5989143546443234E-3</v>
      </c>
      <c r="K513" s="10">
        <f t="shared" si="50"/>
        <v>6.4416748354574338E-3</v>
      </c>
      <c r="L513" s="10">
        <f t="shared" si="51"/>
        <v>-4.4477390659748428E-3</v>
      </c>
      <c r="M513" s="10">
        <f t="shared" si="47"/>
        <v>-2.1511026084926055E-3</v>
      </c>
      <c r="N513" s="1"/>
      <c r="O513" s="2">
        <v>4443.95</v>
      </c>
      <c r="P513" s="12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spans="1:31" ht="15" thickBot="1" x14ac:dyDescent="0.35">
      <c r="A514" s="1">
        <v>45187</v>
      </c>
      <c r="B514">
        <v>43.97</v>
      </c>
      <c r="C514">
        <v>85</v>
      </c>
      <c r="D514">
        <v>265.27999999999997</v>
      </c>
      <c r="E514">
        <v>571.28</v>
      </c>
      <c r="F514">
        <v>40.47</v>
      </c>
      <c r="G514" s="4"/>
      <c r="H514" s="10">
        <f t="shared" si="46"/>
        <v>1.5945330296127658E-3</v>
      </c>
      <c r="I514" s="10">
        <f t="shared" si="48"/>
        <v>-1.9960079840319889E-3</v>
      </c>
      <c r="J514" s="10">
        <f t="shared" si="49"/>
        <v>-3.3200918400816404E-2</v>
      </c>
      <c r="K514" s="10">
        <f t="shared" si="50"/>
        <v>-7.6086578883368672E-3</v>
      </c>
      <c r="L514" s="10">
        <f t="shared" si="51"/>
        <v>3.4713612695265184E-3</v>
      </c>
      <c r="M514" s="10">
        <f t="shared" si="47"/>
        <v>7.2129644609830734E-4</v>
      </c>
      <c r="N514" s="1"/>
      <c r="O514" s="2">
        <v>4453.53</v>
      </c>
      <c r="P514" s="12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spans="1:31" ht="15" thickBot="1" x14ac:dyDescent="0.35">
      <c r="A515" s="1">
        <v>45184</v>
      </c>
      <c r="B515">
        <v>43.9</v>
      </c>
      <c r="C515">
        <v>85.17</v>
      </c>
      <c r="D515">
        <v>274.39</v>
      </c>
      <c r="E515">
        <v>575.66</v>
      </c>
      <c r="F515">
        <v>40.33</v>
      </c>
      <c r="G515" s="4"/>
      <c r="H515" s="10">
        <f t="shared" si="46"/>
        <v>-3.6858271171566481E-2</v>
      </c>
      <c r="I515" s="10">
        <f t="shared" si="48"/>
        <v>-2.2831574116567221E-2</v>
      </c>
      <c r="J515" s="10">
        <f t="shared" si="49"/>
        <v>-5.9773945804957318E-3</v>
      </c>
      <c r="K515" s="10">
        <f t="shared" si="50"/>
        <v>-2.6960328594851424E-2</v>
      </c>
      <c r="L515" s="10">
        <f t="shared" si="51"/>
        <v>2.0495951417003999E-2</v>
      </c>
      <c r="M515" s="10">
        <f t="shared" si="47"/>
        <v>-1.2159552507158722E-2</v>
      </c>
      <c r="N515" s="1"/>
      <c r="O515" s="2">
        <v>4450.32</v>
      </c>
      <c r="P515" s="12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spans="1:31" ht="15" thickBot="1" x14ac:dyDescent="0.35">
      <c r="A516" s="1">
        <v>45183</v>
      </c>
      <c r="B516">
        <v>45.58</v>
      </c>
      <c r="C516">
        <v>87.16</v>
      </c>
      <c r="D516">
        <v>276.04000000000002</v>
      </c>
      <c r="E516">
        <v>591.61</v>
      </c>
      <c r="F516">
        <v>39.520000000000003</v>
      </c>
      <c r="G516" s="4"/>
      <c r="H516" s="10">
        <f t="shared" ref="H516:H579" si="52">(B516/B517)-1</f>
        <v>1.9784568036931294E-3</v>
      </c>
      <c r="I516" s="10">
        <f t="shared" si="48"/>
        <v>2.192519638879098E-2</v>
      </c>
      <c r="J516" s="10">
        <f t="shared" si="49"/>
        <v>1.7471433837080719E-2</v>
      </c>
      <c r="K516" s="10">
        <f t="shared" si="50"/>
        <v>-1.213932674325402E-2</v>
      </c>
      <c r="L516" s="10">
        <f t="shared" si="51"/>
        <v>6.6225165562914245E-3</v>
      </c>
      <c r="M516" s="10">
        <f t="shared" ref="M516:M579" si="53">(O516/O517)-1</f>
        <v>8.4298837813157057E-3</v>
      </c>
      <c r="N516" s="1"/>
      <c r="O516" s="2">
        <v>4505.1000000000004</v>
      </c>
      <c r="P516" s="12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spans="1:31" ht="15" thickBot="1" x14ac:dyDescent="0.35">
      <c r="A517" s="1">
        <v>45182</v>
      </c>
      <c r="B517">
        <v>45.49</v>
      </c>
      <c r="C517">
        <v>85.29</v>
      </c>
      <c r="D517">
        <v>271.3</v>
      </c>
      <c r="E517">
        <v>598.88</v>
      </c>
      <c r="F517">
        <v>39.26</v>
      </c>
      <c r="G517" s="4"/>
      <c r="H517" s="10">
        <f t="shared" si="52"/>
        <v>1.3817695564965593E-2</v>
      </c>
      <c r="I517" s="10">
        <f t="shared" si="48"/>
        <v>9.9467140319715597E-3</v>
      </c>
      <c r="J517" s="10">
        <f t="shared" si="49"/>
        <v>1.4281441603110512E-2</v>
      </c>
      <c r="K517" s="10">
        <f t="shared" si="50"/>
        <v>-7.0081762055729246E-4</v>
      </c>
      <c r="L517" s="10">
        <f t="shared" si="51"/>
        <v>1.1334363730036046E-2</v>
      </c>
      <c r="M517" s="10">
        <f t="shared" si="53"/>
        <v>1.2416235236110129E-3</v>
      </c>
      <c r="N517" s="1"/>
      <c r="O517" s="2">
        <v>4467.4399999999996</v>
      </c>
      <c r="P517" s="12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spans="1:31" ht="15" thickBot="1" x14ac:dyDescent="0.35">
      <c r="A518" s="1">
        <v>45181</v>
      </c>
      <c r="B518">
        <v>44.87</v>
      </c>
      <c r="C518">
        <v>84.45</v>
      </c>
      <c r="D518">
        <v>267.48</v>
      </c>
      <c r="E518">
        <v>599.29999999999995</v>
      </c>
      <c r="F518">
        <v>38.82</v>
      </c>
      <c r="G518" s="4"/>
      <c r="H518" s="10">
        <f t="shared" si="52"/>
        <v>-6.861443116423227E-3</v>
      </c>
      <c r="I518" s="10">
        <f t="shared" si="48"/>
        <v>-1.6994529158421479E-2</v>
      </c>
      <c r="J518" s="10">
        <f t="shared" si="49"/>
        <v>-2.229695153154454E-2</v>
      </c>
      <c r="K518" s="10">
        <f t="shared" si="50"/>
        <v>6.2798038820606195E-3</v>
      </c>
      <c r="L518" s="10">
        <f t="shared" si="51"/>
        <v>-2.3130300693907646E-3</v>
      </c>
      <c r="M518" s="10">
        <f t="shared" si="53"/>
        <v>-5.6958724980279429E-3</v>
      </c>
      <c r="N518" s="1"/>
      <c r="O518" s="2">
        <v>4461.8999999999996</v>
      </c>
      <c r="P518" s="12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spans="1:31" ht="15" thickBot="1" x14ac:dyDescent="0.35">
      <c r="A519" s="1">
        <v>45180</v>
      </c>
      <c r="B519">
        <v>45.18</v>
      </c>
      <c r="C519">
        <v>85.91</v>
      </c>
      <c r="D519">
        <v>273.58</v>
      </c>
      <c r="E519">
        <v>595.55999999999995</v>
      </c>
      <c r="F519">
        <v>38.909999999999997</v>
      </c>
      <c r="G519" s="4"/>
      <c r="H519" s="10">
        <f t="shared" si="52"/>
        <v>-8.5582620144831756E-3</v>
      </c>
      <c r="I519" s="10">
        <f t="shared" si="48"/>
        <v>1.8658892128280424E-3</v>
      </c>
      <c r="J519" s="10">
        <f t="shared" si="49"/>
        <v>0.10092555331991937</v>
      </c>
      <c r="K519" s="10">
        <f t="shared" si="50"/>
        <v>1.5516829792312947E-2</v>
      </c>
      <c r="L519" s="10">
        <f t="shared" si="51"/>
        <v>4.6475600309836551E-3</v>
      </c>
      <c r="M519" s="10">
        <f t="shared" si="53"/>
        <v>6.7235148031741243E-3</v>
      </c>
      <c r="N519" s="1"/>
      <c r="O519" s="2">
        <v>4487.46</v>
      </c>
      <c r="P519" s="12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spans="1:31" ht="15" thickBot="1" x14ac:dyDescent="0.35">
      <c r="A520" s="1">
        <v>45177</v>
      </c>
      <c r="B520">
        <v>45.57</v>
      </c>
      <c r="C520">
        <v>85.75</v>
      </c>
      <c r="D520">
        <v>248.5</v>
      </c>
      <c r="E520">
        <v>586.46</v>
      </c>
      <c r="F520">
        <v>38.729999999999997</v>
      </c>
      <c r="G520" s="4"/>
      <c r="H520" s="10">
        <f t="shared" si="52"/>
        <v>-1.4489619377162644E-2</v>
      </c>
      <c r="I520" s="10">
        <f t="shared" si="48"/>
        <v>5.8343057176202251E-4</v>
      </c>
      <c r="J520" s="10">
        <f t="shared" si="49"/>
        <v>-1.1889140721301095E-2</v>
      </c>
      <c r="K520" s="10">
        <f t="shared" si="50"/>
        <v>2.3079741116131425E-2</v>
      </c>
      <c r="L520" s="10">
        <f t="shared" si="51"/>
        <v>9.6454640250260848E-3</v>
      </c>
      <c r="M520" s="10">
        <f t="shared" si="53"/>
        <v>1.4266008258556617E-3</v>
      </c>
      <c r="N520" s="1"/>
      <c r="O520" s="2">
        <v>4457.49</v>
      </c>
      <c r="P520" s="12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spans="1:31" ht="15" thickBot="1" x14ac:dyDescent="0.35">
      <c r="A521" s="1">
        <v>45176</v>
      </c>
      <c r="B521">
        <v>46.24</v>
      </c>
      <c r="C521">
        <v>85.7</v>
      </c>
      <c r="D521">
        <v>251.49</v>
      </c>
      <c r="E521">
        <v>573.23</v>
      </c>
      <c r="F521">
        <v>38.36</v>
      </c>
      <c r="G521" s="4"/>
      <c r="H521" s="10">
        <f t="shared" si="52"/>
        <v>-1.7424564385890351E-2</v>
      </c>
      <c r="I521" s="10">
        <f t="shared" si="48"/>
        <v>-1.753983721196839E-2</v>
      </c>
      <c r="J521" s="10">
        <f t="shared" si="49"/>
        <v>-1.7068910765321021E-3</v>
      </c>
      <c r="K521" s="10">
        <f t="shared" si="50"/>
        <v>2.3716403250290119E-2</v>
      </c>
      <c r="L521" s="10">
        <f t="shared" si="51"/>
        <v>-3.6363636363636598E-3</v>
      </c>
      <c r="M521" s="10">
        <f t="shared" si="53"/>
        <v>-3.2113009127796577E-3</v>
      </c>
      <c r="N521" s="1"/>
      <c r="O521" s="2">
        <v>4451.1400000000003</v>
      </c>
      <c r="P521" s="12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spans="1:31" ht="15" thickBot="1" x14ac:dyDescent="0.35">
      <c r="A522" s="1">
        <v>45175</v>
      </c>
      <c r="B522">
        <v>47.06</v>
      </c>
      <c r="C522">
        <v>87.23</v>
      </c>
      <c r="D522">
        <v>251.92</v>
      </c>
      <c r="E522">
        <v>559.95000000000005</v>
      </c>
      <c r="F522">
        <v>38.5</v>
      </c>
      <c r="G522" s="4"/>
      <c r="H522" s="10">
        <f t="shared" si="52"/>
        <v>-3.069001029866103E-2</v>
      </c>
      <c r="I522" s="10">
        <f t="shared" si="48"/>
        <v>1.1465260261411814E-4</v>
      </c>
      <c r="J522" s="10">
        <f t="shared" si="49"/>
        <v>-1.7817458770322481E-2</v>
      </c>
      <c r="K522" s="10">
        <f t="shared" si="50"/>
        <v>3.1530482452211128E-3</v>
      </c>
      <c r="L522" s="10">
        <f t="shared" si="51"/>
        <v>-8.7538619979403709E-3</v>
      </c>
      <c r="M522" s="10">
        <f t="shared" si="53"/>
        <v>-6.9715777558858605E-3</v>
      </c>
      <c r="N522" s="1"/>
      <c r="O522" s="2">
        <v>4465.4799999999996</v>
      </c>
      <c r="P522" s="12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spans="1:31" ht="15" thickBot="1" x14ac:dyDescent="0.35">
      <c r="A523" s="1">
        <v>45174</v>
      </c>
      <c r="B523">
        <v>48.55</v>
      </c>
      <c r="C523">
        <v>87.22</v>
      </c>
      <c r="D523">
        <v>256.49</v>
      </c>
      <c r="E523">
        <v>558.19000000000005</v>
      </c>
      <c r="F523">
        <v>38.840000000000003</v>
      </c>
      <c r="G523" s="4"/>
      <c r="H523" s="10">
        <f t="shared" si="52"/>
        <v>8.2457225314369609E-4</v>
      </c>
      <c r="I523" s="10">
        <f t="shared" si="48"/>
        <v>-3.4383954154726393E-4</v>
      </c>
      <c r="J523" s="10">
        <f t="shared" si="49"/>
        <v>4.6855230398759273E-2</v>
      </c>
      <c r="K523" s="10">
        <f t="shared" si="50"/>
        <v>1.9385758647305629E-3</v>
      </c>
      <c r="L523" s="10">
        <f t="shared" si="51"/>
        <v>-1.2207527975584886E-2</v>
      </c>
      <c r="M523" s="10">
        <f t="shared" si="53"/>
        <v>-4.1941905810084501E-3</v>
      </c>
      <c r="N523" s="1"/>
      <c r="O523" s="2">
        <v>4496.83</v>
      </c>
      <c r="P523" s="12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spans="1:31" ht="15" thickBot="1" x14ac:dyDescent="0.35">
      <c r="A524" s="1">
        <v>45170</v>
      </c>
      <c r="B524">
        <v>48.51</v>
      </c>
      <c r="C524">
        <v>87.25</v>
      </c>
      <c r="D524">
        <v>245.01</v>
      </c>
      <c r="E524">
        <v>557.11</v>
      </c>
      <c r="F524">
        <v>39.32</v>
      </c>
      <c r="G524" s="4"/>
      <c r="H524" s="10">
        <f t="shared" si="52"/>
        <v>-1.7021276595744705E-2</v>
      </c>
      <c r="I524" s="10">
        <f t="shared" si="48"/>
        <v>-5.4610467006176222E-2</v>
      </c>
      <c r="J524" s="10">
        <f t="shared" si="49"/>
        <v>-5.0643211407315536E-2</v>
      </c>
      <c r="K524" s="10">
        <f t="shared" si="50"/>
        <v>5.2508119812342269E-3</v>
      </c>
      <c r="L524" s="10">
        <f t="shared" si="51"/>
        <v>-2.5367833587012223E-3</v>
      </c>
      <c r="M524" s="10">
        <f t="shared" si="53"/>
        <v>1.7991596526802933E-3</v>
      </c>
      <c r="N524" s="1"/>
      <c r="O524" s="2">
        <v>4515.7700000000004</v>
      </c>
      <c r="P524" s="12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spans="1:31" ht="15" thickBot="1" x14ac:dyDescent="0.35">
      <c r="A525" s="1">
        <v>45169</v>
      </c>
      <c r="B525">
        <v>49.35</v>
      </c>
      <c r="C525">
        <v>92.29</v>
      </c>
      <c r="D525">
        <v>258.08</v>
      </c>
      <c r="E525">
        <v>554.20000000000005</v>
      </c>
      <c r="F525">
        <v>39.42</v>
      </c>
      <c r="G525" s="4"/>
      <c r="H525" s="10">
        <f t="shared" si="52"/>
        <v>1.8270401948843329E-3</v>
      </c>
      <c r="I525" s="10">
        <f t="shared" si="48"/>
        <v>3.4293399081026577E-2</v>
      </c>
      <c r="J525" s="10">
        <f t="shared" si="49"/>
        <v>4.5932269365511758E-3</v>
      </c>
      <c r="K525" s="10">
        <f t="shared" si="50"/>
        <v>1.1332323582547099E-2</v>
      </c>
      <c r="L525" s="10">
        <f t="shared" si="51"/>
        <v>-8.5513078470823567E-3</v>
      </c>
      <c r="M525" s="10">
        <f t="shared" si="53"/>
        <v>-1.5969452055097921E-3</v>
      </c>
      <c r="N525" s="1"/>
      <c r="O525" s="2">
        <v>4507.66</v>
      </c>
      <c r="P525" s="12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spans="1:31" ht="15" thickBot="1" x14ac:dyDescent="0.35">
      <c r="A526" s="1">
        <v>45168</v>
      </c>
      <c r="B526">
        <v>49.26</v>
      </c>
      <c r="C526">
        <v>89.23</v>
      </c>
      <c r="D526">
        <v>256.89999999999998</v>
      </c>
      <c r="E526">
        <v>547.99</v>
      </c>
      <c r="F526">
        <v>39.76</v>
      </c>
      <c r="G526" s="4"/>
      <c r="H526" s="10">
        <f t="shared" si="52"/>
        <v>9.8400984009838766E-3</v>
      </c>
      <c r="I526" s="10">
        <f t="shared" si="48"/>
        <v>2.6969322395775652E-3</v>
      </c>
      <c r="J526" s="10">
        <f t="shared" si="49"/>
        <v>-1.0887316276538828E-3</v>
      </c>
      <c r="K526" s="10">
        <f t="shared" si="50"/>
        <v>-1.0669795992056308E-2</v>
      </c>
      <c r="L526" s="10">
        <f t="shared" si="51"/>
        <v>6.0728744939269053E-3</v>
      </c>
      <c r="M526" s="10">
        <f t="shared" si="53"/>
        <v>3.8331298928546698E-3</v>
      </c>
      <c r="N526" s="1"/>
      <c r="O526" s="2">
        <v>4514.87</v>
      </c>
      <c r="P526" s="12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spans="1:31" ht="15" thickBot="1" x14ac:dyDescent="0.35">
      <c r="A527" s="1">
        <v>45167</v>
      </c>
      <c r="B527">
        <v>48.78</v>
      </c>
      <c r="C527">
        <v>88.99</v>
      </c>
      <c r="D527">
        <v>257.18</v>
      </c>
      <c r="E527">
        <v>553.9</v>
      </c>
      <c r="F527">
        <v>39.520000000000003</v>
      </c>
      <c r="G527" s="4"/>
      <c r="H527" s="10">
        <f t="shared" si="52"/>
        <v>4.1639974375400346E-2</v>
      </c>
      <c r="I527" s="10">
        <f t="shared" si="48"/>
        <v>3.3445592846359284E-2</v>
      </c>
      <c r="J527" s="10">
        <f t="shared" si="49"/>
        <v>7.6877983418474294E-2</v>
      </c>
      <c r="K527" s="10">
        <f t="shared" si="50"/>
        <v>-3.6106296938176463E-5</v>
      </c>
      <c r="L527" s="10">
        <f t="shared" si="51"/>
        <v>1.2295081967213184E-2</v>
      </c>
      <c r="M527" s="10">
        <f t="shared" si="53"/>
        <v>1.4508347036412905E-2</v>
      </c>
      <c r="N527" s="1"/>
      <c r="O527" s="2">
        <v>4497.63</v>
      </c>
      <c r="P527" s="12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spans="1:31" ht="15" thickBot="1" x14ac:dyDescent="0.35">
      <c r="A528" s="1">
        <v>45166</v>
      </c>
      <c r="B528">
        <v>46.83</v>
      </c>
      <c r="C528">
        <v>86.11</v>
      </c>
      <c r="D528">
        <v>238.82</v>
      </c>
      <c r="E528">
        <v>553.91999999999996</v>
      </c>
      <c r="F528">
        <v>39.04</v>
      </c>
      <c r="G528" s="4"/>
      <c r="H528" s="10">
        <f t="shared" si="52"/>
        <v>1.7601043024771723E-2</v>
      </c>
      <c r="I528" s="10">
        <f t="shared" si="48"/>
        <v>1.091805588166217E-2</v>
      </c>
      <c r="J528" s="10">
        <f t="shared" si="49"/>
        <v>9.639968146191169E-4</v>
      </c>
      <c r="K528" s="10">
        <f t="shared" si="50"/>
        <v>4.87672717420784E-4</v>
      </c>
      <c r="L528" s="10">
        <f t="shared" si="51"/>
        <v>1.9055077003393261E-2</v>
      </c>
      <c r="M528" s="10">
        <f t="shared" si="53"/>
        <v>6.2645975336552695E-3</v>
      </c>
      <c r="N528" s="1"/>
      <c r="O528" s="2">
        <v>4433.3100000000004</v>
      </c>
      <c r="P528" s="12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spans="1:31" ht="15" thickBot="1" x14ac:dyDescent="0.35">
      <c r="A529" s="1">
        <v>45163</v>
      </c>
      <c r="B529">
        <v>46.02</v>
      </c>
      <c r="C529">
        <v>85.18</v>
      </c>
      <c r="D529">
        <v>238.59</v>
      </c>
      <c r="E529">
        <v>553.65</v>
      </c>
      <c r="F529">
        <v>38.31</v>
      </c>
      <c r="G529" s="4"/>
      <c r="H529" s="10">
        <f t="shared" si="52"/>
        <v>-2.4173027989821794E-2</v>
      </c>
      <c r="I529" s="10">
        <f t="shared" si="48"/>
        <v>-3.1597425394966905E-3</v>
      </c>
      <c r="J529" s="10">
        <f t="shared" si="49"/>
        <v>3.7167449139280162E-2</v>
      </c>
      <c r="K529" s="10">
        <f t="shared" si="50"/>
        <v>1.0310218978102137E-2</v>
      </c>
      <c r="L529" s="10">
        <f t="shared" si="51"/>
        <v>-1.920122887864828E-2</v>
      </c>
      <c r="M529" s="10">
        <f t="shared" si="53"/>
        <v>6.7179884423178571E-3</v>
      </c>
      <c r="N529" s="1"/>
      <c r="O529" s="2">
        <v>4405.71</v>
      </c>
      <c r="P529" s="12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spans="1:31" ht="15" thickBot="1" x14ac:dyDescent="0.35">
      <c r="A530" s="1">
        <v>45162</v>
      </c>
      <c r="B530">
        <v>47.16</v>
      </c>
      <c r="C530">
        <v>85.45</v>
      </c>
      <c r="D530">
        <v>230.04</v>
      </c>
      <c r="E530">
        <v>548</v>
      </c>
      <c r="F530">
        <v>39.06</v>
      </c>
      <c r="G530" s="4"/>
      <c r="H530" s="10">
        <f t="shared" si="52"/>
        <v>8.4889643463492703E-4</v>
      </c>
      <c r="I530" s="10">
        <f t="shared" si="48"/>
        <v>-2.521104266484131E-2</v>
      </c>
      <c r="J530" s="10">
        <f t="shared" si="49"/>
        <v>-2.8793380055729179E-2</v>
      </c>
      <c r="K530" s="10">
        <f t="shared" si="50"/>
        <v>-9.686280179268536E-3</v>
      </c>
      <c r="L530" s="10">
        <f t="shared" si="51"/>
        <v>-3.3171727481499103E-3</v>
      </c>
      <c r="M530" s="10">
        <f t="shared" si="53"/>
        <v>-1.3458039995401183E-2</v>
      </c>
      <c r="N530" s="1"/>
      <c r="O530" s="2">
        <v>4376.3100000000004</v>
      </c>
      <c r="P530" s="12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spans="1:31" ht="15" thickBot="1" x14ac:dyDescent="0.35">
      <c r="A531" s="1">
        <v>45161</v>
      </c>
      <c r="B531">
        <v>47.12</v>
      </c>
      <c r="C531">
        <v>87.66</v>
      </c>
      <c r="D531">
        <v>236.86</v>
      </c>
      <c r="E531">
        <v>553.36</v>
      </c>
      <c r="F531">
        <v>39.19</v>
      </c>
      <c r="G531" s="4"/>
      <c r="H531" s="10">
        <f t="shared" si="52"/>
        <v>3.1749507335230964E-2</v>
      </c>
      <c r="I531" s="10">
        <f t="shared" ref="I531:I594" si="54">(C531/C532)-1</f>
        <v>2.4304744099088449E-2</v>
      </c>
      <c r="J531" s="10">
        <f t="shared" ref="J531:J594" si="55">(D531/D532)-1</f>
        <v>1.5738239204082571E-2</v>
      </c>
      <c r="K531" s="10">
        <f t="shared" ref="K531:K594" si="56">(E531/E532)-1</f>
        <v>-5.4184878806484704E-4</v>
      </c>
      <c r="L531" s="10">
        <f t="shared" ref="L531:L594" si="57">(F531/F532)-1</f>
        <v>1.5284974093264125E-2</v>
      </c>
      <c r="M531" s="10">
        <f t="shared" si="53"/>
        <v>1.1044888377340412E-2</v>
      </c>
      <c r="N531" s="1"/>
      <c r="O531" s="2">
        <v>4436.01</v>
      </c>
      <c r="P531" s="12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spans="1:31" ht="15" thickBot="1" x14ac:dyDescent="0.35">
      <c r="A532" s="1">
        <v>45160</v>
      </c>
      <c r="B532">
        <v>45.67</v>
      </c>
      <c r="C532">
        <v>85.58</v>
      </c>
      <c r="D532">
        <v>233.19</v>
      </c>
      <c r="E532">
        <v>553.66</v>
      </c>
      <c r="F532">
        <v>38.6</v>
      </c>
      <c r="G532" s="4"/>
      <c r="H532" s="10">
        <f t="shared" si="52"/>
        <v>-2.767724079199485E-2</v>
      </c>
      <c r="I532" s="10">
        <f t="shared" si="54"/>
        <v>-1.0750202288752786E-2</v>
      </c>
      <c r="J532" s="10">
        <f t="shared" si="55"/>
        <v>8.2583881010029891E-3</v>
      </c>
      <c r="K532" s="10">
        <f t="shared" si="56"/>
        <v>6.5630397236615678E-3</v>
      </c>
      <c r="L532" s="10">
        <f t="shared" si="57"/>
        <v>9.1503267973855884E-3</v>
      </c>
      <c r="M532" s="10">
        <f t="shared" si="53"/>
        <v>-2.7774179104816943E-3</v>
      </c>
      <c r="N532" s="1"/>
      <c r="O532" s="2">
        <v>4387.55</v>
      </c>
      <c r="P532" s="12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spans="1:31" ht="15" thickBot="1" x14ac:dyDescent="0.35">
      <c r="A533" s="1">
        <v>45159</v>
      </c>
      <c r="B533">
        <v>46.97</v>
      </c>
      <c r="C533">
        <v>86.51</v>
      </c>
      <c r="D533">
        <v>231.28</v>
      </c>
      <c r="E533">
        <v>550.04999999999995</v>
      </c>
      <c r="F533">
        <v>38.25</v>
      </c>
      <c r="G533" s="4"/>
      <c r="H533" s="10">
        <f t="shared" si="52"/>
        <v>8.4757505773672026E-2</v>
      </c>
      <c r="I533" s="10">
        <f t="shared" si="54"/>
        <v>4.7590215548559023E-2</v>
      </c>
      <c r="J533" s="10">
        <f t="shared" si="55"/>
        <v>7.3274861942549396E-2</v>
      </c>
      <c r="K533" s="10">
        <f t="shared" si="56"/>
        <v>6.6248192815181461E-3</v>
      </c>
      <c r="L533" s="10">
        <f t="shared" si="57"/>
        <v>1.3089005235600304E-3</v>
      </c>
      <c r="M533" s="10">
        <f t="shared" si="53"/>
        <v>6.8791750482297687E-3</v>
      </c>
      <c r="N533" s="1"/>
      <c r="O533" s="2">
        <v>4399.7700000000004</v>
      </c>
      <c r="P533" s="12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spans="1:31" ht="15" thickBot="1" x14ac:dyDescent="0.35">
      <c r="A534" s="1">
        <v>45156</v>
      </c>
      <c r="B534">
        <v>43.3</v>
      </c>
      <c r="C534">
        <v>82.58</v>
      </c>
      <c r="D534">
        <v>215.49</v>
      </c>
      <c r="E534">
        <v>546.42999999999995</v>
      </c>
      <c r="F534">
        <v>38.200000000000003</v>
      </c>
      <c r="G534" s="4"/>
      <c r="H534" s="10">
        <f t="shared" si="52"/>
        <v>-9.2293493308737151E-4</v>
      </c>
      <c r="I534" s="10">
        <f t="shared" si="54"/>
        <v>-1.5717567404183175E-3</v>
      </c>
      <c r="J534" s="10">
        <f t="shared" si="55"/>
        <v>-1.7014870905939228E-2</v>
      </c>
      <c r="K534" s="10">
        <f t="shared" si="56"/>
        <v>1.6311423576237827E-2</v>
      </c>
      <c r="L534" s="10">
        <f t="shared" si="57"/>
        <v>-1.1898603207449399E-2</v>
      </c>
      <c r="M534" s="10">
        <f t="shared" si="53"/>
        <v>-1.4872916647590273E-4</v>
      </c>
      <c r="N534" s="1"/>
      <c r="O534" s="2">
        <v>4369.71</v>
      </c>
      <c r="P534" s="12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spans="1:31" ht="15" thickBot="1" x14ac:dyDescent="0.35">
      <c r="A535" s="1">
        <v>45155</v>
      </c>
      <c r="B535">
        <v>43.34</v>
      </c>
      <c r="C535">
        <v>82.71</v>
      </c>
      <c r="D535">
        <v>219.22</v>
      </c>
      <c r="E535">
        <v>537.66</v>
      </c>
      <c r="F535">
        <v>38.659999999999997</v>
      </c>
      <c r="G535" s="4"/>
      <c r="H535" s="10">
        <f t="shared" si="52"/>
        <v>-3.4490687514371343E-3</v>
      </c>
      <c r="I535" s="10">
        <f t="shared" si="54"/>
        <v>-7.0828331332533079E-3</v>
      </c>
      <c r="J535" s="10">
        <f t="shared" si="55"/>
        <v>-2.8280141843971651E-2</v>
      </c>
      <c r="K535" s="10">
        <f t="shared" si="56"/>
        <v>-1.5707381370826057E-2</v>
      </c>
      <c r="L535" s="10">
        <f t="shared" si="57"/>
        <v>9.6630974144684689E-3</v>
      </c>
      <c r="M535" s="10">
        <f t="shared" si="53"/>
        <v>-7.7128643857296009E-3</v>
      </c>
      <c r="N535" s="1"/>
      <c r="O535" s="2">
        <v>4370.3599999999997</v>
      </c>
      <c r="P535" s="12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spans="1:31" ht="15" thickBot="1" x14ac:dyDescent="0.35">
      <c r="A536" s="1">
        <v>45154</v>
      </c>
      <c r="B536">
        <v>43.49</v>
      </c>
      <c r="C536">
        <v>83.3</v>
      </c>
      <c r="D536">
        <v>225.6</v>
      </c>
      <c r="E536">
        <v>546.24</v>
      </c>
      <c r="F536">
        <v>38.29</v>
      </c>
      <c r="G536" s="4"/>
      <c r="H536" s="10">
        <f t="shared" si="52"/>
        <v>-1.0241238051888812E-2</v>
      </c>
      <c r="I536" s="10">
        <f t="shared" si="54"/>
        <v>-1.1275964391691429E-2</v>
      </c>
      <c r="J536" s="10">
        <f t="shared" si="55"/>
        <v>-3.1593406593406703E-2</v>
      </c>
      <c r="K536" s="10">
        <f t="shared" si="56"/>
        <v>-6.9518129596424227E-4</v>
      </c>
      <c r="L536" s="10">
        <f t="shared" si="57"/>
        <v>-4.6789706264621644E-3</v>
      </c>
      <c r="M536" s="10">
        <f t="shared" si="53"/>
        <v>-7.5554433893813E-3</v>
      </c>
      <c r="N536" s="1"/>
      <c r="O536" s="2">
        <v>4404.33</v>
      </c>
      <c r="P536" s="12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spans="1:31" ht="15" thickBot="1" x14ac:dyDescent="0.35">
      <c r="A537" s="1">
        <v>45153</v>
      </c>
      <c r="B537">
        <v>43.94</v>
      </c>
      <c r="C537">
        <v>84.25</v>
      </c>
      <c r="D537">
        <v>232.96</v>
      </c>
      <c r="E537">
        <v>546.62</v>
      </c>
      <c r="F537">
        <v>38.47</v>
      </c>
      <c r="G537" s="4"/>
      <c r="H537" s="10">
        <f t="shared" si="52"/>
        <v>4.3428571428569818E-3</v>
      </c>
      <c r="I537" s="10">
        <f t="shared" si="54"/>
        <v>-1.3581547828123153E-2</v>
      </c>
      <c r="J537" s="10">
        <f t="shared" si="55"/>
        <v>-2.8361695028361611E-2</v>
      </c>
      <c r="K537" s="10">
        <f t="shared" si="56"/>
        <v>1.6022304832713719E-2</v>
      </c>
      <c r="L537" s="10">
        <f t="shared" si="57"/>
        <v>-2.5088697415104E-2</v>
      </c>
      <c r="M537" s="10">
        <f t="shared" si="53"/>
        <v>-1.1550831677699436E-2</v>
      </c>
      <c r="N537" s="1"/>
      <c r="O537" s="2">
        <v>4437.8599999999997</v>
      </c>
      <c r="P537" s="12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spans="1:31" ht="15" thickBot="1" x14ac:dyDescent="0.35">
      <c r="A538" s="1">
        <v>45152</v>
      </c>
      <c r="B538">
        <v>43.75</v>
      </c>
      <c r="C538">
        <v>85.41</v>
      </c>
      <c r="D538">
        <v>239.76</v>
      </c>
      <c r="E538">
        <v>538</v>
      </c>
      <c r="F538">
        <v>39.46</v>
      </c>
      <c r="G538" s="4"/>
      <c r="H538" s="10">
        <f t="shared" si="52"/>
        <v>7.0991432068543414E-2</v>
      </c>
      <c r="I538" s="10">
        <f t="shared" si="54"/>
        <v>2.9284164859002093E-2</v>
      </c>
      <c r="J538" s="10">
        <f t="shared" si="55"/>
        <v>-1.1910158664743542E-2</v>
      </c>
      <c r="K538" s="10">
        <f t="shared" si="56"/>
        <v>1.8399333686681452E-2</v>
      </c>
      <c r="L538" s="10">
        <f t="shared" si="57"/>
        <v>-1.8163722318984776E-2</v>
      </c>
      <c r="M538" s="10">
        <f t="shared" si="53"/>
        <v>5.7503836202552616E-3</v>
      </c>
      <c r="N538" s="1"/>
      <c r="O538" s="2">
        <v>4489.72</v>
      </c>
      <c r="P538" s="12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spans="1:31" ht="15" thickBot="1" x14ac:dyDescent="0.35">
      <c r="A539" s="1">
        <v>45149</v>
      </c>
      <c r="B539">
        <v>40.85</v>
      </c>
      <c r="C539">
        <v>82.98</v>
      </c>
      <c r="D539">
        <v>242.65</v>
      </c>
      <c r="E539">
        <v>528.28</v>
      </c>
      <c r="F539">
        <v>40.19</v>
      </c>
      <c r="G539" s="4"/>
      <c r="H539" s="10">
        <f t="shared" si="52"/>
        <v>-3.6329322953526755E-2</v>
      </c>
      <c r="I539" s="10">
        <f t="shared" si="54"/>
        <v>-1.5541582631391604E-2</v>
      </c>
      <c r="J539" s="10">
        <f t="shared" si="55"/>
        <v>-1.0964375968044338E-2</v>
      </c>
      <c r="K539" s="10">
        <f t="shared" si="56"/>
        <v>1.3311850232094136E-2</v>
      </c>
      <c r="L539" s="10">
        <f t="shared" si="57"/>
        <v>8.7851405622487722E-3</v>
      </c>
      <c r="M539" s="10">
        <f t="shared" si="53"/>
        <v>-1.0696312010077813E-3</v>
      </c>
      <c r="N539" s="1"/>
      <c r="O539" s="2">
        <v>4464.05</v>
      </c>
      <c r="P539" s="12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spans="1:31" ht="15" thickBot="1" x14ac:dyDescent="0.35">
      <c r="A540" s="1">
        <v>45148</v>
      </c>
      <c r="B540">
        <v>42.39</v>
      </c>
      <c r="C540">
        <v>84.29</v>
      </c>
      <c r="D540">
        <v>245.34</v>
      </c>
      <c r="E540">
        <v>521.34</v>
      </c>
      <c r="F540">
        <v>39.840000000000003</v>
      </c>
      <c r="G540" s="4"/>
      <c r="H540" s="10">
        <f t="shared" si="52"/>
        <v>-3.7602820211515287E-3</v>
      </c>
      <c r="I540" s="10">
        <f t="shared" si="54"/>
        <v>-9.1689197131772371E-3</v>
      </c>
      <c r="J540" s="10">
        <f t="shared" si="55"/>
        <v>1.3006317354143482E-2</v>
      </c>
      <c r="K540" s="10">
        <f t="shared" si="56"/>
        <v>-9.2925146798927827E-3</v>
      </c>
      <c r="L540" s="10">
        <f t="shared" si="57"/>
        <v>-1.7539463793533328E-3</v>
      </c>
      <c r="M540" s="10">
        <f t="shared" si="53"/>
        <v>2.5068771249703303E-4</v>
      </c>
      <c r="N540" s="1"/>
      <c r="O540" s="2">
        <v>4468.83</v>
      </c>
      <c r="P540" s="12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spans="1:31" ht="15" thickBot="1" x14ac:dyDescent="0.35">
      <c r="A541" s="1">
        <v>45147</v>
      </c>
      <c r="B541">
        <v>42.55</v>
      </c>
      <c r="C541">
        <v>85.07</v>
      </c>
      <c r="D541">
        <v>242.19</v>
      </c>
      <c r="E541">
        <v>526.23</v>
      </c>
      <c r="F541">
        <v>39.909999999999997</v>
      </c>
      <c r="G541" s="4"/>
      <c r="H541" s="10">
        <f t="shared" si="52"/>
        <v>-4.7245857590685114E-2</v>
      </c>
      <c r="I541" s="10">
        <f t="shared" si="54"/>
        <v>-3.6798007246376829E-2</v>
      </c>
      <c r="J541" s="10">
        <f t="shared" si="55"/>
        <v>-3.0076091309571451E-2</v>
      </c>
      <c r="K541" s="10">
        <f t="shared" si="56"/>
        <v>8.8765337423313273E-3</v>
      </c>
      <c r="L541" s="10">
        <f t="shared" si="57"/>
        <v>1.75702811244971E-3</v>
      </c>
      <c r="M541" s="10">
        <f t="shared" si="53"/>
        <v>-7.0387475607750494E-3</v>
      </c>
      <c r="N541" s="1"/>
      <c r="O541" s="2">
        <v>4467.71</v>
      </c>
      <c r="P541" s="12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spans="1:31" ht="15" thickBot="1" x14ac:dyDescent="0.35">
      <c r="A542" s="1">
        <v>45146</v>
      </c>
      <c r="B542">
        <v>44.66</v>
      </c>
      <c r="C542">
        <v>88.32</v>
      </c>
      <c r="D542">
        <v>249.7</v>
      </c>
      <c r="E542">
        <v>521.6</v>
      </c>
      <c r="F542">
        <v>39.840000000000003</v>
      </c>
      <c r="G542" s="4"/>
      <c r="H542" s="10">
        <f t="shared" si="52"/>
        <v>-1.6732716864817365E-2</v>
      </c>
      <c r="I542" s="10">
        <f t="shared" si="54"/>
        <v>-1.5494370750195108E-2</v>
      </c>
      <c r="J542" s="10">
        <f t="shared" si="55"/>
        <v>-6.9596341220918845E-3</v>
      </c>
      <c r="K542" s="10">
        <f t="shared" si="56"/>
        <v>0.14869626497533472</v>
      </c>
      <c r="L542" s="10">
        <f t="shared" si="57"/>
        <v>-1.5810276679841695E-2</v>
      </c>
      <c r="M542" s="10">
        <f t="shared" si="53"/>
        <v>-4.2182700223970526E-3</v>
      </c>
      <c r="N542" s="1"/>
      <c r="O542" s="2">
        <v>4499.38</v>
      </c>
      <c r="P542" s="12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spans="1:31" ht="15" thickBot="1" x14ac:dyDescent="0.35">
      <c r="A543" s="1">
        <v>45145</v>
      </c>
      <c r="B543">
        <v>45.42</v>
      </c>
      <c r="C543">
        <v>89.71</v>
      </c>
      <c r="D543">
        <v>251.45</v>
      </c>
      <c r="E543">
        <v>454.08</v>
      </c>
      <c r="F543">
        <v>40.479999999999997</v>
      </c>
      <c r="G543" s="4"/>
      <c r="H543" s="10">
        <f t="shared" si="52"/>
        <v>1.6562220232766434E-2</v>
      </c>
      <c r="I543" s="10">
        <f t="shared" si="54"/>
        <v>1.7466258364523091E-2</v>
      </c>
      <c r="J543" s="10">
        <f t="shared" si="55"/>
        <v>-9.4934215709446823E-3</v>
      </c>
      <c r="K543" s="10">
        <f t="shared" si="56"/>
        <v>1.0211573116198247E-2</v>
      </c>
      <c r="L543" s="10">
        <f t="shared" si="57"/>
        <v>-9.5424516760460598E-3</v>
      </c>
      <c r="M543" s="10">
        <f t="shared" si="53"/>
        <v>9.02405745383561E-3</v>
      </c>
      <c r="N543" s="1"/>
      <c r="O543" s="2">
        <v>4518.4399999999996</v>
      </c>
      <c r="P543" s="12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spans="1:31" ht="15" thickBot="1" x14ac:dyDescent="0.35">
      <c r="A544" s="1">
        <v>45142</v>
      </c>
      <c r="B544">
        <v>44.68</v>
      </c>
      <c r="C544">
        <v>88.17</v>
      </c>
      <c r="D544">
        <v>253.86</v>
      </c>
      <c r="E544">
        <v>449.49</v>
      </c>
      <c r="F544">
        <v>40.869999999999997</v>
      </c>
      <c r="G544" s="4"/>
      <c r="H544" s="10">
        <f t="shared" si="52"/>
        <v>3.8193664345091971E-3</v>
      </c>
      <c r="I544" s="10">
        <f t="shared" si="54"/>
        <v>-3.7288135593219751E-3</v>
      </c>
      <c r="J544" s="10">
        <f t="shared" si="55"/>
        <v>-2.1055067098565416E-2</v>
      </c>
      <c r="K544" s="10">
        <f t="shared" si="56"/>
        <v>7.3470478226012048E-4</v>
      </c>
      <c r="L544" s="10">
        <f t="shared" si="57"/>
        <v>1.0633036597428314E-2</v>
      </c>
      <c r="M544" s="10">
        <f t="shared" si="53"/>
        <v>-5.2999962238083898E-3</v>
      </c>
      <c r="N544" s="1"/>
      <c r="O544" s="2">
        <v>4478.03</v>
      </c>
      <c r="P544" s="12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spans="1:31" ht="15" thickBot="1" x14ac:dyDescent="0.35">
      <c r="A545" s="1">
        <v>45141</v>
      </c>
      <c r="B545">
        <v>44.51</v>
      </c>
      <c r="C545">
        <v>88.5</v>
      </c>
      <c r="D545">
        <v>259.32</v>
      </c>
      <c r="E545">
        <v>449.16</v>
      </c>
      <c r="F545">
        <v>40.44</v>
      </c>
      <c r="G545" s="4"/>
      <c r="H545" s="10">
        <f t="shared" si="52"/>
        <v>5.4212785181837475E-3</v>
      </c>
      <c r="I545" s="10">
        <f t="shared" si="54"/>
        <v>-8.1811050095259574E-3</v>
      </c>
      <c r="J545" s="10">
        <f t="shared" si="55"/>
        <v>2.0502931801188451E-2</v>
      </c>
      <c r="K545" s="10">
        <f t="shared" si="56"/>
        <v>-1.1705685618729089E-2</v>
      </c>
      <c r="L545" s="10">
        <f t="shared" si="57"/>
        <v>-5.4107230693556385E-3</v>
      </c>
      <c r="M545" s="10">
        <f t="shared" si="53"/>
        <v>-2.5479739176096361E-3</v>
      </c>
      <c r="N545" s="1"/>
      <c r="O545" s="2">
        <v>4501.8900000000003</v>
      </c>
      <c r="P545" s="12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spans="1:31" ht="15" thickBot="1" x14ac:dyDescent="0.35">
      <c r="A546" s="1">
        <v>45140</v>
      </c>
      <c r="B546">
        <v>44.27</v>
      </c>
      <c r="C546">
        <v>89.23</v>
      </c>
      <c r="D546">
        <v>254.11</v>
      </c>
      <c r="E546">
        <v>454.48</v>
      </c>
      <c r="F546">
        <v>40.659999999999997</v>
      </c>
      <c r="G546" s="4"/>
      <c r="H546" s="10">
        <f t="shared" si="52"/>
        <v>-4.8161685658997921E-2</v>
      </c>
      <c r="I546" s="10">
        <f t="shared" si="54"/>
        <v>-3.0108695652173889E-2</v>
      </c>
      <c r="J546" s="10">
        <f t="shared" si="55"/>
        <v>-2.6659516604741973E-2</v>
      </c>
      <c r="K546" s="10">
        <f t="shared" si="56"/>
        <v>3.0678231697898184E-3</v>
      </c>
      <c r="L546" s="10">
        <f t="shared" si="57"/>
        <v>-2.5173819228002992E-2</v>
      </c>
      <c r="M546" s="10">
        <f t="shared" si="53"/>
        <v>-1.383957541738301E-2</v>
      </c>
      <c r="N546" s="1"/>
      <c r="O546" s="2">
        <v>4513.3900000000003</v>
      </c>
      <c r="P546" s="12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spans="1:31" ht="15" thickBot="1" x14ac:dyDescent="0.35">
      <c r="A547" s="1">
        <v>45139</v>
      </c>
      <c r="B547">
        <v>46.51</v>
      </c>
      <c r="C547">
        <v>92</v>
      </c>
      <c r="D547">
        <v>261.07</v>
      </c>
      <c r="E547">
        <v>453.09</v>
      </c>
      <c r="F547">
        <v>41.71</v>
      </c>
      <c r="G547" s="4"/>
      <c r="H547" s="10">
        <f t="shared" si="52"/>
        <v>-4.7078964262785572E-3</v>
      </c>
      <c r="I547" s="10">
        <f t="shared" si="54"/>
        <v>2.3814823058090351E-2</v>
      </c>
      <c r="J547" s="10">
        <f t="shared" si="55"/>
        <v>-2.3781924241857766E-2</v>
      </c>
      <c r="K547" s="10">
        <f t="shared" si="56"/>
        <v>-3.2119678803212981E-3</v>
      </c>
      <c r="L547" s="10">
        <f t="shared" si="57"/>
        <v>-2.819198508853682E-2</v>
      </c>
      <c r="M547" s="10">
        <f t="shared" si="53"/>
        <v>-2.6650918726683903E-3</v>
      </c>
      <c r="N547" s="1"/>
      <c r="O547" s="2">
        <v>4576.7299999999996</v>
      </c>
      <c r="P547" s="12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spans="1:31" ht="15" thickBot="1" x14ac:dyDescent="0.35">
      <c r="A548" s="1">
        <v>45138</v>
      </c>
      <c r="B548">
        <v>46.73</v>
      </c>
      <c r="C548">
        <v>89.86</v>
      </c>
      <c r="D548">
        <v>267.43</v>
      </c>
      <c r="E548">
        <v>454.55</v>
      </c>
      <c r="F548">
        <v>42.92</v>
      </c>
      <c r="G548" s="4"/>
      <c r="H548" s="10">
        <f t="shared" si="52"/>
        <v>-4.2780748663107104E-4</v>
      </c>
      <c r="I548" s="10">
        <f t="shared" si="54"/>
        <v>-1.3336296954878923E-3</v>
      </c>
      <c r="J548" s="10">
        <f t="shared" si="55"/>
        <v>3.715658309563219E-3</v>
      </c>
      <c r="K548" s="10">
        <f t="shared" si="56"/>
        <v>-8.571802477752577E-3</v>
      </c>
      <c r="L548" s="10">
        <f t="shared" si="57"/>
        <v>1.1786892975011787E-2</v>
      </c>
      <c r="M548" s="10">
        <f t="shared" si="53"/>
        <v>1.4687171966489831E-3</v>
      </c>
      <c r="N548" s="1"/>
      <c r="O548" s="2">
        <v>4588.96</v>
      </c>
      <c r="P548" s="12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spans="1:31" ht="15" thickBot="1" x14ac:dyDescent="0.35">
      <c r="A549" s="1">
        <v>45135</v>
      </c>
      <c r="B549">
        <v>46.75</v>
      </c>
      <c r="C549">
        <v>89.98</v>
      </c>
      <c r="D549">
        <v>266.44</v>
      </c>
      <c r="E549">
        <v>458.48</v>
      </c>
      <c r="F549">
        <v>42.42</v>
      </c>
      <c r="G549" s="4"/>
      <c r="H549" s="10">
        <f t="shared" si="52"/>
        <v>1.8518518518518601E-2</v>
      </c>
      <c r="I549" s="10">
        <f t="shared" si="54"/>
        <v>7.0509233351987444E-3</v>
      </c>
      <c r="J549" s="10">
        <f t="shared" si="55"/>
        <v>4.1961597121739524E-2</v>
      </c>
      <c r="K549" s="10">
        <f t="shared" si="56"/>
        <v>7.6704982527089349E-3</v>
      </c>
      <c r="L549" s="10">
        <f t="shared" si="57"/>
        <v>7.3616718119211555E-3</v>
      </c>
      <c r="M549" s="10">
        <f t="shared" si="53"/>
        <v>9.8778818753428865E-3</v>
      </c>
      <c r="N549" s="1"/>
      <c r="O549" s="2">
        <v>4582.2299999999996</v>
      </c>
      <c r="P549" s="12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spans="1:31" ht="15" thickBot="1" x14ac:dyDescent="0.35">
      <c r="A550" s="1">
        <v>45134</v>
      </c>
      <c r="B550">
        <v>45.9</v>
      </c>
      <c r="C550">
        <v>89.35</v>
      </c>
      <c r="D550">
        <v>255.71</v>
      </c>
      <c r="E550">
        <v>454.99</v>
      </c>
      <c r="F550">
        <v>42.11</v>
      </c>
      <c r="G550" s="4"/>
      <c r="H550" s="10">
        <f t="shared" si="52"/>
        <v>9.9009900990099098E-3</v>
      </c>
      <c r="I550" s="10">
        <f t="shared" si="54"/>
        <v>4.4787817713576317E-4</v>
      </c>
      <c r="J550" s="10">
        <f t="shared" si="55"/>
        <v>-3.2683941743900213E-2</v>
      </c>
      <c r="K550" s="10">
        <f t="shared" si="56"/>
        <v>3.0864877973502125E-3</v>
      </c>
      <c r="L550" s="10">
        <f t="shared" si="57"/>
        <v>-3.0840046029919521E-2</v>
      </c>
      <c r="M550" s="10">
        <f t="shared" si="53"/>
        <v>-6.4247002791920638E-3</v>
      </c>
      <c r="N550" s="1"/>
      <c r="O550" s="2">
        <v>4537.41</v>
      </c>
      <c r="P550" s="12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spans="1:31" ht="15" thickBot="1" x14ac:dyDescent="0.35">
      <c r="A551" s="1">
        <v>45133</v>
      </c>
      <c r="B551">
        <v>45.45</v>
      </c>
      <c r="C551">
        <v>89.31</v>
      </c>
      <c r="D551">
        <v>264.35000000000002</v>
      </c>
      <c r="E551">
        <v>453.59</v>
      </c>
      <c r="F551">
        <v>43.45</v>
      </c>
      <c r="G551" s="4"/>
      <c r="H551" s="10">
        <f t="shared" si="52"/>
        <v>-5.035026269702203E-3</v>
      </c>
      <c r="I551" s="10">
        <f t="shared" si="54"/>
        <v>-2.7124183006535851E-2</v>
      </c>
      <c r="J551" s="10">
        <f t="shared" si="55"/>
        <v>-3.5057297949334654E-3</v>
      </c>
      <c r="K551" s="10">
        <f t="shared" si="56"/>
        <v>-8.6331249726800952E-3</v>
      </c>
      <c r="L551" s="10">
        <f t="shared" si="57"/>
        <v>-3.6688832836504481E-3</v>
      </c>
      <c r="M551" s="10">
        <f t="shared" si="53"/>
        <v>-1.5544744781559316E-4</v>
      </c>
      <c r="N551" s="1"/>
      <c r="O551" s="2">
        <v>4566.75</v>
      </c>
      <c r="P551" s="12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spans="1:31" ht="15" thickBot="1" x14ac:dyDescent="0.35">
      <c r="A552" s="1">
        <v>45132</v>
      </c>
      <c r="B552">
        <v>45.68</v>
      </c>
      <c r="C552">
        <v>91.8</v>
      </c>
      <c r="D552">
        <v>265.27999999999997</v>
      </c>
      <c r="E552">
        <v>457.54</v>
      </c>
      <c r="F552">
        <v>43.61</v>
      </c>
      <c r="G552" s="4"/>
      <c r="H552" s="10">
        <f t="shared" si="52"/>
        <v>2.3985653440932619E-2</v>
      </c>
      <c r="I552" s="10">
        <f t="shared" si="54"/>
        <v>1.8189884649511878E-2</v>
      </c>
      <c r="J552" s="10">
        <f t="shared" si="55"/>
        <v>-1.4048911023563648E-2</v>
      </c>
      <c r="K552" s="10">
        <f t="shared" si="56"/>
        <v>-3.8752939127405517E-3</v>
      </c>
      <c r="L552" s="10">
        <f t="shared" si="57"/>
        <v>8.790191996298935E-3</v>
      </c>
      <c r="M552" s="10">
        <f t="shared" si="53"/>
        <v>2.8147120299297779E-3</v>
      </c>
      <c r="N552" s="1"/>
      <c r="O552" s="2">
        <v>4567.46</v>
      </c>
      <c r="P552" s="12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spans="1:31" ht="15" thickBot="1" x14ac:dyDescent="0.35">
      <c r="A553" s="1">
        <v>45131</v>
      </c>
      <c r="B553">
        <v>44.61</v>
      </c>
      <c r="C553">
        <v>90.16</v>
      </c>
      <c r="D553">
        <v>269.06</v>
      </c>
      <c r="E553">
        <v>459.32</v>
      </c>
      <c r="F553">
        <v>43.23</v>
      </c>
      <c r="G553" s="4"/>
      <c r="H553" s="10">
        <f t="shared" si="52"/>
        <v>6.7704807041299997E-3</v>
      </c>
      <c r="I553" s="10">
        <f t="shared" si="54"/>
        <v>5.352363960749118E-3</v>
      </c>
      <c r="J553" s="10">
        <f t="shared" si="55"/>
        <v>3.476655641873716E-2</v>
      </c>
      <c r="K553" s="10">
        <f t="shared" si="56"/>
        <v>-5.8869361960004474E-3</v>
      </c>
      <c r="L553" s="10">
        <f t="shared" si="57"/>
        <v>4.6285582041183382E-4</v>
      </c>
      <c r="M553" s="10">
        <f t="shared" si="53"/>
        <v>4.0340891555747938E-3</v>
      </c>
      <c r="N553" s="1"/>
      <c r="O553" s="2">
        <v>4554.6400000000003</v>
      </c>
      <c r="P553" s="12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spans="1:31" ht="15" thickBot="1" x14ac:dyDescent="0.35">
      <c r="A554" s="1">
        <v>45128</v>
      </c>
      <c r="B554">
        <v>44.31</v>
      </c>
      <c r="C554">
        <v>89.68</v>
      </c>
      <c r="D554">
        <v>260.02</v>
      </c>
      <c r="E554">
        <v>462.04</v>
      </c>
      <c r="F554">
        <v>43.21</v>
      </c>
      <c r="G554" s="4"/>
      <c r="H554" s="10">
        <f t="shared" si="52"/>
        <v>-2.6581722319859447E-2</v>
      </c>
      <c r="I554" s="10">
        <f t="shared" si="54"/>
        <v>9.5688393560735552E-3</v>
      </c>
      <c r="J554" s="10">
        <f t="shared" si="55"/>
        <v>-1.0954735640928082E-2</v>
      </c>
      <c r="K554" s="10">
        <f t="shared" si="56"/>
        <v>-3.8376956577982346E-3</v>
      </c>
      <c r="L554" s="10">
        <f t="shared" si="57"/>
        <v>1.7903415783274479E-2</v>
      </c>
      <c r="M554" s="10">
        <f t="shared" si="53"/>
        <v>3.2415482692993436E-4</v>
      </c>
      <c r="N554" s="1"/>
      <c r="O554" s="2">
        <v>4536.34</v>
      </c>
      <c r="P554" s="12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spans="1:31" ht="15" thickBot="1" x14ac:dyDescent="0.35">
      <c r="A555" s="1">
        <v>45127</v>
      </c>
      <c r="B555">
        <v>45.52</v>
      </c>
      <c r="C555">
        <v>88.83</v>
      </c>
      <c r="D555">
        <v>262.89999999999998</v>
      </c>
      <c r="E555">
        <v>463.82</v>
      </c>
      <c r="F555">
        <v>42.45</v>
      </c>
      <c r="G555" s="4"/>
      <c r="H555" s="10">
        <f t="shared" si="52"/>
        <v>-3.3135089209855417E-2</v>
      </c>
      <c r="I555" s="10">
        <f t="shared" si="54"/>
        <v>-1.4532948746394547E-2</v>
      </c>
      <c r="J555" s="10">
        <f t="shared" si="55"/>
        <v>-9.7370047380347491E-2</v>
      </c>
      <c r="K555" s="10">
        <f t="shared" si="56"/>
        <v>2.2621042419966431E-2</v>
      </c>
      <c r="L555" s="10">
        <f t="shared" si="57"/>
        <v>-6.0424966799468738E-2</v>
      </c>
      <c r="M555" s="10">
        <f t="shared" si="53"/>
        <v>-6.7568751478409572E-3</v>
      </c>
      <c r="N555" s="1"/>
      <c r="O555" s="2">
        <v>4534.87</v>
      </c>
      <c r="P555" s="12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spans="1:31" ht="15" thickBot="1" x14ac:dyDescent="0.35">
      <c r="A556" s="1">
        <v>45126</v>
      </c>
      <c r="B556">
        <v>47.08</v>
      </c>
      <c r="C556">
        <v>90.14</v>
      </c>
      <c r="D556">
        <v>291.26</v>
      </c>
      <c r="E556">
        <v>453.56</v>
      </c>
      <c r="F556">
        <v>45.18</v>
      </c>
      <c r="G556" s="4"/>
      <c r="H556" s="10">
        <f t="shared" si="52"/>
        <v>-8.6333965045273242E-3</v>
      </c>
      <c r="I556" s="10">
        <f t="shared" si="54"/>
        <v>-2.2138587558113709E-3</v>
      </c>
      <c r="J556" s="10">
        <f t="shared" si="55"/>
        <v>-7.0907479375468263E-3</v>
      </c>
      <c r="K556" s="10">
        <f t="shared" si="56"/>
        <v>5.2304964539007237E-3</v>
      </c>
      <c r="L556" s="10">
        <f t="shared" si="57"/>
        <v>4.4464206313918897E-3</v>
      </c>
      <c r="M556" s="10">
        <f t="shared" si="53"/>
        <v>2.3578588709500803E-3</v>
      </c>
      <c r="N556" s="1"/>
      <c r="O556" s="2">
        <v>4565.72</v>
      </c>
      <c r="P556" s="12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spans="1:31" ht="15" thickBot="1" x14ac:dyDescent="0.35">
      <c r="A557" s="1">
        <v>45125</v>
      </c>
      <c r="B557">
        <v>47.49</v>
      </c>
      <c r="C557">
        <v>90.34</v>
      </c>
      <c r="D557">
        <v>293.33999999999997</v>
      </c>
      <c r="E557">
        <v>451.2</v>
      </c>
      <c r="F557">
        <v>44.98</v>
      </c>
      <c r="G557" s="4"/>
      <c r="H557" s="10">
        <f t="shared" si="52"/>
        <v>2.2169608265174334E-2</v>
      </c>
      <c r="I557" s="10">
        <f t="shared" si="54"/>
        <v>-7.6889279437609703E-3</v>
      </c>
      <c r="J557" s="10">
        <f t="shared" si="55"/>
        <v>1.0193539499965487E-2</v>
      </c>
      <c r="K557" s="10">
        <f t="shared" si="56"/>
        <v>9.0799302231963086E-3</v>
      </c>
      <c r="L557" s="10">
        <f t="shared" si="57"/>
        <v>8.0681308830121701E-3</v>
      </c>
      <c r="M557" s="10">
        <f t="shared" si="53"/>
        <v>7.1172882225352119E-3</v>
      </c>
      <c r="N557" s="1"/>
      <c r="O557" s="2">
        <v>4554.9799999999996</v>
      </c>
      <c r="P557" s="12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spans="1:31" ht="15" thickBot="1" x14ac:dyDescent="0.35">
      <c r="A558" s="1">
        <v>45124</v>
      </c>
      <c r="B558">
        <v>46.46</v>
      </c>
      <c r="C558">
        <v>91.04</v>
      </c>
      <c r="D558">
        <v>290.38</v>
      </c>
      <c r="E558">
        <v>447.14</v>
      </c>
      <c r="F558">
        <v>44.62</v>
      </c>
      <c r="G558" s="4"/>
      <c r="H558" s="10">
        <f t="shared" si="52"/>
        <v>2.1772597316912279E-2</v>
      </c>
      <c r="I558" s="10">
        <f t="shared" si="54"/>
        <v>2.4532973216295328E-2</v>
      </c>
      <c r="J558" s="10">
        <f t="shared" si="55"/>
        <v>3.1985215722510452E-2</v>
      </c>
      <c r="K558" s="10">
        <f t="shared" si="56"/>
        <v>-5.1617496551417119E-3</v>
      </c>
      <c r="L558" s="10">
        <f t="shared" si="57"/>
        <v>-8.003557136505135E-3</v>
      </c>
      <c r="M558" s="10">
        <f t="shared" si="53"/>
        <v>3.8553564373575711E-3</v>
      </c>
      <c r="N558" s="1"/>
      <c r="O558" s="2">
        <v>4522.79</v>
      </c>
      <c r="P558" s="12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spans="1:31" ht="15" thickBot="1" x14ac:dyDescent="0.35">
      <c r="A559" s="1">
        <v>45121</v>
      </c>
      <c r="B559">
        <v>45.47</v>
      </c>
      <c r="C559">
        <v>88.86</v>
      </c>
      <c r="D559">
        <v>281.38</v>
      </c>
      <c r="E559">
        <v>449.46</v>
      </c>
      <c r="F559">
        <v>44.98</v>
      </c>
      <c r="G559" s="4"/>
      <c r="H559" s="10">
        <f t="shared" si="52"/>
        <v>-1.1091779034362759E-2</v>
      </c>
      <c r="I559" s="10">
        <f t="shared" si="54"/>
        <v>-2.0215633423181778E-3</v>
      </c>
      <c r="J559" s="10">
        <f t="shared" si="55"/>
        <v>1.2522490104354134E-2</v>
      </c>
      <c r="K559" s="10">
        <f t="shared" si="56"/>
        <v>3.3954451345755698E-2</v>
      </c>
      <c r="L559" s="10">
        <f t="shared" si="57"/>
        <v>-1.0776336045744461E-2</v>
      </c>
      <c r="M559" s="10">
        <f t="shared" si="53"/>
        <v>-1.0243811584819129E-3</v>
      </c>
      <c r="N559" s="1"/>
      <c r="O559" s="2">
        <v>4505.42</v>
      </c>
      <c r="P559" s="12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spans="1:31" ht="15" thickBot="1" x14ac:dyDescent="0.35">
      <c r="A560" s="1">
        <v>45120</v>
      </c>
      <c r="B560">
        <v>45.98</v>
      </c>
      <c r="C560">
        <v>89.04</v>
      </c>
      <c r="D560">
        <v>277.89999999999998</v>
      </c>
      <c r="E560">
        <v>434.7</v>
      </c>
      <c r="F560">
        <v>45.47</v>
      </c>
      <c r="G560" s="4"/>
      <c r="H560" s="10">
        <f t="shared" si="52"/>
        <v>4.738041002277904E-2</v>
      </c>
      <c r="I560" s="10">
        <f t="shared" si="54"/>
        <v>4.4943820224729869E-4</v>
      </c>
      <c r="J560" s="10">
        <f t="shared" si="55"/>
        <v>2.1728740027206817E-2</v>
      </c>
      <c r="K560" s="10">
        <f t="shared" si="56"/>
        <v>-1.3390830685429012E-2</v>
      </c>
      <c r="L560" s="10">
        <f t="shared" si="57"/>
        <v>5.7509400575093128E-3</v>
      </c>
      <c r="M560" s="10">
        <f t="shared" si="53"/>
        <v>8.4701799577833192E-3</v>
      </c>
      <c r="N560" s="1"/>
      <c r="O560" s="2">
        <v>4510.04</v>
      </c>
      <c r="P560" s="12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spans="1:31" ht="15" thickBot="1" x14ac:dyDescent="0.35">
      <c r="A561" s="1">
        <v>45119</v>
      </c>
      <c r="B561">
        <v>43.9</v>
      </c>
      <c r="C561">
        <v>89</v>
      </c>
      <c r="D561">
        <v>271.99</v>
      </c>
      <c r="E561">
        <v>440.6</v>
      </c>
      <c r="F561">
        <v>45.21</v>
      </c>
      <c r="G561" s="4"/>
      <c r="H561" s="10">
        <f t="shared" si="52"/>
        <v>3.5377358490566113E-2</v>
      </c>
      <c r="I561" s="10">
        <f t="shared" si="54"/>
        <v>8.9559006915316264E-3</v>
      </c>
      <c r="J561" s="10">
        <f t="shared" si="55"/>
        <v>8.154490529671099E-3</v>
      </c>
      <c r="K561" s="10">
        <f t="shared" si="56"/>
        <v>2.7538177928492225E-3</v>
      </c>
      <c r="L561" s="10">
        <f t="shared" si="57"/>
        <v>4.3869776033248709E-2</v>
      </c>
      <c r="M561" s="10">
        <f t="shared" si="53"/>
        <v>7.4111451007599083E-3</v>
      </c>
      <c r="N561" s="1"/>
      <c r="O561" s="2">
        <v>4472.16</v>
      </c>
      <c r="P561" s="12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spans="1:31" ht="15" thickBot="1" x14ac:dyDescent="0.35">
      <c r="A562" s="1">
        <v>45118</v>
      </c>
      <c r="B562">
        <v>42.4</v>
      </c>
      <c r="C562">
        <v>88.21</v>
      </c>
      <c r="D562">
        <v>269.79000000000002</v>
      </c>
      <c r="E562">
        <v>439.39</v>
      </c>
      <c r="F562">
        <v>43.31</v>
      </c>
      <c r="G562" s="4"/>
      <c r="H562" s="10">
        <f t="shared" si="52"/>
        <v>5.2157420578473612E-3</v>
      </c>
      <c r="I562" s="10">
        <f t="shared" si="54"/>
        <v>5.0131024267972002E-3</v>
      </c>
      <c r="J562" s="10">
        <f t="shared" si="55"/>
        <v>6.6763102258815543E-4</v>
      </c>
      <c r="K562" s="10">
        <f t="shared" si="56"/>
        <v>-3.0386618412922672E-2</v>
      </c>
      <c r="L562" s="10">
        <f t="shared" si="57"/>
        <v>1.6428068528514528E-2</v>
      </c>
      <c r="M562" s="10">
        <f t="shared" si="53"/>
        <v>6.7422151567175792E-3</v>
      </c>
      <c r="N562" s="1"/>
      <c r="O562" s="2">
        <v>4439.26</v>
      </c>
      <c r="P562" s="12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spans="1:31" ht="15" thickBot="1" x14ac:dyDescent="0.35">
      <c r="A563" s="1">
        <v>45117</v>
      </c>
      <c r="B563">
        <v>42.18</v>
      </c>
      <c r="C563">
        <v>87.77</v>
      </c>
      <c r="D563">
        <v>269.61</v>
      </c>
      <c r="E563">
        <v>453.16</v>
      </c>
      <c r="F563">
        <v>42.61</v>
      </c>
      <c r="G563" s="4"/>
      <c r="H563" s="10">
        <f t="shared" si="52"/>
        <v>-7.5294117647058956E-3</v>
      </c>
      <c r="I563" s="10">
        <f t="shared" si="54"/>
        <v>3.6490316485592755E-2</v>
      </c>
      <c r="J563" s="10">
        <f t="shared" si="55"/>
        <v>-1.7563677440513015E-2</v>
      </c>
      <c r="K563" s="10">
        <f t="shared" si="56"/>
        <v>2.3889577066007472E-3</v>
      </c>
      <c r="L563" s="10">
        <f t="shared" si="57"/>
        <v>8.7594696969697239E-3</v>
      </c>
      <c r="M563" s="10">
        <f t="shared" si="53"/>
        <v>2.4051194034939716E-3</v>
      </c>
      <c r="N563" s="1"/>
      <c r="O563" s="2">
        <v>4409.53</v>
      </c>
      <c r="P563" s="12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spans="1:31" ht="15" thickBot="1" x14ac:dyDescent="0.35">
      <c r="A564" s="1">
        <v>45114</v>
      </c>
      <c r="B564">
        <v>42.5</v>
      </c>
      <c r="C564">
        <v>84.68</v>
      </c>
      <c r="D564">
        <v>274.43</v>
      </c>
      <c r="E564">
        <v>452.08</v>
      </c>
      <c r="F564">
        <v>42.24</v>
      </c>
      <c r="G564" s="4"/>
      <c r="H564" s="10">
        <f t="shared" si="52"/>
        <v>9.5011876484560887E-3</v>
      </c>
      <c r="I564" s="10">
        <f t="shared" si="54"/>
        <v>-1.4150943396225024E-3</v>
      </c>
      <c r="J564" s="10">
        <f t="shared" si="55"/>
        <v>-7.6299992767773217E-3</v>
      </c>
      <c r="K564" s="10">
        <f t="shared" si="56"/>
        <v>-2.4027978670581374E-2</v>
      </c>
      <c r="L564" s="10">
        <f t="shared" si="57"/>
        <v>1.6851227732306295E-2</v>
      </c>
      <c r="M564" s="10">
        <f t="shared" si="53"/>
        <v>-2.8651801277997935E-3</v>
      </c>
      <c r="N564" s="1"/>
      <c r="O564" s="2">
        <v>4398.95</v>
      </c>
      <c r="P564" s="12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spans="1:31" ht="15" thickBot="1" x14ac:dyDescent="0.35">
      <c r="A565" s="1">
        <v>45113</v>
      </c>
      <c r="B565">
        <v>42.1</v>
      </c>
      <c r="C565">
        <v>84.8</v>
      </c>
      <c r="D565">
        <v>276.54000000000002</v>
      </c>
      <c r="E565">
        <v>463.21</v>
      </c>
      <c r="F565">
        <v>41.54</v>
      </c>
      <c r="G565" s="4"/>
      <c r="H565" s="10">
        <f t="shared" si="52"/>
        <v>-5.1984877126654006E-3</v>
      </c>
      <c r="I565" s="10">
        <f t="shared" si="54"/>
        <v>-1.6127160923541051E-2</v>
      </c>
      <c r="J565" s="10">
        <f t="shared" si="55"/>
        <v>-2.10280373831776E-2</v>
      </c>
      <c r="K565" s="10">
        <f t="shared" si="56"/>
        <v>-5.346789778827632E-3</v>
      </c>
      <c r="L565" s="10">
        <f t="shared" si="57"/>
        <v>-1.4472123368920564E-2</v>
      </c>
      <c r="M565" s="10">
        <f t="shared" si="53"/>
        <v>-7.9225154155103672E-3</v>
      </c>
      <c r="N565" s="1"/>
      <c r="O565" s="2">
        <v>4411.59</v>
      </c>
      <c r="P565" s="12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spans="1:31" ht="15" thickBot="1" x14ac:dyDescent="0.35">
      <c r="A566" s="1">
        <v>45112</v>
      </c>
      <c r="B566">
        <v>42.32</v>
      </c>
      <c r="C566">
        <v>86.19</v>
      </c>
      <c r="D566">
        <v>282.48</v>
      </c>
      <c r="E566">
        <v>465.7</v>
      </c>
      <c r="F566">
        <v>42.15</v>
      </c>
      <c r="G566" s="4"/>
      <c r="H566" s="10">
        <f t="shared" si="52"/>
        <v>-2.1221410044799383E-3</v>
      </c>
      <c r="I566" s="10">
        <f t="shared" si="54"/>
        <v>-1.6544956640803354E-2</v>
      </c>
      <c r="J566" s="10">
        <f t="shared" si="55"/>
        <v>9.5061110714032004E-3</v>
      </c>
      <c r="K566" s="10">
        <f t="shared" si="56"/>
        <v>9.2757140999522036E-3</v>
      </c>
      <c r="L566" s="10">
        <f t="shared" si="57"/>
        <v>-2.0678438661710041E-2</v>
      </c>
      <c r="M566" s="10">
        <f t="shared" si="53"/>
        <v>-1.9683139606652134E-3</v>
      </c>
      <c r="N566" s="1"/>
      <c r="O566" s="2">
        <v>4446.82</v>
      </c>
      <c r="P566" s="12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spans="1:31" ht="15" thickBot="1" x14ac:dyDescent="0.35">
      <c r="A567" s="1">
        <v>45110</v>
      </c>
      <c r="B567">
        <v>42.41</v>
      </c>
      <c r="C567">
        <v>87.64</v>
      </c>
      <c r="D567">
        <v>279.82</v>
      </c>
      <c r="E567">
        <v>461.42</v>
      </c>
      <c r="F567">
        <v>43.04</v>
      </c>
      <c r="G567" s="4"/>
      <c r="H567" s="10">
        <f t="shared" si="52"/>
        <v>2.6004728132387189E-3</v>
      </c>
      <c r="I567" s="10">
        <f t="shared" si="54"/>
        <v>1.0375835831219815E-2</v>
      </c>
      <c r="J567" s="10">
        <f t="shared" si="55"/>
        <v>6.8953661611338202E-2</v>
      </c>
      <c r="K567" s="10">
        <f t="shared" si="56"/>
        <v>-1.6120090408972665E-2</v>
      </c>
      <c r="L567" s="10">
        <f t="shared" si="57"/>
        <v>8.907641819034362E-3</v>
      </c>
      <c r="M567" s="10">
        <f t="shared" si="53"/>
        <v>1.1706865481149187E-3</v>
      </c>
      <c r="N567" s="1"/>
      <c r="O567" s="2">
        <v>4455.59</v>
      </c>
      <c r="P567" s="12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spans="1:31" ht="15" thickBot="1" x14ac:dyDescent="0.35">
      <c r="A568" s="1">
        <v>45107</v>
      </c>
      <c r="B568">
        <v>42.3</v>
      </c>
      <c r="C568">
        <v>86.74</v>
      </c>
      <c r="D568">
        <v>261.77</v>
      </c>
      <c r="E568">
        <v>468.98</v>
      </c>
      <c r="F568">
        <v>42.66</v>
      </c>
      <c r="G568" s="4"/>
      <c r="H568" s="10">
        <f t="shared" si="52"/>
        <v>3.6256736893679475E-2</v>
      </c>
      <c r="I568" s="10">
        <f t="shared" si="54"/>
        <v>5.5645722235102557E-3</v>
      </c>
      <c r="J568" s="10">
        <f t="shared" si="55"/>
        <v>1.6582524271844479E-2</v>
      </c>
      <c r="K568" s="10">
        <f t="shared" si="56"/>
        <v>9.6665159637452369E-3</v>
      </c>
      <c r="L568" s="10">
        <f t="shared" si="57"/>
        <v>1.6924910607866384E-2</v>
      </c>
      <c r="M568" s="10">
        <f t="shared" si="53"/>
        <v>1.2269017659743087E-2</v>
      </c>
      <c r="N568" s="1"/>
      <c r="O568" s="2">
        <v>4450.38</v>
      </c>
      <c r="P568" s="12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spans="1:31" ht="15" thickBot="1" x14ac:dyDescent="0.35">
      <c r="A569" s="1">
        <v>45106</v>
      </c>
      <c r="B569">
        <v>40.82</v>
      </c>
      <c r="C569">
        <v>86.26</v>
      </c>
      <c r="D569">
        <v>257.5</v>
      </c>
      <c r="E569">
        <v>464.49</v>
      </c>
      <c r="F569">
        <v>41.95</v>
      </c>
      <c r="G569" s="4"/>
      <c r="H569" s="10">
        <f t="shared" si="52"/>
        <v>-7.2957198443579507E-3</v>
      </c>
      <c r="I569" s="10">
        <f t="shared" si="54"/>
        <v>1.7336950112041505E-2</v>
      </c>
      <c r="J569" s="10">
        <f t="shared" si="55"/>
        <v>4.917265064002363E-3</v>
      </c>
      <c r="K569" s="10">
        <f t="shared" si="56"/>
        <v>1.262262916939183E-2</v>
      </c>
      <c r="L569" s="10">
        <f t="shared" si="57"/>
        <v>1.8698397280233259E-2</v>
      </c>
      <c r="M569" s="10">
        <f t="shared" si="53"/>
        <v>4.4735266835127518E-3</v>
      </c>
      <c r="N569" s="1"/>
      <c r="O569" s="2">
        <v>4396.4399999999996</v>
      </c>
      <c r="P569" s="12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spans="1:31" ht="15" thickBot="1" x14ac:dyDescent="0.35">
      <c r="A570" s="1">
        <v>45105</v>
      </c>
      <c r="B570">
        <v>41.12</v>
      </c>
      <c r="C570">
        <v>84.79</v>
      </c>
      <c r="D570">
        <v>256.24</v>
      </c>
      <c r="E570">
        <v>458.7</v>
      </c>
      <c r="F570">
        <v>41.18</v>
      </c>
      <c r="G570" s="4"/>
      <c r="H570" s="10">
        <f t="shared" si="52"/>
        <v>-1.8147086914995336E-2</v>
      </c>
      <c r="I570" s="10">
        <f t="shared" si="54"/>
        <v>-5.8934464875060044E-4</v>
      </c>
      <c r="J570" s="10">
        <f t="shared" si="55"/>
        <v>2.4099756204787992E-2</v>
      </c>
      <c r="K570" s="10">
        <f t="shared" si="56"/>
        <v>-1.248654467168997E-2</v>
      </c>
      <c r="L570" s="10">
        <f t="shared" si="57"/>
        <v>-3.0146019783325539E-2</v>
      </c>
      <c r="M570" s="10">
        <f t="shared" si="53"/>
        <v>-3.5400978894173374E-4</v>
      </c>
      <c r="N570" s="1"/>
      <c r="O570" s="2">
        <v>4376.8599999999997</v>
      </c>
      <c r="P570" s="12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spans="1:31" ht="15" thickBot="1" x14ac:dyDescent="0.35">
      <c r="A571" s="1">
        <v>45104</v>
      </c>
      <c r="B571">
        <v>41.88</v>
      </c>
      <c r="C571">
        <v>84.84</v>
      </c>
      <c r="D571">
        <v>250.21</v>
      </c>
      <c r="E571">
        <v>464.5</v>
      </c>
      <c r="F571">
        <v>42.46</v>
      </c>
      <c r="G571" s="4"/>
      <c r="H571" s="10">
        <f t="shared" si="52"/>
        <v>3.0765444253014973E-2</v>
      </c>
      <c r="I571" s="10">
        <f t="shared" si="54"/>
        <v>3.2619279454722649E-2</v>
      </c>
      <c r="J571" s="10">
        <f t="shared" si="55"/>
        <v>3.8000414851690589E-2</v>
      </c>
      <c r="K571" s="10">
        <f t="shared" si="56"/>
        <v>2.5929852460464753E-2</v>
      </c>
      <c r="L571" s="10">
        <f t="shared" si="57"/>
        <v>-6.7836257309941139E-3</v>
      </c>
      <c r="M571" s="10">
        <f t="shared" si="53"/>
        <v>1.1455777787018118E-2</v>
      </c>
      <c r="N571" s="1"/>
      <c r="O571" s="2">
        <v>4378.41</v>
      </c>
      <c r="P571" s="12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spans="1:31" ht="15" thickBot="1" x14ac:dyDescent="0.35">
      <c r="A572" s="1">
        <v>45103</v>
      </c>
      <c r="B572">
        <v>40.630000000000003</v>
      </c>
      <c r="C572">
        <v>82.16</v>
      </c>
      <c r="D572">
        <v>241.05</v>
      </c>
      <c r="E572">
        <v>452.76</v>
      </c>
      <c r="F572">
        <v>42.75</v>
      </c>
      <c r="G572" s="4"/>
      <c r="H572" s="10">
        <f t="shared" si="52"/>
        <v>-3.7431888178156791E-2</v>
      </c>
      <c r="I572" s="10">
        <f t="shared" si="54"/>
        <v>-6.0819851599558383E-4</v>
      </c>
      <c r="J572" s="10">
        <f t="shared" si="55"/>
        <v>-6.0600155884645401E-2</v>
      </c>
      <c r="K572" s="10">
        <f t="shared" si="56"/>
        <v>-1.3250806381309377E-2</v>
      </c>
      <c r="L572" s="10">
        <f t="shared" si="57"/>
        <v>2.813852813852824E-2</v>
      </c>
      <c r="M572" s="10">
        <f t="shared" si="53"/>
        <v>-4.4867799822001508E-3</v>
      </c>
      <c r="N572" s="1"/>
      <c r="O572" s="2">
        <v>4328.82</v>
      </c>
      <c r="P572" s="12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spans="1:31" ht="15" thickBot="1" x14ac:dyDescent="0.35">
      <c r="A573" s="1">
        <v>45100</v>
      </c>
      <c r="B573">
        <v>42.21</v>
      </c>
      <c r="C573">
        <v>82.21</v>
      </c>
      <c r="D573">
        <v>256.60000000000002</v>
      </c>
      <c r="E573">
        <v>458.84</v>
      </c>
      <c r="F573">
        <v>41.58</v>
      </c>
      <c r="G573" s="4"/>
      <c r="H573" s="10">
        <f t="shared" si="52"/>
        <v>-1.9056472228677679E-2</v>
      </c>
      <c r="I573" s="10">
        <f t="shared" si="54"/>
        <v>-2.4097815764482444E-2</v>
      </c>
      <c r="J573" s="10">
        <f t="shared" si="55"/>
        <v>-3.0270964816144441E-2</v>
      </c>
      <c r="K573" s="10">
        <f t="shared" si="56"/>
        <v>2.534521936724321E-3</v>
      </c>
      <c r="L573" s="10">
        <f t="shared" si="57"/>
        <v>-1.3523131672597888E-2</v>
      </c>
      <c r="M573" s="10">
        <f t="shared" si="53"/>
        <v>-7.6587956338476371E-3</v>
      </c>
      <c r="N573" s="1"/>
      <c r="O573" s="2">
        <v>4348.33</v>
      </c>
      <c r="P573" s="12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spans="1:31" ht="15" thickBot="1" x14ac:dyDescent="0.35">
      <c r="A574" s="1">
        <v>45099</v>
      </c>
      <c r="B574">
        <v>43.03</v>
      </c>
      <c r="C574">
        <v>84.24</v>
      </c>
      <c r="D574">
        <v>264.61</v>
      </c>
      <c r="E574">
        <v>457.68</v>
      </c>
      <c r="F574">
        <v>42.15</v>
      </c>
      <c r="G574" s="4"/>
      <c r="H574" s="10">
        <f t="shared" si="52"/>
        <v>-2.3234200743493805E-4</v>
      </c>
      <c r="I574" s="10">
        <f t="shared" si="54"/>
        <v>-6.2522118674059879E-3</v>
      </c>
      <c r="J574" s="10">
        <f t="shared" si="55"/>
        <v>1.9848916981423104E-2</v>
      </c>
      <c r="K574" s="10">
        <f t="shared" si="56"/>
        <v>1.033112582781448E-2</v>
      </c>
      <c r="L574" s="10">
        <f t="shared" si="57"/>
        <v>-1.0098637858149351E-2</v>
      </c>
      <c r="M574" s="10">
        <f t="shared" si="53"/>
        <v>3.7107536265745811E-3</v>
      </c>
      <c r="N574" s="1"/>
      <c r="O574" s="2">
        <v>4381.8900000000003</v>
      </c>
      <c r="P574" s="12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spans="1:31" ht="15" thickBot="1" x14ac:dyDescent="0.35">
      <c r="A575" s="1">
        <v>45098</v>
      </c>
      <c r="B575">
        <v>43.04</v>
      </c>
      <c r="C575">
        <v>84.77</v>
      </c>
      <c r="D575">
        <v>259.45999999999998</v>
      </c>
      <c r="E575">
        <v>453</v>
      </c>
      <c r="F575">
        <v>42.58</v>
      </c>
      <c r="G575" s="4"/>
      <c r="H575" s="10">
        <f t="shared" si="52"/>
        <v>-1.7575895914174966E-2</v>
      </c>
      <c r="I575" s="10">
        <f t="shared" si="54"/>
        <v>-2.3387096774193594E-2</v>
      </c>
      <c r="J575" s="10">
        <f t="shared" si="55"/>
        <v>-5.461832756421936E-2</v>
      </c>
      <c r="K575" s="10">
        <f t="shared" si="56"/>
        <v>2.3232658479921398E-3</v>
      </c>
      <c r="L575" s="10">
        <f t="shared" si="57"/>
        <v>-1.2064965197215893E-2</v>
      </c>
      <c r="M575" s="10">
        <f t="shared" si="53"/>
        <v>-5.245277085977551E-3</v>
      </c>
      <c r="N575" s="1"/>
      <c r="O575" s="2">
        <v>4365.6899999999996</v>
      </c>
      <c r="P575" s="12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spans="1:31" ht="15" thickBot="1" x14ac:dyDescent="0.35">
      <c r="A576" s="1">
        <v>45097</v>
      </c>
      <c r="B576">
        <v>43.81</v>
      </c>
      <c r="C576">
        <v>86.8</v>
      </c>
      <c r="D576">
        <v>274.45</v>
      </c>
      <c r="E576">
        <v>451.95</v>
      </c>
      <c r="F576">
        <v>43.1</v>
      </c>
      <c r="G576" s="4"/>
      <c r="H576" s="10">
        <f t="shared" si="52"/>
        <v>2.6235652377606167E-2</v>
      </c>
      <c r="I576" s="10">
        <f t="shared" si="54"/>
        <v>-1.1519410206206615E-4</v>
      </c>
      <c r="J576" s="10">
        <f t="shared" si="55"/>
        <v>5.338911491517595E-2</v>
      </c>
      <c r="K576" s="10">
        <f t="shared" si="56"/>
        <v>9.4704161175760415E-3</v>
      </c>
      <c r="L576" s="10">
        <f t="shared" si="57"/>
        <v>-1.6655258955053598E-2</v>
      </c>
      <c r="M576" s="10">
        <f t="shared" si="53"/>
        <v>-4.7351341054383544E-3</v>
      </c>
      <c r="N576" s="1"/>
      <c r="O576" s="2">
        <v>4388.71</v>
      </c>
      <c r="P576" s="12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spans="1:31" ht="15" thickBot="1" x14ac:dyDescent="0.35">
      <c r="A577" s="1">
        <v>45093</v>
      </c>
      <c r="B577">
        <v>42.69</v>
      </c>
      <c r="C577">
        <v>86.81</v>
      </c>
      <c r="D577">
        <v>260.54000000000002</v>
      </c>
      <c r="E577">
        <v>447.71</v>
      </c>
      <c r="F577">
        <v>43.83</v>
      </c>
      <c r="G577" s="4"/>
      <c r="H577" s="10">
        <f t="shared" si="52"/>
        <v>9.3786635404446983E-4</v>
      </c>
      <c r="I577" s="10">
        <f t="shared" si="54"/>
        <v>-1.7319447588861281E-2</v>
      </c>
      <c r="J577" s="10">
        <f t="shared" si="55"/>
        <v>1.813208284486123E-2</v>
      </c>
      <c r="K577" s="10">
        <f t="shared" si="56"/>
        <v>-1.3702553257110228E-2</v>
      </c>
      <c r="L577" s="10">
        <f t="shared" si="57"/>
        <v>2.6463700234191867E-2</v>
      </c>
      <c r="M577" s="10">
        <f t="shared" si="53"/>
        <v>-3.6716193988033385E-3</v>
      </c>
      <c r="N577" s="1"/>
      <c r="O577" s="2">
        <v>4409.59</v>
      </c>
      <c r="P577" s="12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spans="1:31" ht="15" thickBot="1" x14ac:dyDescent="0.35">
      <c r="A578" s="1">
        <v>45092</v>
      </c>
      <c r="B578">
        <v>42.65</v>
      </c>
      <c r="C578">
        <v>88.34</v>
      </c>
      <c r="D578">
        <v>255.9</v>
      </c>
      <c r="E578">
        <v>453.93</v>
      </c>
      <c r="F578">
        <v>42.7</v>
      </c>
      <c r="G578" s="4"/>
      <c r="H578" s="10">
        <f t="shared" si="52"/>
        <v>-8.1395348837209891E-3</v>
      </c>
      <c r="I578" s="10">
        <f t="shared" si="54"/>
        <v>-3.1595576619273258E-3</v>
      </c>
      <c r="J578" s="10">
        <f t="shared" si="55"/>
        <v>-3.4658670508976863E-3</v>
      </c>
      <c r="K578" s="10">
        <f t="shared" si="56"/>
        <v>1.3870276065397924E-2</v>
      </c>
      <c r="L578" s="10">
        <f t="shared" si="57"/>
        <v>1.4251781472684133E-2</v>
      </c>
      <c r="M578" s="10">
        <f t="shared" si="53"/>
        <v>1.2178136985173449E-2</v>
      </c>
      <c r="N578" s="1"/>
      <c r="O578" s="2">
        <v>4425.84</v>
      </c>
      <c r="P578" s="12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spans="1:31" ht="15" thickBot="1" x14ac:dyDescent="0.35">
      <c r="A579" s="1">
        <v>45091</v>
      </c>
      <c r="B579">
        <v>43</v>
      </c>
      <c r="C579">
        <v>88.62</v>
      </c>
      <c r="D579">
        <v>256.79000000000002</v>
      </c>
      <c r="E579">
        <v>447.72</v>
      </c>
      <c r="F579">
        <v>42.1</v>
      </c>
      <c r="G579" s="4"/>
      <c r="H579" s="10">
        <f t="shared" si="52"/>
        <v>4.8269137006338392E-2</v>
      </c>
      <c r="I579" s="10">
        <f t="shared" si="54"/>
        <v>4.1240747268241229E-2</v>
      </c>
      <c r="J579" s="10">
        <f t="shared" si="55"/>
        <v>-7.4214371303774618E-3</v>
      </c>
      <c r="K579" s="10">
        <f t="shared" si="56"/>
        <v>4.4871219599749157E-3</v>
      </c>
      <c r="L579" s="10">
        <f t="shared" si="57"/>
        <v>-8.0113100848255847E-3</v>
      </c>
      <c r="M579" s="10">
        <f t="shared" si="53"/>
        <v>8.1940760034870941E-4</v>
      </c>
      <c r="N579" s="1"/>
      <c r="O579" s="2">
        <v>4372.59</v>
      </c>
      <c r="P579" s="12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spans="1:31" ht="15" thickBot="1" x14ac:dyDescent="0.35">
      <c r="A580" s="1">
        <v>45090</v>
      </c>
      <c r="B580">
        <v>41.02</v>
      </c>
      <c r="C580">
        <v>85.11</v>
      </c>
      <c r="D580">
        <v>258.70999999999998</v>
      </c>
      <c r="E580">
        <v>445.72</v>
      </c>
      <c r="F580">
        <v>42.44</v>
      </c>
      <c r="G580" s="4"/>
      <c r="H580" s="10">
        <f t="shared" ref="H580:H643" si="58">(B580/B581)-1</f>
        <v>3.9007092198581672E-2</v>
      </c>
      <c r="I580" s="10">
        <f t="shared" si="54"/>
        <v>-5.0268880056114629E-3</v>
      </c>
      <c r="J580" s="10">
        <f t="shared" si="55"/>
        <v>3.5544170035624045E-2</v>
      </c>
      <c r="K580" s="10">
        <f t="shared" si="56"/>
        <v>9.2070692326706727E-4</v>
      </c>
      <c r="L580" s="10">
        <f t="shared" si="57"/>
        <v>9.5147478591817158E-3</v>
      </c>
      <c r="M580" s="10">
        <f t="shared" ref="M580:M643" si="59">(O580/O581)-1</f>
        <v>6.9325847616807934E-3</v>
      </c>
      <c r="N580" s="1"/>
      <c r="O580" s="2">
        <v>4369.01</v>
      </c>
      <c r="P580" s="12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spans="1:31" ht="15" thickBot="1" x14ac:dyDescent="0.35">
      <c r="A581" s="1">
        <v>45089</v>
      </c>
      <c r="B581">
        <v>39.479999999999997</v>
      </c>
      <c r="C581">
        <v>85.54</v>
      </c>
      <c r="D581">
        <v>249.83</v>
      </c>
      <c r="E581">
        <v>445.31</v>
      </c>
      <c r="F581">
        <v>42.04</v>
      </c>
      <c r="G581" s="4"/>
      <c r="H581" s="10">
        <f t="shared" si="58"/>
        <v>1.8313128707763582E-2</v>
      </c>
      <c r="I581" s="10">
        <f t="shared" si="54"/>
        <v>6.3136962465821789E-2</v>
      </c>
      <c r="J581" s="10">
        <f t="shared" si="55"/>
        <v>2.2217675941080151E-2</v>
      </c>
      <c r="K581" s="10">
        <f t="shared" si="56"/>
        <v>-1.6366245179805228E-3</v>
      </c>
      <c r="L581" s="10">
        <f t="shared" si="57"/>
        <v>1.3989387361312167E-2</v>
      </c>
      <c r="M581" s="10">
        <f t="shared" si="59"/>
        <v>9.3210758201012212E-3</v>
      </c>
      <c r="N581" s="1"/>
      <c r="O581" s="2">
        <v>4338.93</v>
      </c>
      <c r="P581" s="12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spans="1:31" ht="15" thickBot="1" x14ac:dyDescent="0.35">
      <c r="A582" s="1">
        <v>45086</v>
      </c>
      <c r="B582">
        <v>38.770000000000003</v>
      </c>
      <c r="C582">
        <v>80.459999999999994</v>
      </c>
      <c r="D582">
        <v>244.4</v>
      </c>
      <c r="E582">
        <v>446.04</v>
      </c>
      <c r="F582">
        <v>41.46</v>
      </c>
      <c r="G582" s="4"/>
      <c r="H582" s="10">
        <f t="shared" si="58"/>
        <v>6.7514931186705152E-3</v>
      </c>
      <c r="I582" s="10">
        <f t="shared" si="54"/>
        <v>4.9738870927629186E-4</v>
      </c>
      <c r="J582" s="10">
        <f t="shared" si="55"/>
        <v>4.0619943796304181E-2</v>
      </c>
      <c r="K582" s="10">
        <f t="shared" si="56"/>
        <v>8.5266795314820065E-4</v>
      </c>
      <c r="L582" s="10">
        <f t="shared" si="57"/>
        <v>-1.3796384395813432E-2</v>
      </c>
      <c r="M582" s="10">
        <f t="shared" si="59"/>
        <v>1.1481323635922358E-3</v>
      </c>
      <c r="N582" s="1"/>
      <c r="O582" s="2">
        <v>4298.8599999999997</v>
      </c>
      <c r="P582" s="12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spans="1:31" ht="15" thickBot="1" x14ac:dyDescent="0.35">
      <c r="A583" s="1">
        <v>45085</v>
      </c>
      <c r="B583">
        <v>38.51</v>
      </c>
      <c r="C583">
        <v>80.42</v>
      </c>
      <c r="D583">
        <v>234.86</v>
      </c>
      <c r="E583">
        <v>445.66</v>
      </c>
      <c r="F583">
        <v>42.04</v>
      </c>
      <c r="G583" s="4"/>
      <c r="H583" s="10">
        <f t="shared" si="58"/>
        <v>2.7755537763544114E-2</v>
      </c>
      <c r="I583" s="10">
        <f t="shared" si="54"/>
        <v>1.4635377239464953E-2</v>
      </c>
      <c r="J583" s="10">
        <f t="shared" si="55"/>
        <v>4.5820902168588917E-2</v>
      </c>
      <c r="K583" s="10">
        <f t="shared" si="56"/>
        <v>2.128927286477067E-2</v>
      </c>
      <c r="L583" s="10">
        <f t="shared" si="57"/>
        <v>3.3412887828161431E-3</v>
      </c>
      <c r="M583" s="10">
        <f t="shared" si="59"/>
        <v>6.1886060287941191E-3</v>
      </c>
      <c r="N583" s="1"/>
      <c r="O583" s="2">
        <v>4293.93</v>
      </c>
      <c r="P583" s="12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spans="1:31" ht="15" thickBot="1" x14ac:dyDescent="0.35">
      <c r="A584" s="1">
        <v>45084</v>
      </c>
      <c r="B584">
        <v>37.47</v>
      </c>
      <c r="C584">
        <v>79.260000000000005</v>
      </c>
      <c r="D584">
        <v>224.57</v>
      </c>
      <c r="E584">
        <v>436.37</v>
      </c>
      <c r="F584">
        <v>41.9</v>
      </c>
      <c r="G584" s="4"/>
      <c r="H584" s="10">
        <f t="shared" si="58"/>
        <v>-3.0530401034928878E-2</v>
      </c>
      <c r="I584" s="10">
        <f t="shared" si="54"/>
        <v>3.2911392405063911E-3</v>
      </c>
      <c r="J584" s="10">
        <f t="shared" si="55"/>
        <v>1.4730468573494138E-2</v>
      </c>
      <c r="K584" s="10">
        <f t="shared" si="56"/>
        <v>-1.5121764055341158E-2</v>
      </c>
      <c r="L584" s="10">
        <f t="shared" si="57"/>
        <v>-2.1433674684449011E-3</v>
      </c>
      <c r="M584" s="10">
        <f t="shared" si="59"/>
        <v>-3.8119915496573897E-3</v>
      </c>
      <c r="N584" s="1"/>
      <c r="O584" s="2">
        <v>4267.5200000000004</v>
      </c>
      <c r="P584" s="12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spans="1:31" ht="15" thickBot="1" x14ac:dyDescent="0.35">
      <c r="A585" s="1">
        <v>45083</v>
      </c>
      <c r="B585">
        <v>38.65</v>
      </c>
      <c r="C585">
        <v>79</v>
      </c>
      <c r="D585">
        <v>221.31</v>
      </c>
      <c r="E585">
        <v>443.07</v>
      </c>
      <c r="F585">
        <v>41.99</v>
      </c>
      <c r="G585" s="4"/>
      <c r="H585" s="10">
        <f t="shared" si="58"/>
        <v>-1.3275465917794271E-2</v>
      </c>
      <c r="I585" s="10">
        <f t="shared" si="54"/>
        <v>-1.5330923594665369E-2</v>
      </c>
      <c r="J585" s="10">
        <f t="shared" si="55"/>
        <v>1.7002895087541825E-2</v>
      </c>
      <c r="K585" s="10">
        <f t="shared" si="56"/>
        <v>-2.6786116238238789E-3</v>
      </c>
      <c r="L585" s="10">
        <f t="shared" si="57"/>
        <v>1.6698473282443782E-3</v>
      </c>
      <c r="M585" s="10">
        <f t="shared" si="59"/>
        <v>2.3538826194080542E-3</v>
      </c>
      <c r="N585" s="1"/>
      <c r="O585" s="2">
        <v>4283.8500000000004</v>
      </c>
      <c r="P585" s="12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spans="1:31" ht="15" thickBot="1" x14ac:dyDescent="0.35">
      <c r="A586" s="1">
        <v>45082</v>
      </c>
      <c r="B586">
        <v>39.17</v>
      </c>
      <c r="C586">
        <v>80.23</v>
      </c>
      <c r="D586">
        <v>217.61</v>
      </c>
      <c r="E586">
        <v>444.26</v>
      </c>
      <c r="F586">
        <v>41.92</v>
      </c>
      <c r="G586" s="4"/>
      <c r="H586" s="10">
        <f t="shared" si="58"/>
        <v>-4.0681413679124478E-3</v>
      </c>
      <c r="I586" s="10">
        <f t="shared" si="54"/>
        <v>-1.1945812807881762E-2</v>
      </c>
      <c r="J586" s="10">
        <f t="shared" si="55"/>
        <v>1.7011730616441678E-2</v>
      </c>
      <c r="K586" s="10">
        <f t="shared" si="56"/>
        <v>4.363258200890785E-3</v>
      </c>
      <c r="L586" s="10">
        <f t="shared" si="57"/>
        <v>-4.0389641244951147E-3</v>
      </c>
      <c r="M586" s="10">
        <f t="shared" si="59"/>
        <v>-2.0035634473434261E-3</v>
      </c>
      <c r="N586" s="1"/>
      <c r="O586" s="2">
        <v>4273.79</v>
      </c>
      <c r="P586" s="12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spans="1:31" ht="15" thickBot="1" x14ac:dyDescent="0.35">
      <c r="A587" s="1">
        <v>45079</v>
      </c>
      <c r="B587">
        <v>39.33</v>
      </c>
      <c r="C587">
        <v>81.2</v>
      </c>
      <c r="D587">
        <v>213.97</v>
      </c>
      <c r="E587">
        <v>442.33</v>
      </c>
      <c r="F587">
        <v>42.09</v>
      </c>
      <c r="G587" s="4"/>
      <c r="H587" s="10">
        <f t="shared" si="58"/>
        <v>-1.1063615790797177E-2</v>
      </c>
      <c r="I587" s="10">
        <f t="shared" si="54"/>
        <v>2.7848101265822711E-2</v>
      </c>
      <c r="J587" s="10">
        <f t="shared" si="55"/>
        <v>3.1081341557440245E-2</v>
      </c>
      <c r="K587" s="10">
        <f t="shared" si="56"/>
        <v>1.3379458865036886E-2</v>
      </c>
      <c r="L587" s="10">
        <f t="shared" si="57"/>
        <v>-8.947492347539332E-3</v>
      </c>
      <c r="M587" s="10">
        <f t="shared" si="59"/>
        <v>1.4534401637518846E-2</v>
      </c>
      <c r="N587" s="1"/>
      <c r="O587" s="2">
        <v>4282.37</v>
      </c>
      <c r="P587" s="12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spans="1:31" ht="15" thickBot="1" x14ac:dyDescent="0.35">
      <c r="A588" s="1">
        <v>45078</v>
      </c>
      <c r="B588">
        <v>39.770000000000003</v>
      </c>
      <c r="C588">
        <v>79</v>
      </c>
      <c r="D588">
        <v>207.52</v>
      </c>
      <c r="E588">
        <v>436.49</v>
      </c>
      <c r="F588">
        <v>42.47</v>
      </c>
      <c r="G588" s="4"/>
      <c r="H588" s="10">
        <f t="shared" si="58"/>
        <v>5.1282051282051322E-2</v>
      </c>
      <c r="I588" s="10">
        <f t="shared" si="54"/>
        <v>-2.2277227722772297E-2</v>
      </c>
      <c r="J588" s="10">
        <f t="shared" si="55"/>
        <v>1.7604079831314623E-2</v>
      </c>
      <c r="K588" s="10">
        <f t="shared" si="56"/>
        <v>1.6369394122851988E-2</v>
      </c>
      <c r="L588" s="10">
        <f t="shared" si="57"/>
        <v>4.7348951911220682E-2</v>
      </c>
      <c r="M588" s="10">
        <f t="shared" si="59"/>
        <v>9.8544677654355262E-3</v>
      </c>
      <c r="N588" s="1"/>
      <c r="O588" s="2">
        <v>4221.0200000000004</v>
      </c>
      <c r="P588" s="12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spans="1:31" ht="15" thickBot="1" x14ac:dyDescent="0.35">
      <c r="A589" s="1">
        <v>45077</v>
      </c>
      <c r="B589">
        <v>37.83</v>
      </c>
      <c r="C589">
        <v>80.8</v>
      </c>
      <c r="D589">
        <v>203.93</v>
      </c>
      <c r="E589">
        <v>429.46</v>
      </c>
      <c r="F589">
        <v>40.549999999999997</v>
      </c>
      <c r="G589" s="4"/>
      <c r="H589" s="10">
        <f t="shared" si="58"/>
        <v>-5.6843679880329123E-2</v>
      </c>
      <c r="I589" s="10">
        <f t="shared" si="54"/>
        <v>5.8508651811277623E-3</v>
      </c>
      <c r="J589" s="10">
        <f t="shared" si="55"/>
        <v>1.3770133227281711E-2</v>
      </c>
      <c r="K589" s="10">
        <f t="shared" si="56"/>
        <v>5.1961426832691782E-3</v>
      </c>
      <c r="L589" s="10">
        <f t="shared" si="57"/>
        <v>3.7128712871286051E-3</v>
      </c>
      <c r="M589" s="10">
        <f t="shared" si="59"/>
        <v>-6.1086381707852189E-3</v>
      </c>
      <c r="N589" s="1"/>
      <c r="O589" s="2">
        <v>4179.83</v>
      </c>
      <c r="P589" s="12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spans="1:31" ht="15" thickBot="1" x14ac:dyDescent="0.35">
      <c r="A590" s="1">
        <v>45076</v>
      </c>
      <c r="B590">
        <v>40.11</v>
      </c>
      <c r="C590">
        <v>80.33</v>
      </c>
      <c r="D590">
        <v>201.16</v>
      </c>
      <c r="E590">
        <v>427.24</v>
      </c>
      <c r="F590">
        <v>40.4</v>
      </c>
      <c r="G590" s="4"/>
      <c r="H590" s="10">
        <f t="shared" si="58"/>
        <v>2.9781771501925514E-2</v>
      </c>
      <c r="I590" s="10">
        <f t="shared" si="54"/>
        <v>-1.1566383659406876E-2</v>
      </c>
      <c r="J590" s="10">
        <f t="shared" si="55"/>
        <v>4.1362530413625365E-2</v>
      </c>
      <c r="K590" s="10">
        <f t="shared" si="56"/>
        <v>3.4054346039127381E-3</v>
      </c>
      <c r="L590" s="10">
        <f t="shared" si="57"/>
        <v>-6.8829891838741997E-3</v>
      </c>
      <c r="M590" s="10">
        <f t="shared" si="59"/>
        <v>1.6645067709930572E-5</v>
      </c>
      <c r="N590" s="1"/>
      <c r="O590" s="2">
        <v>4205.5200000000004</v>
      </c>
      <c r="P590" s="12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spans="1:31" ht="15" thickBot="1" x14ac:dyDescent="0.35">
      <c r="A591" s="1">
        <v>45072</v>
      </c>
      <c r="B591">
        <v>38.950000000000003</v>
      </c>
      <c r="C591">
        <v>81.27</v>
      </c>
      <c r="D591">
        <v>193.17</v>
      </c>
      <c r="E591">
        <v>425.79</v>
      </c>
      <c r="F591">
        <v>40.68</v>
      </c>
      <c r="G591" s="4"/>
      <c r="H591" s="10">
        <f t="shared" si="58"/>
        <v>2.5539757767246041E-2</v>
      </c>
      <c r="I591" s="10">
        <f t="shared" si="54"/>
        <v>0.11512074643249171</v>
      </c>
      <c r="J591" s="10">
        <f t="shared" si="55"/>
        <v>4.7162140185395884E-2</v>
      </c>
      <c r="K591" s="10">
        <f t="shared" si="56"/>
        <v>-3.5571365051133563E-3</v>
      </c>
      <c r="L591" s="10">
        <f t="shared" si="57"/>
        <v>9.8425196850393526E-4</v>
      </c>
      <c r="M591" s="10">
        <f t="shared" si="59"/>
        <v>1.3048987300302572E-2</v>
      </c>
      <c r="N591" s="1"/>
      <c r="O591" s="2">
        <v>4205.45</v>
      </c>
      <c r="P591" s="12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spans="1:31" ht="15" thickBot="1" x14ac:dyDescent="0.35">
      <c r="A592" s="1">
        <v>45071</v>
      </c>
      <c r="B592">
        <v>37.979999999999997</v>
      </c>
      <c r="C592">
        <v>72.88</v>
      </c>
      <c r="D592">
        <v>184.47</v>
      </c>
      <c r="E592">
        <v>427.31</v>
      </c>
      <c r="F592">
        <v>40.64</v>
      </c>
      <c r="G592" s="4"/>
      <c r="H592" s="10">
        <f t="shared" si="58"/>
        <v>0.24361493123772093</v>
      </c>
      <c r="I592" s="10">
        <f t="shared" si="54"/>
        <v>7.2553348050036659E-2</v>
      </c>
      <c r="J592" s="10">
        <f t="shared" si="55"/>
        <v>8.5839256424276034E-3</v>
      </c>
      <c r="K592" s="10">
        <f t="shared" si="56"/>
        <v>3.6169763017592782E-3</v>
      </c>
      <c r="L592" s="10">
        <f t="shared" si="57"/>
        <v>-2.7983735948337807E-2</v>
      </c>
      <c r="M592" s="10">
        <f t="shared" si="59"/>
        <v>8.7576909244662104E-3</v>
      </c>
      <c r="N592" s="1"/>
      <c r="O592" s="2">
        <v>4151.28</v>
      </c>
      <c r="P592" s="12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spans="1:31" ht="15" thickBot="1" x14ac:dyDescent="0.35">
      <c r="A593" s="1">
        <v>45070</v>
      </c>
      <c r="B593">
        <v>30.54</v>
      </c>
      <c r="C593">
        <v>67.95</v>
      </c>
      <c r="D593">
        <v>182.9</v>
      </c>
      <c r="E593">
        <v>425.77</v>
      </c>
      <c r="F593">
        <v>41.81</v>
      </c>
      <c r="G593" s="4"/>
      <c r="H593" s="10">
        <f t="shared" si="58"/>
        <v>-4.8875855327469298E-3</v>
      </c>
      <c r="I593" s="10">
        <f t="shared" si="54"/>
        <v>-1.0196649672250535E-2</v>
      </c>
      <c r="J593" s="10">
        <f t="shared" si="55"/>
        <v>-1.5449211390429096E-2</v>
      </c>
      <c r="K593" s="10">
        <f t="shared" si="56"/>
        <v>6.0490064034404156E-3</v>
      </c>
      <c r="L593" s="10">
        <f t="shared" si="57"/>
        <v>-1.6003765591903973E-2</v>
      </c>
      <c r="M593" s="10">
        <f t="shared" si="59"/>
        <v>-7.3186381640205633E-3</v>
      </c>
      <c r="N593" s="1"/>
      <c r="O593" s="2">
        <v>4115.24</v>
      </c>
      <c r="P593" s="12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spans="1:31" ht="15" thickBot="1" x14ac:dyDescent="0.35">
      <c r="A594" s="1">
        <v>45069</v>
      </c>
      <c r="B594">
        <v>30.69</v>
      </c>
      <c r="C594">
        <v>68.650000000000006</v>
      </c>
      <c r="D594">
        <v>185.77</v>
      </c>
      <c r="E594">
        <v>423.21</v>
      </c>
      <c r="F594">
        <v>42.49</v>
      </c>
      <c r="G594" s="4"/>
      <c r="H594" s="10">
        <f t="shared" si="58"/>
        <v>-1.5715202052597799E-2</v>
      </c>
      <c r="I594" s="10">
        <f t="shared" si="54"/>
        <v>1.1939858490566113E-2</v>
      </c>
      <c r="J594" s="10">
        <f t="shared" si="55"/>
        <v>-1.6413406046487E-2</v>
      </c>
      <c r="K594" s="10">
        <f t="shared" si="56"/>
        <v>-2.4839282011106301E-2</v>
      </c>
      <c r="L594" s="10">
        <f t="shared" si="57"/>
        <v>-1.9386106623586308E-2</v>
      </c>
      <c r="M594" s="10">
        <f t="shared" si="59"/>
        <v>-1.1222073018606449E-2</v>
      </c>
      <c r="N594" s="1"/>
      <c r="O594" s="2">
        <v>4145.58</v>
      </c>
      <c r="P594" s="12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spans="1:31" ht="15" thickBot="1" x14ac:dyDescent="0.35">
      <c r="A595" s="1">
        <v>45068</v>
      </c>
      <c r="B595">
        <v>31.18</v>
      </c>
      <c r="C595">
        <v>67.84</v>
      </c>
      <c r="D595">
        <v>188.87</v>
      </c>
      <c r="E595">
        <v>433.99</v>
      </c>
      <c r="F595">
        <v>43.33</v>
      </c>
      <c r="G595" s="4"/>
      <c r="H595" s="10">
        <f t="shared" si="58"/>
        <v>-2.5591810620602118E-3</v>
      </c>
      <c r="I595" s="10">
        <f t="shared" ref="I595:I658" si="60">(C595/C596)-1</f>
        <v>-5.5702140134856748E-3</v>
      </c>
      <c r="J595" s="10">
        <f t="shared" ref="J595:J658" si="61">(D595/D596)-1</f>
        <v>4.8462307094482071E-2</v>
      </c>
      <c r="K595" s="10">
        <f t="shared" ref="K595:K658" si="62">(E595/E596)-1</f>
        <v>-1.8965595189655904E-2</v>
      </c>
      <c r="L595" s="10">
        <f t="shared" ref="L595:L658" si="63">(F595/F596)-1</f>
        <v>-7.5584058634905471E-3</v>
      </c>
      <c r="M595" s="10">
        <f t="shared" si="59"/>
        <v>1.5505799168891166E-4</v>
      </c>
      <c r="N595" s="1"/>
      <c r="O595" s="2">
        <v>4192.63</v>
      </c>
      <c r="P595" s="12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spans="1:31" ht="15" thickBot="1" x14ac:dyDescent="0.35">
      <c r="A596" s="1">
        <v>45065</v>
      </c>
      <c r="B596">
        <v>31.26</v>
      </c>
      <c r="C596">
        <v>68.22</v>
      </c>
      <c r="D596">
        <v>180.14</v>
      </c>
      <c r="E596">
        <v>442.38</v>
      </c>
      <c r="F596">
        <v>43.66</v>
      </c>
      <c r="G596" s="4"/>
      <c r="H596" s="10">
        <f t="shared" si="58"/>
        <v>-1.325757575757569E-2</v>
      </c>
      <c r="I596" s="10">
        <f t="shared" si="60"/>
        <v>6.3431184540492236E-3</v>
      </c>
      <c r="J596" s="10">
        <f t="shared" si="61"/>
        <v>1.8373000169596976E-2</v>
      </c>
      <c r="K596" s="10">
        <f t="shared" si="62"/>
        <v>1.0253716686839276E-2</v>
      </c>
      <c r="L596" s="10">
        <f t="shared" si="63"/>
        <v>9.0131730991447334E-3</v>
      </c>
      <c r="M596" s="10">
        <f t="shared" si="59"/>
        <v>-1.445909410321633E-3</v>
      </c>
      <c r="N596" s="1"/>
      <c r="O596" s="2">
        <v>4191.9799999999996</v>
      </c>
      <c r="P596" s="12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spans="1:31" ht="15" thickBot="1" x14ac:dyDescent="0.35">
      <c r="A597" s="1">
        <v>45064</v>
      </c>
      <c r="B597">
        <v>31.68</v>
      </c>
      <c r="C597">
        <v>67.790000000000006</v>
      </c>
      <c r="D597">
        <v>176.89</v>
      </c>
      <c r="E597">
        <v>437.89</v>
      </c>
      <c r="F597">
        <v>43.27</v>
      </c>
      <c r="G597" s="4"/>
      <c r="H597" s="10">
        <f t="shared" si="58"/>
        <v>4.9701789264413598E-2</v>
      </c>
      <c r="I597" s="10">
        <f t="shared" si="60"/>
        <v>3.1026615969581783E-2</v>
      </c>
      <c r="J597" s="10">
        <f t="shared" si="61"/>
        <v>1.7427815483722409E-2</v>
      </c>
      <c r="K597" s="10">
        <f t="shared" si="62"/>
        <v>9.6006583308549942E-4</v>
      </c>
      <c r="L597" s="10">
        <f t="shared" si="63"/>
        <v>-3.3072625698323921E-2</v>
      </c>
      <c r="M597" s="10">
        <f t="shared" si="59"/>
        <v>9.4451003541911049E-3</v>
      </c>
      <c r="N597" s="1"/>
      <c r="O597" s="2">
        <v>4198.05</v>
      </c>
      <c r="P597" s="12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spans="1:31" ht="15" thickBot="1" x14ac:dyDescent="0.35">
      <c r="A598" s="1">
        <v>45063</v>
      </c>
      <c r="B598">
        <v>30.18</v>
      </c>
      <c r="C598">
        <v>65.75</v>
      </c>
      <c r="D598">
        <v>173.86</v>
      </c>
      <c r="E598">
        <v>437.47</v>
      </c>
      <c r="F598">
        <v>44.75</v>
      </c>
      <c r="G598" s="4"/>
      <c r="H598" s="10">
        <f t="shared" si="58"/>
        <v>3.3207805546045854E-2</v>
      </c>
      <c r="I598" s="10">
        <f t="shared" si="60"/>
        <v>2.5101340816962914E-2</v>
      </c>
      <c r="J598" s="10">
        <f t="shared" si="61"/>
        <v>4.4078789334614399E-2</v>
      </c>
      <c r="K598" s="10">
        <f t="shared" si="62"/>
        <v>1.877934272300541E-3</v>
      </c>
      <c r="L598" s="10">
        <f t="shared" si="63"/>
        <v>-8.2003546099290725E-3</v>
      </c>
      <c r="M598" s="10">
        <f t="shared" si="59"/>
        <v>1.1890800262780221E-2</v>
      </c>
      <c r="N598" s="1"/>
      <c r="O598" s="2">
        <v>4158.7700000000004</v>
      </c>
      <c r="P598" s="12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spans="1:31" ht="15" thickBot="1" x14ac:dyDescent="0.35">
      <c r="A599" s="1">
        <v>45062</v>
      </c>
      <c r="B599">
        <v>29.21</v>
      </c>
      <c r="C599">
        <v>64.14</v>
      </c>
      <c r="D599">
        <v>166.52</v>
      </c>
      <c r="E599">
        <v>436.65</v>
      </c>
      <c r="F599">
        <v>45.12</v>
      </c>
      <c r="G599" s="4"/>
      <c r="H599" s="10">
        <f t="shared" si="58"/>
        <v>8.9810017271156894E-3</v>
      </c>
      <c r="I599" s="10">
        <f t="shared" si="60"/>
        <v>2.5007814942170636E-3</v>
      </c>
      <c r="J599" s="10">
        <f t="shared" si="61"/>
        <v>1.02194168920966E-3</v>
      </c>
      <c r="K599" s="10">
        <f t="shared" si="62"/>
        <v>4.9250880301949795E-3</v>
      </c>
      <c r="L599" s="10">
        <f t="shared" si="63"/>
        <v>-4.1834784455298535E-2</v>
      </c>
      <c r="M599" s="10">
        <f t="shared" si="59"/>
        <v>-6.3777113735047353E-3</v>
      </c>
      <c r="N599" s="1"/>
      <c r="O599" s="2">
        <v>4109.8999999999996</v>
      </c>
      <c r="P599" s="12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spans="1:31" ht="15" thickBot="1" x14ac:dyDescent="0.35">
      <c r="A600" s="1">
        <v>45061</v>
      </c>
      <c r="B600">
        <v>28.95</v>
      </c>
      <c r="C600">
        <v>63.98</v>
      </c>
      <c r="D600">
        <v>166.35</v>
      </c>
      <c r="E600">
        <v>434.51</v>
      </c>
      <c r="F600">
        <v>47.09</v>
      </c>
      <c r="G600" s="4"/>
      <c r="H600" s="10">
        <f t="shared" si="58"/>
        <v>2.1524347212420691E-2</v>
      </c>
      <c r="I600" s="10">
        <f t="shared" si="60"/>
        <v>1.3624841571609592E-2</v>
      </c>
      <c r="J600" s="10">
        <f t="shared" si="61"/>
        <v>-9.7035361352542093E-3</v>
      </c>
      <c r="K600" s="10">
        <f t="shared" si="62"/>
        <v>1.8414934511890024E-4</v>
      </c>
      <c r="L600" s="10">
        <f t="shared" si="63"/>
        <v>2.5032651284284002E-2</v>
      </c>
      <c r="M600" s="10">
        <f t="shared" si="59"/>
        <v>2.958235533743192E-3</v>
      </c>
      <c r="N600" s="1"/>
      <c r="O600" s="2">
        <v>4136.28</v>
      </c>
      <c r="P600" s="12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spans="1:31" ht="15" thickBot="1" x14ac:dyDescent="0.35">
      <c r="A601" s="1">
        <v>45058</v>
      </c>
      <c r="B601">
        <v>28.34</v>
      </c>
      <c r="C601">
        <v>63.12</v>
      </c>
      <c r="D601">
        <v>167.98</v>
      </c>
      <c r="E601">
        <v>434.43</v>
      </c>
      <c r="F601">
        <v>45.94</v>
      </c>
      <c r="G601" s="4"/>
      <c r="H601" s="10">
        <f t="shared" si="58"/>
        <v>-8.397480755773179E-3</v>
      </c>
      <c r="I601" s="10">
        <f t="shared" si="60"/>
        <v>5.5759120599010448E-3</v>
      </c>
      <c r="J601" s="10">
        <f t="shared" si="61"/>
        <v>-2.3826127382612916E-2</v>
      </c>
      <c r="K601" s="10">
        <f t="shared" si="62"/>
        <v>-2.571461370680761E-3</v>
      </c>
      <c r="L601" s="10">
        <f t="shared" si="63"/>
        <v>1.3077593722754521E-3</v>
      </c>
      <c r="M601" s="10">
        <f t="shared" si="59"/>
        <v>-1.5832974226629437E-3</v>
      </c>
      <c r="N601" s="1"/>
      <c r="O601" s="2">
        <v>4124.08</v>
      </c>
      <c r="P601" s="12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spans="1:31" ht="15" thickBot="1" x14ac:dyDescent="0.35">
      <c r="A602" s="1">
        <v>45057</v>
      </c>
      <c r="B602">
        <v>28.58</v>
      </c>
      <c r="C602">
        <v>62.77</v>
      </c>
      <c r="D602">
        <v>172.08</v>
      </c>
      <c r="E602">
        <v>435.55</v>
      </c>
      <c r="F602">
        <v>45.88</v>
      </c>
      <c r="G602" s="4"/>
      <c r="H602" s="10">
        <f t="shared" si="58"/>
        <v>-1.0730356524749074E-2</v>
      </c>
      <c r="I602" s="10">
        <f t="shared" si="60"/>
        <v>2.2353504710201921E-3</v>
      </c>
      <c r="J602" s="10">
        <f t="shared" si="61"/>
        <v>2.1003915984336263E-2</v>
      </c>
      <c r="K602" s="10">
        <f t="shared" si="62"/>
        <v>-8.4877959258577995E-4</v>
      </c>
      <c r="L602" s="10">
        <f t="shared" si="63"/>
        <v>-4.0368123823467883E-2</v>
      </c>
      <c r="M602" s="10">
        <f t="shared" si="59"/>
        <v>-1.6966193288928677E-3</v>
      </c>
      <c r="N602" s="1"/>
      <c r="O602" s="2">
        <v>4130.62</v>
      </c>
      <c r="P602" s="12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spans="1:31" ht="15" thickBot="1" x14ac:dyDescent="0.35">
      <c r="A603" s="1">
        <v>45056</v>
      </c>
      <c r="B603">
        <v>28.89</v>
      </c>
      <c r="C603">
        <v>62.63</v>
      </c>
      <c r="D603">
        <v>168.54</v>
      </c>
      <c r="E603">
        <v>435.92</v>
      </c>
      <c r="F603">
        <v>47.81</v>
      </c>
      <c r="G603" s="4"/>
      <c r="H603" s="10">
        <f t="shared" si="58"/>
        <v>1.1200560028001405E-2</v>
      </c>
      <c r="I603" s="10">
        <f t="shared" si="60"/>
        <v>1.2611156022635406E-2</v>
      </c>
      <c r="J603" s="10">
        <f t="shared" si="61"/>
        <v>-3.6062666272540511E-3</v>
      </c>
      <c r="K603" s="10">
        <f t="shared" si="62"/>
        <v>1.7601195200523057E-2</v>
      </c>
      <c r="L603" s="10">
        <f t="shared" si="63"/>
        <v>-7.0612668743509355E-3</v>
      </c>
      <c r="M603" s="10">
        <f t="shared" si="59"/>
        <v>4.4839130213125689E-3</v>
      </c>
      <c r="N603" s="1"/>
      <c r="O603" s="2">
        <v>4137.6400000000003</v>
      </c>
      <c r="P603" s="12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spans="1:31" ht="15" thickBot="1" x14ac:dyDescent="0.35">
      <c r="A604" s="1">
        <v>45055</v>
      </c>
      <c r="B604">
        <v>28.57</v>
      </c>
      <c r="C604">
        <v>61.85</v>
      </c>
      <c r="D604">
        <v>169.15</v>
      </c>
      <c r="E604">
        <v>428.38</v>
      </c>
      <c r="F604">
        <v>48.15</v>
      </c>
      <c r="G604" s="4"/>
      <c r="H604" s="10">
        <f t="shared" si="58"/>
        <v>-1.9897084048027369E-2</v>
      </c>
      <c r="I604" s="10">
        <f t="shared" si="60"/>
        <v>-1.684946749324423E-2</v>
      </c>
      <c r="J604" s="10">
        <f t="shared" si="61"/>
        <v>-1.5367599976715662E-2</v>
      </c>
      <c r="K604" s="10">
        <f t="shared" si="62"/>
        <v>-1.0029580329081189E-2</v>
      </c>
      <c r="L604" s="10">
        <f t="shared" si="63"/>
        <v>-2.8991509629322509E-3</v>
      </c>
      <c r="M604" s="10">
        <f t="shared" si="59"/>
        <v>-4.5793742085777911E-3</v>
      </c>
      <c r="N604" s="1"/>
      <c r="O604" s="2">
        <v>4119.17</v>
      </c>
      <c r="P604" s="12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spans="1:31" ht="15" thickBot="1" x14ac:dyDescent="0.35">
      <c r="A605" s="1">
        <v>45054</v>
      </c>
      <c r="B605">
        <v>29.15</v>
      </c>
      <c r="C605">
        <v>62.91</v>
      </c>
      <c r="D605">
        <v>171.79</v>
      </c>
      <c r="E605">
        <v>432.72</v>
      </c>
      <c r="F605">
        <v>48.29</v>
      </c>
      <c r="G605" s="4"/>
      <c r="H605" s="10">
        <f t="shared" si="58"/>
        <v>1.6387726638772637E-2</v>
      </c>
      <c r="I605" s="10">
        <f t="shared" si="60"/>
        <v>-1.587049674654839E-3</v>
      </c>
      <c r="J605" s="10">
        <f t="shared" si="61"/>
        <v>1.0172880159943443E-2</v>
      </c>
      <c r="K605" s="10">
        <f t="shared" si="62"/>
        <v>1.1477057572286897E-2</v>
      </c>
      <c r="L605" s="10">
        <f t="shared" si="63"/>
        <v>-8.8259441707717601E-3</v>
      </c>
      <c r="M605" s="10">
        <f t="shared" si="59"/>
        <v>4.5210033242670811E-4</v>
      </c>
      <c r="N605" s="1"/>
      <c r="O605" s="2">
        <v>4138.12</v>
      </c>
      <c r="P605" s="12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spans="1:31" ht="15" thickBot="1" x14ac:dyDescent="0.35">
      <c r="A606" s="1">
        <v>45051</v>
      </c>
      <c r="B606">
        <v>28.68</v>
      </c>
      <c r="C606">
        <v>63.01</v>
      </c>
      <c r="D606">
        <v>170.06</v>
      </c>
      <c r="E606">
        <v>427.81</v>
      </c>
      <c r="F606">
        <v>48.72</v>
      </c>
      <c r="G606" s="4"/>
      <c r="H606" s="10">
        <f t="shared" si="58"/>
        <v>4.063860667634267E-2</v>
      </c>
      <c r="I606" s="10">
        <f t="shared" si="60"/>
        <v>3.2612258275974915E-2</v>
      </c>
      <c r="J606" s="10">
        <f t="shared" si="61"/>
        <v>5.4962779156327635E-2</v>
      </c>
      <c r="K606" s="10">
        <f t="shared" si="62"/>
        <v>-1.4704509382876818E-3</v>
      </c>
      <c r="L606" s="10">
        <f t="shared" si="63"/>
        <v>-1.3964784456587664E-2</v>
      </c>
      <c r="M606" s="10">
        <f t="shared" si="59"/>
        <v>1.8474744042430657E-2</v>
      </c>
      <c r="N606" s="1"/>
      <c r="O606" s="2">
        <v>4136.25</v>
      </c>
      <c r="P606" s="12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spans="1:31" ht="15" thickBot="1" x14ac:dyDescent="0.35">
      <c r="A607" s="1">
        <v>45050</v>
      </c>
      <c r="B607">
        <v>27.56</v>
      </c>
      <c r="C607">
        <v>61.02</v>
      </c>
      <c r="D607">
        <v>161.19999999999999</v>
      </c>
      <c r="E607">
        <v>428.44</v>
      </c>
      <c r="F607">
        <v>49.41</v>
      </c>
      <c r="G607" s="4"/>
      <c r="H607" s="10">
        <f t="shared" si="58"/>
        <v>-8.6330935251799357E-3</v>
      </c>
      <c r="I607" s="10">
        <f t="shared" si="60"/>
        <v>-4.8923679060665082E-3</v>
      </c>
      <c r="J607" s="10">
        <f t="shared" si="61"/>
        <v>3.6734948010708202E-3</v>
      </c>
      <c r="K607" s="10">
        <f t="shared" si="62"/>
        <v>-6.3776989262274153E-3</v>
      </c>
      <c r="L607" s="10">
        <f t="shared" si="63"/>
        <v>4.0429564118761752E-2</v>
      </c>
      <c r="M607" s="10">
        <f t="shared" si="59"/>
        <v>-7.2187251726456569E-3</v>
      </c>
      <c r="N607" s="1"/>
      <c r="O607" s="2">
        <v>4061.22</v>
      </c>
      <c r="P607" s="12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spans="1:31" ht="15" thickBot="1" x14ac:dyDescent="0.35">
      <c r="A608" s="1">
        <v>45049</v>
      </c>
      <c r="B608">
        <v>27.8</v>
      </c>
      <c r="C608">
        <v>61.32</v>
      </c>
      <c r="D608">
        <v>160.61000000000001</v>
      </c>
      <c r="E608">
        <v>431.19</v>
      </c>
      <c r="F608">
        <v>47.49</v>
      </c>
      <c r="G608" s="4"/>
      <c r="H608" s="10">
        <f t="shared" si="58"/>
        <v>-1.4533853243530626E-2</v>
      </c>
      <c r="I608" s="10">
        <f t="shared" si="60"/>
        <v>1.4698677119060477E-3</v>
      </c>
      <c r="J608" s="10">
        <f t="shared" si="61"/>
        <v>1.871374212463417E-3</v>
      </c>
      <c r="K608" s="10">
        <f t="shared" si="62"/>
        <v>6.6773874319643767E-2</v>
      </c>
      <c r="L608" s="10">
        <f t="shared" si="63"/>
        <v>-1.1860174781523125E-2</v>
      </c>
      <c r="M608" s="10">
        <f t="shared" si="59"/>
        <v>-6.9982862330625339E-3</v>
      </c>
      <c r="N608" s="1"/>
      <c r="O608" s="2">
        <v>4090.75</v>
      </c>
      <c r="P608" s="12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spans="1:31" ht="15" thickBot="1" x14ac:dyDescent="0.35">
      <c r="A609" s="1">
        <v>45048</v>
      </c>
      <c r="B609">
        <v>28.21</v>
      </c>
      <c r="C609">
        <v>61.23</v>
      </c>
      <c r="D609">
        <v>160.31</v>
      </c>
      <c r="E609">
        <v>404.2</v>
      </c>
      <c r="F609">
        <v>48.06</v>
      </c>
      <c r="G609" s="4"/>
      <c r="H609" s="10">
        <f t="shared" si="58"/>
        <v>-2.4213075060532718E-2</v>
      </c>
      <c r="I609" s="10">
        <f t="shared" si="60"/>
        <v>-4.0131682081831044E-2</v>
      </c>
      <c r="J609" s="10">
        <f t="shared" si="61"/>
        <v>-9.3925724525737442E-3</v>
      </c>
      <c r="K609" s="10">
        <f t="shared" si="62"/>
        <v>-3.9673738941869985E-3</v>
      </c>
      <c r="L609" s="10">
        <f t="shared" si="63"/>
        <v>2.4078414660132275E-2</v>
      </c>
      <c r="M609" s="10">
        <f t="shared" si="59"/>
        <v>-1.1586253889876552E-2</v>
      </c>
      <c r="N609" s="1"/>
      <c r="O609" s="2">
        <v>4119.58</v>
      </c>
      <c r="P609" s="12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spans="1:31" ht="15" thickBot="1" x14ac:dyDescent="0.35">
      <c r="A610" s="1">
        <v>45047</v>
      </c>
      <c r="B610">
        <v>28.91</v>
      </c>
      <c r="C610">
        <v>63.79</v>
      </c>
      <c r="D610">
        <v>161.83000000000001</v>
      </c>
      <c r="E610">
        <v>405.81</v>
      </c>
      <c r="F610">
        <v>46.93</v>
      </c>
      <c r="G610" s="4"/>
      <c r="H610" s="10">
        <f t="shared" si="58"/>
        <v>4.1801801801801819E-2</v>
      </c>
      <c r="I610" s="10">
        <f t="shared" si="60"/>
        <v>1.8196328810853979E-2</v>
      </c>
      <c r="J610" s="10">
        <f t="shared" si="61"/>
        <v>-1.5093420972551841E-2</v>
      </c>
      <c r="K610" s="10">
        <f t="shared" si="62"/>
        <v>2.5135148789976247E-2</v>
      </c>
      <c r="L610" s="10">
        <f t="shared" si="63"/>
        <v>-9.9156118143459704E-3</v>
      </c>
      <c r="M610" s="10">
        <f t="shared" si="59"/>
        <v>-3.861392787588569E-4</v>
      </c>
      <c r="N610" s="1"/>
      <c r="O610" s="2">
        <v>4167.87</v>
      </c>
      <c r="P610" s="12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spans="1:31" ht="15" thickBot="1" x14ac:dyDescent="0.35">
      <c r="A611" s="1">
        <v>45044</v>
      </c>
      <c r="B611">
        <v>27.75</v>
      </c>
      <c r="C611">
        <v>62.65</v>
      </c>
      <c r="D611">
        <v>164.31</v>
      </c>
      <c r="E611">
        <v>395.86</v>
      </c>
      <c r="F611">
        <v>47.4</v>
      </c>
      <c r="G611" s="4"/>
      <c r="H611" s="10">
        <f t="shared" si="58"/>
        <v>1.9096584649283876E-2</v>
      </c>
      <c r="I611" s="10">
        <f t="shared" si="60"/>
        <v>1.3098318240620799E-2</v>
      </c>
      <c r="J611" s="10">
        <f t="shared" si="61"/>
        <v>2.5719458143454776E-2</v>
      </c>
      <c r="K611" s="10">
        <f t="shared" si="62"/>
        <v>1.4115537338286188E-2</v>
      </c>
      <c r="L611" s="10">
        <f t="shared" si="63"/>
        <v>-1.802361715351164E-2</v>
      </c>
      <c r="M611" s="10">
        <f t="shared" si="59"/>
        <v>8.2532312863479174E-3</v>
      </c>
      <c r="N611" s="1"/>
      <c r="O611" s="2">
        <v>4169.4799999999996</v>
      </c>
      <c r="P611" s="12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spans="1:31" ht="15" thickBot="1" x14ac:dyDescent="0.35">
      <c r="A612" s="1">
        <v>45043</v>
      </c>
      <c r="B612">
        <v>27.23</v>
      </c>
      <c r="C612">
        <v>61.84</v>
      </c>
      <c r="D612">
        <v>160.19</v>
      </c>
      <c r="E612">
        <v>390.35</v>
      </c>
      <c r="F612">
        <v>48.27</v>
      </c>
      <c r="G612" s="4"/>
      <c r="H612" s="10">
        <f t="shared" si="58"/>
        <v>1.0014836795252169E-2</v>
      </c>
      <c r="I612" s="10">
        <f t="shared" si="60"/>
        <v>3.5702693930543816E-3</v>
      </c>
      <c r="J612" s="10">
        <f t="shared" si="61"/>
        <v>4.1886178861788581E-2</v>
      </c>
      <c r="K612" s="10">
        <f t="shared" si="62"/>
        <v>3.7419937810614812E-2</v>
      </c>
      <c r="L612" s="10">
        <f t="shared" si="63"/>
        <v>2.3753976670201515E-2</v>
      </c>
      <c r="M612" s="10">
        <f t="shared" si="59"/>
        <v>1.9566123190639217E-2</v>
      </c>
      <c r="N612" s="1"/>
      <c r="O612" s="2">
        <v>4135.3500000000004</v>
      </c>
      <c r="P612" s="12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spans="1:31" ht="15" thickBot="1" x14ac:dyDescent="0.35">
      <c r="A613" s="1">
        <v>45042</v>
      </c>
      <c r="B613">
        <v>26.96</v>
      </c>
      <c r="C613">
        <v>61.62</v>
      </c>
      <c r="D613">
        <v>153.75</v>
      </c>
      <c r="E613">
        <v>376.27</v>
      </c>
      <c r="F613">
        <v>47.15</v>
      </c>
      <c r="G613" s="4"/>
      <c r="H613" s="10">
        <f t="shared" si="58"/>
        <v>2.7439024390244038E-2</v>
      </c>
      <c r="I613" s="10">
        <f t="shared" si="60"/>
        <v>-9.32475884244377E-3</v>
      </c>
      <c r="J613" s="10">
        <f t="shared" si="61"/>
        <v>-4.3069645857969685E-2</v>
      </c>
      <c r="K613" s="10">
        <f t="shared" si="62"/>
        <v>-2.2268994906974315E-2</v>
      </c>
      <c r="L613" s="10">
        <f t="shared" si="63"/>
        <v>-2.1784232365145262E-2</v>
      </c>
      <c r="M613" s="10">
        <f t="shared" si="59"/>
        <v>-3.8412134697898281E-3</v>
      </c>
      <c r="N613" s="1"/>
      <c r="O613" s="2">
        <v>4055.99</v>
      </c>
      <c r="P613" s="12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spans="1:31" ht="15" thickBot="1" x14ac:dyDescent="0.35">
      <c r="A614" s="1">
        <v>45041</v>
      </c>
      <c r="B614">
        <v>26.24</v>
      </c>
      <c r="C614">
        <v>62.2</v>
      </c>
      <c r="D614">
        <v>160.66999999999999</v>
      </c>
      <c r="E614">
        <v>384.84</v>
      </c>
      <c r="F614">
        <v>48.2</v>
      </c>
      <c r="G614" s="4"/>
      <c r="H614" s="10">
        <f t="shared" si="58"/>
        <v>-2.9585798816568087E-2</v>
      </c>
      <c r="I614" s="10">
        <f t="shared" si="60"/>
        <v>-1.9700551615445261E-2</v>
      </c>
      <c r="J614" s="10">
        <f t="shared" si="61"/>
        <v>-1.156567210089221E-2</v>
      </c>
      <c r="K614" s="10">
        <f t="shared" si="62"/>
        <v>3.8867875309767097E-3</v>
      </c>
      <c r="L614" s="10">
        <f t="shared" si="63"/>
        <v>3.7484381507704168E-3</v>
      </c>
      <c r="M614" s="10">
        <f t="shared" si="59"/>
        <v>-1.5810821263512076E-2</v>
      </c>
      <c r="N614" s="1"/>
      <c r="O614" s="2">
        <v>4071.63</v>
      </c>
      <c r="P614" s="12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spans="1:31" ht="15" thickBot="1" x14ac:dyDescent="0.35">
      <c r="A615" s="1">
        <v>45040</v>
      </c>
      <c r="B615">
        <v>27.04</v>
      </c>
      <c r="C615">
        <v>63.45</v>
      </c>
      <c r="D615">
        <v>162.55000000000001</v>
      </c>
      <c r="E615">
        <v>383.35</v>
      </c>
      <c r="F615">
        <v>48.02</v>
      </c>
      <c r="G615" s="4"/>
      <c r="H615" s="10">
        <f t="shared" si="58"/>
        <v>-2.9498525073746729E-3</v>
      </c>
      <c r="I615" s="10">
        <f t="shared" si="60"/>
        <v>2.5280455048191097E-3</v>
      </c>
      <c r="J615" s="10">
        <f t="shared" si="61"/>
        <v>-1.5325902592682294E-2</v>
      </c>
      <c r="K615" s="10">
        <f t="shared" si="62"/>
        <v>-4.906032603052557E-3</v>
      </c>
      <c r="L615" s="10">
        <f t="shared" si="63"/>
        <v>8.3998320033600304E-3</v>
      </c>
      <c r="M615" s="10">
        <f t="shared" si="59"/>
        <v>8.5157444502503843E-4</v>
      </c>
      <c r="N615" s="1"/>
      <c r="O615" s="2">
        <v>4137.04</v>
      </c>
      <c r="P615" s="12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spans="1:31" ht="15" thickBot="1" x14ac:dyDescent="0.35">
      <c r="A616" s="1">
        <v>45037</v>
      </c>
      <c r="B616">
        <v>27.12</v>
      </c>
      <c r="C616">
        <v>63.29</v>
      </c>
      <c r="D616">
        <v>165.08</v>
      </c>
      <c r="E616">
        <v>385.24</v>
      </c>
      <c r="F616">
        <v>47.62</v>
      </c>
      <c r="G616" s="4"/>
      <c r="H616" s="10">
        <f t="shared" si="58"/>
        <v>7.3800738007379074E-4</v>
      </c>
      <c r="I616" s="10">
        <f t="shared" si="60"/>
        <v>-1.5797788309634964E-4</v>
      </c>
      <c r="J616" s="10">
        <f t="shared" si="61"/>
        <v>1.282287256886927E-2</v>
      </c>
      <c r="K616" s="10">
        <f t="shared" si="62"/>
        <v>2.7827432565833421E-2</v>
      </c>
      <c r="L616" s="10">
        <f t="shared" si="63"/>
        <v>-5.430242272347674E-3</v>
      </c>
      <c r="M616" s="10">
        <f t="shared" si="59"/>
        <v>9.0319362485757893E-4</v>
      </c>
      <c r="N616" s="1"/>
      <c r="O616" s="2">
        <v>4133.5200000000004</v>
      </c>
      <c r="P616" s="12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spans="1:31" ht="15" thickBot="1" x14ac:dyDescent="0.35">
      <c r="A617" s="1">
        <v>45036</v>
      </c>
      <c r="B617">
        <v>27.1</v>
      </c>
      <c r="C617">
        <v>63.3</v>
      </c>
      <c r="D617">
        <v>162.99</v>
      </c>
      <c r="E617">
        <v>374.81</v>
      </c>
      <c r="F617">
        <v>47.88</v>
      </c>
      <c r="G617" s="4"/>
      <c r="H617" s="10">
        <f t="shared" si="58"/>
        <v>-2.9717150017901872E-2</v>
      </c>
      <c r="I617" s="10">
        <f t="shared" si="60"/>
        <v>-2.3640661938535423E-3</v>
      </c>
      <c r="J617" s="10">
        <f t="shared" si="61"/>
        <v>-9.7458331026081146E-2</v>
      </c>
      <c r="K617" s="10">
        <f t="shared" si="62"/>
        <v>1.1714848705698166E-2</v>
      </c>
      <c r="L617" s="10">
        <f t="shared" si="63"/>
        <v>-7.8740157480313711E-3</v>
      </c>
      <c r="M617" s="10">
        <f t="shared" si="59"/>
        <v>-5.952552882162232E-3</v>
      </c>
      <c r="N617" s="1"/>
      <c r="O617" s="2">
        <v>4129.79</v>
      </c>
      <c r="P617" s="12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spans="1:31" ht="15" thickBot="1" x14ac:dyDescent="0.35">
      <c r="A618" s="1">
        <v>45035</v>
      </c>
      <c r="B618">
        <v>27.93</v>
      </c>
      <c r="C618">
        <v>63.45</v>
      </c>
      <c r="D618">
        <v>180.59</v>
      </c>
      <c r="E618">
        <v>370.47</v>
      </c>
      <c r="F618">
        <v>48.26</v>
      </c>
      <c r="G618" s="4"/>
      <c r="H618" s="10">
        <f t="shared" si="58"/>
        <v>9.3964582580410294E-3</v>
      </c>
      <c r="I618" s="10">
        <f t="shared" si="60"/>
        <v>3.4793610627867899E-3</v>
      </c>
      <c r="J618" s="10">
        <f t="shared" si="61"/>
        <v>-2.0183386685475591E-2</v>
      </c>
      <c r="K618" s="10">
        <f t="shared" si="62"/>
        <v>1.51388175502154E-3</v>
      </c>
      <c r="L618" s="10">
        <f t="shared" si="63"/>
        <v>-1.2279983626688473E-2</v>
      </c>
      <c r="M618" s="10">
        <f t="shared" si="59"/>
        <v>-8.4238496029787058E-5</v>
      </c>
      <c r="N618" s="1"/>
      <c r="O618" s="2">
        <v>4154.5200000000004</v>
      </c>
      <c r="P618" s="12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spans="1:31" ht="15" thickBot="1" x14ac:dyDescent="0.35">
      <c r="A619" s="1">
        <v>45034</v>
      </c>
      <c r="B619">
        <v>27.67</v>
      </c>
      <c r="C619">
        <v>63.23</v>
      </c>
      <c r="D619">
        <v>184.31</v>
      </c>
      <c r="E619">
        <v>369.91</v>
      </c>
      <c r="F619">
        <v>48.86</v>
      </c>
      <c r="G619" s="4"/>
      <c r="H619" s="10">
        <f t="shared" si="58"/>
        <v>2.4814814814814845E-2</v>
      </c>
      <c r="I619" s="10">
        <f t="shared" si="60"/>
        <v>7.8100095632769317E-3</v>
      </c>
      <c r="J619" s="10">
        <f t="shared" si="61"/>
        <v>-1.4595808383233488E-2</v>
      </c>
      <c r="K619" s="10">
        <f t="shared" si="62"/>
        <v>-6.5529743520881256E-3</v>
      </c>
      <c r="L619" s="10">
        <f t="shared" si="63"/>
        <v>8.0462141530843745E-3</v>
      </c>
      <c r="M619" s="10">
        <f t="shared" si="59"/>
        <v>8.5514968732836039E-4</v>
      </c>
      <c r="N619" s="1"/>
      <c r="O619" s="2">
        <v>4154.87</v>
      </c>
      <c r="P619" s="12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spans="1:31" ht="15" thickBot="1" x14ac:dyDescent="0.35">
      <c r="A620" s="1">
        <v>45033</v>
      </c>
      <c r="B620">
        <v>27</v>
      </c>
      <c r="C620">
        <v>62.74</v>
      </c>
      <c r="D620">
        <v>187.04</v>
      </c>
      <c r="E620">
        <v>372.35</v>
      </c>
      <c r="F620">
        <v>48.47</v>
      </c>
      <c r="G620" s="4"/>
      <c r="H620" s="10">
        <f t="shared" si="58"/>
        <v>8.9686098654708779E-3</v>
      </c>
      <c r="I620" s="10">
        <f t="shared" si="60"/>
        <v>1.2752219531880549E-2</v>
      </c>
      <c r="J620" s="10">
        <f t="shared" si="61"/>
        <v>1.1027027027026959E-2</v>
      </c>
      <c r="K620" s="10">
        <f t="shared" si="62"/>
        <v>-6.3512395591492909E-3</v>
      </c>
      <c r="L620" s="10">
        <f t="shared" si="63"/>
        <v>-2.1203554119547774E-2</v>
      </c>
      <c r="M620" s="10">
        <f t="shared" si="59"/>
        <v>3.3062325383550473E-3</v>
      </c>
      <c r="N620" s="1"/>
      <c r="O620" s="2">
        <v>4151.32</v>
      </c>
      <c r="P620" s="12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spans="1:31" ht="15" thickBot="1" x14ac:dyDescent="0.35">
      <c r="A621" s="1">
        <v>45030</v>
      </c>
      <c r="B621">
        <v>26.76</v>
      </c>
      <c r="C621">
        <v>61.95</v>
      </c>
      <c r="D621">
        <v>185</v>
      </c>
      <c r="E621">
        <v>374.73</v>
      </c>
      <c r="F621">
        <v>49.52</v>
      </c>
      <c r="G621" s="4"/>
      <c r="H621" s="10">
        <f t="shared" si="58"/>
        <v>1.133786848072571E-2</v>
      </c>
      <c r="I621" s="10">
        <f t="shared" si="60"/>
        <v>-7.5296379365588084E-3</v>
      </c>
      <c r="J621" s="10">
        <f t="shared" si="61"/>
        <v>-4.8413125336203011E-3</v>
      </c>
      <c r="K621" s="10">
        <f t="shared" si="62"/>
        <v>-1.1195521791282914E-3</v>
      </c>
      <c r="L621" s="10">
        <f t="shared" si="63"/>
        <v>-2.9400235201881619E-2</v>
      </c>
      <c r="M621" s="10">
        <f t="shared" si="59"/>
        <v>-2.0693547375681964E-3</v>
      </c>
      <c r="N621" s="1"/>
      <c r="O621" s="2">
        <v>4137.6400000000003</v>
      </c>
      <c r="P621" s="12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spans="1:31" ht="15" thickBot="1" x14ac:dyDescent="0.35">
      <c r="A622" s="1">
        <v>45029</v>
      </c>
      <c r="B622">
        <v>26.46</v>
      </c>
      <c r="C622">
        <v>62.42</v>
      </c>
      <c r="D622">
        <v>185.9</v>
      </c>
      <c r="E622">
        <v>375.15</v>
      </c>
      <c r="F622">
        <v>51.02</v>
      </c>
      <c r="G622" s="4"/>
      <c r="H622" s="10">
        <f t="shared" si="58"/>
        <v>-1.5094339622641062E-3</v>
      </c>
      <c r="I622" s="10">
        <f t="shared" si="60"/>
        <v>1.216150478352529E-2</v>
      </c>
      <c r="J622" s="10">
        <f t="shared" si="61"/>
        <v>2.9688711642849253E-2</v>
      </c>
      <c r="K622" s="10">
        <f t="shared" si="62"/>
        <v>1.6528925619834656E-2</v>
      </c>
      <c r="L622" s="10">
        <f t="shared" si="63"/>
        <v>2.6352846509756667E-2</v>
      </c>
      <c r="M622" s="10">
        <f t="shared" si="59"/>
        <v>1.3262625398648753E-2</v>
      </c>
      <c r="N622" s="1"/>
      <c r="O622" s="2">
        <v>4146.22</v>
      </c>
      <c r="P622" s="12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spans="1:31" ht="15" thickBot="1" x14ac:dyDescent="0.35">
      <c r="A623" s="1">
        <v>45028</v>
      </c>
      <c r="B623">
        <v>26.5</v>
      </c>
      <c r="C623">
        <v>61.67</v>
      </c>
      <c r="D623">
        <v>180.54</v>
      </c>
      <c r="E623">
        <v>369.05</v>
      </c>
      <c r="F623">
        <v>49.71</v>
      </c>
      <c r="G623" s="4"/>
      <c r="H623" s="10">
        <f t="shared" si="58"/>
        <v>-2.4659550975340561E-2</v>
      </c>
      <c r="I623" s="10">
        <f t="shared" si="60"/>
        <v>-7.8828828828827469E-3</v>
      </c>
      <c r="J623" s="10">
        <f t="shared" si="61"/>
        <v>-3.3460035333797267E-2</v>
      </c>
      <c r="K623" s="10">
        <f t="shared" si="62"/>
        <v>1.3762223931436113E-2</v>
      </c>
      <c r="L623" s="10">
        <f t="shared" si="63"/>
        <v>-4.2067307692308376E-3</v>
      </c>
      <c r="M623" s="10">
        <f t="shared" si="59"/>
        <v>-4.1348863697205918E-3</v>
      </c>
      <c r="N623" s="1"/>
      <c r="O623" s="2">
        <v>4091.95</v>
      </c>
      <c r="P623" s="12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spans="1:31" ht="15" thickBot="1" x14ac:dyDescent="0.35">
      <c r="A624" s="1">
        <v>45027</v>
      </c>
      <c r="B624">
        <v>27.17</v>
      </c>
      <c r="C624">
        <v>62.16</v>
      </c>
      <c r="D624">
        <v>186.79</v>
      </c>
      <c r="E624">
        <v>364.04</v>
      </c>
      <c r="F624">
        <v>49.92</v>
      </c>
      <c r="G624" s="4"/>
      <c r="H624" s="10">
        <f t="shared" si="58"/>
        <v>-1.486584481508324E-2</v>
      </c>
      <c r="I624" s="10">
        <f t="shared" si="60"/>
        <v>-9.2445011157157309E-3</v>
      </c>
      <c r="J624" s="10">
        <f t="shared" si="61"/>
        <v>1.2357053818221164E-2</v>
      </c>
      <c r="K624" s="10">
        <f t="shared" si="62"/>
        <v>-8.0653950953677445E-3</v>
      </c>
      <c r="L624" s="10">
        <f t="shared" si="63"/>
        <v>-2.2900763358778664E-2</v>
      </c>
      <c r="M624" s="10">
        <f t="shared" si="59"/>
        <v>-4.1371489203245737E-5</v>
      </c>
      <c r="N624" s="1"/>
      <c r="O624" s="2">
        <v>4108.9399999999996</v>
      </c>
      <c r="P624" s="12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spans="1:31" ht="15" thickBot="1" x14ac:dyDescent="0.35">
      <c r="A625" s="1">
        <v>45026</v>
      </c>
      <c r="B625">
        <v>27.58</v>
      </c>
      <c r="C625">
        <v>62.74</v>
      </c>
      <c r="D625">
        <v>184.51</v>
      </c>
      <c r="E625">
        <v>367</v>
      </c>
      <c r="F625">
        <v>51.09</v>
      </c>
      <c r="G625" s="4"/>
      <c r="H625" s="10">
        <f t="shared" si="58"/>
        <v>1.9970414201183395E-2</v>
      </c>
      <c r="I625" s="10">
        <f t="shared" si="60"/>
        <v>7.7096048827498542E-3</v>
      </c>
      <c r="J625" s="10">
        <f t="shared" si="61"/>
        <v>-2.9720090781368835E-3</v>
      </c>
      <c r="K625" s="10">
        <f t="shared" si="62"/>
        <v>-3.5026745227946243E-3</v>
      </c>
      <c r="L625" s="10">
        <f t="shared" si="63"/>
        <v>-1.8443804034582012E-2</v>
      </c>
      <c r="M625" s="10">
        <f t="shared" si="59"/>
        <v>9.9634106532953126E-4</v>
      </c>
      <c r="N625" s="1"/>
      <c r="O625" s="2">
        <v>4109.1099999999997</v>
      </c>
      <c r="P625" s="12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spans="1:31" ht="15" thickBot="1" x14ac:dyDescent="0.35">
      <c r="A626" s="1">
        <v>45022</v>
      </c>
      <c r="B626">
        <v>27.04</v>
      </c>
      <c r="C626">
        <v>62.26</v>
      </c>
      <c r="D626">
        <v>185.06</v>
      </c>
      <c r="E626">
        <v>368.29</v>
      </c>
      <c r="F626">
        <v>52.05</v>
      </c>
      <c r="G626" s="4"/>
      <c r="H626" s="10">
        <f t="shared" si="58"/>
        <v>5.9523809523809312E-3</v>
      </c>
      <c r="I626" s="10">
        <f t="shared" si="60"/>
        <v>-1.0174880763116012E-2</v>
      </c>
      <c r="J626" s="10">
        <f t="shared" si="61"/>
        <v>-2.4795170332040373E-3</v>
      </c>
      <c r="K626" s="10">
        <f t="shared" si="62"/>
        <v>1.6701634275618327E-2</v>
      </c>
      <c r="L626" s="10">
        <f t="shared" si="63"/>
        <v>-3.8409832917229991E-4</v>
      </c>
      <c r="M626" s="10">
        <f t="shared" si="59"/>
        <v>3.5791295674241219E-3</v>
      </c>
      <c r="N626" s="1"/>
      <c r="O626" s="2">
        <v>4105.0200000000004</v>
      </c>
      <c r="P626" s="12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spans="1:31" ht="15" thickBot="1" x14ac:dyDescent="0.35">
      <c r="A627" s="1">
        <v>45021</v>
      </c>
      <c r="B627">
        <v>26.88</v>
      </c>
      <c r="C627">
        <v>62.9</v>
      </c>
      <c r="D627">
        <v>185.52</v>
      </c>
      <c r="E627">
        <v>362.24</v>
      </c>
      <c r="F627">
        <v>52.07</v>
      </c>
      <c r="G627" s="4"/>
      <c r="H627" s="10">
        <f t="shared" si="58"/>
        <v>-2.0765027322404372E-2</v>
      </c>
      <c r="I627" s="10">
        <f t="shared" si="60"/>
        <v>-8.5119798234551958E-3</v>
      </c>
      <c r="J627" s="10">
        <f t="shared" si="61"/>
        <v>-3.666008931353204E-2</v>
      </c>
      <c r="K627" s="10">
        <f t="shared" si="62"/>
        <v>2.1487789746771124E-2</v>
      </c>
      <c r="L627" s="10">
        <f t="shared" si="63"/>
        <v>1.4021421616358332E-2</v>
      </c>
      <c r="M627" s="10">
        <f t="shared" si="59"/>
        <v>-2.4923181973370845E-3</v>
      </c>
      <c r="N627" s="1"/>
      <c r="O627" s="2">
        <v>4090.38</v>
      </c>
      <c r="P627" s="12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spans="1:31" ht="15" thickBot="1" x14ac:dyDescent="0.35">
      <c r="A628" s="1">
        <v>45020</v>
      </c>
      <c r="B628">
        <v>27.45</v>
      </c>
      <c r="C628">
        <v>63.44</v>
      </c>
      <c r="D628">
        <v>192.58</v>
      </c>
      <c r="E628">
        <v>354.62</v>
      </c>
      <c r="F628">
        <v>51.35</v>
      </c>
      <c r="G628" s="4"/>
      <c r="H628" s="10">
        <f t="shared" si="58"/>
        <v>-1.8591347872720765E-2</v>
      </c>
      <c r="I628" s="10">
        <f t="shared" si="60"/>
        <v>-1.2607003891050628E-2</v>
      </c>
      <c r="J628" s="10">
        <f t="shared" si="61"/>
        <v>-1.1244031421676848E-2</v>
      </c>
      <c r="K628" s="10">
        <f t="shared" si="62"/>
        <v>1.106232536921925E-2</v>
      </c>
      <c r="L628" s="10">
        <f t="shared" si="63"/>
        <v>3.800282999797866E-2</v>
      </c>
      <c r="M628" s="10">
        <f t="shared" si="59"/>
        <v>-5.7970522559043225E-3</v>
      </c>
      <c r="N628" s="1"/>
      <c r="O628" s="2">
        <v>4100.6000000000004</v>
      </c>
      <c r="P628" s="12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spans="1:31" ht="15" thickBot="1" x14ac:dyDescent="0.35">
      <c r="A629" s="1">
        <v>45019</v>
      </c>
      <c r="B629">
        <v>27.97</v>
      </c>
      <c r="C629">
        <v>64.25</v>
      </c>
      <c r="D629">
        <v>194.77</v>
      </c>
      <c r="E629">
        <v>350.74</v>
      </c>
      <c r="F629">
        <v>49.47</v>
      </c>
      <c r="G629" s="4"/>
      <c r="H629" s="10">
        <f t="shared" si="58"/>
        <v>6.8394528437725199E-3</v>
      </c>
      <c r="I629" s="10">
        <f t="shared" si="60"/>
        <v>1.5588464536242519E-3</v>
      </c>
      <c r="J629" s="10">
        <f t="shared" si="61"/>
        <v>-6.1168418008290759E-2</v>
      </c>
      <c r="K629" s="10">
        <f t="shared" si="62"/>
        <v>2.131500786209295E-2</v>
      </c>
      <c r="L629" s="10">
        <f t="shared" si="63"/>
        <v>9.1799265605874147E-3</v>
      </c>
      <c r="M629" s="10">
        <f t="shared" si="59"/>
        <v>3.6989178231867648E-3</v>
      </c>
      <c r="N629" s="1"/>
      <c r="O629" s="2">
        <v>4124.51</v>
      </c>
      <c r="P629" s="12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spans="1:31" ht="15" thickBot="1" x14ac:dyDescent="0.35">
      <c r="A630" s="1">
        <v>45016</v>
      </c>
      <c r="B630">
        <v>27.78</v>
      </c>
      <c r="C630">
        <v>64.150000000000006</v>
      </c>
      <c r="D630">
        <v>207.46</v>
      </c>
      <c r="E630">
        <v>343.42</v>
      </c>
      <c r="F630">
        <v>49.02</v>
      </c>
      <c r="G630" s="4"/>
      <c r="H630" s="10">
        <f t="shared" si="58"/>
        <v>1.4609203798393144E-2</v>
      </c>
      <c r="I630" s="10">
        <f t="shared" si="60"/>
        <v>1.214894288419055E-2</v>
      </c>
      <c r="J630" s="10">
        <f t="shared" si="61"/>
        <v>6.2371978697255193E-2</v>
      </c>
      <c r="K630" s="10">
        <f t="shared" si="62"/>
        <v>8.0131497842614863E-3</v>
      </c>
      <c r="L630" s="10">
        <f t="shared" si="63"/>
        <v>3.6855036855036882E-3</v>
      </c>
      <c r="M630" s="10">
        <f t="shared" si="59"/>
        <v>1.4436547571732294E-2</v>
      </c>
      <c r="N630" s="1"/>
      <c r="O630" s="2">
        <v>4109.3100000000004</v>
      </c>
      <c r="P630" s="12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spans="1:31" ht="15" thickBot="1" x14ac:dyDescent="0.35">
      <c r="A631" s="1">
        <v>45015</v>
      </c>
      <c r="B631">
        <v>27.38</v>
      </c>
      <c r="C631">
        <v>63.38</v>
      </c>
      <c r="D631">
        <v>195.28</v>
      </c>
      <c r="E631">
        <v>340.69</v>
      </c>
      <c r="F631">
        <v>48.84</v>
      </c>
      <c r="G631" s="4"/>
      <c r="H631" s="10">
        <f t="shared" si="58"/>
        <v>1.4825796886582587E-2</v>
      </c>
      <c r="I631" s="10">
        <f t="shared" si="60"/>
        <v>1.3269384492406111E-2</v>
      </c>
      <c r="J631" s="10">
        <f t="shared" si="61"/>
        <v>7.2209614194347349E-3</v>
      </c>
      <c r="K631" s="10">
        <f t="shared" si="62"/>
        <v>1.4350790484413567E-2</v>
      </c>
      <c r="L631" s="10">
        <f t="shared" si="63"/>
        <v>1.0343400910219236E-2</v>
      </c>
      <c r="M631" s="10">
        <f t="shared" si="59"/>
        <v>5.7152646227105475E-3</v>
      </c>
      <c r="N631" s="1"/>
      <c r="O631" s="2">
        <v>4050.83</v>
      </c>
      <c r="P631" s="12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spans="1:31" ht="15" thickBot="1" x14ac:dyDescent="0.35">
      <c r="A632" s="1">
        <v>45014</v>
      </c>
      <c r="B632">
        <v>26.98</v>
      </c>
      <c r="C632">
        <v>62.55</v>
      </c>
      <c r="D632">
        <v>193.88</v>
      </c>
      <c r="E632">
        <v>335.87</v>
      </c>
      <c r="F632">
        <v>48.34</v>
      </c>
      <c r="G632" s="4"/>
      <c r="H632" s="10">
        <f t="shared" si="58"/>
        <v>2.1582733812949728E-2</v>
      </c>
      <c r="I632" s="10">
        <f t="shared" si="60"/>
        <v>1.2806146950536945E-3</v>
      </c>
      <c r="J632" s="10">
        <f t="shared" si="61"/>
        <v>2.4789893757598103E-2</v>
      </c>
      <c r="K632" s="10">
        <f t="shared" si="62"/>
        <v>-5.2717310824818009E-3</v>
      </c>
      <c r="L632" s="10">
        <f t="shared" si="63"/>
        <v>-6.576243321002706E-3</v>
      </c>
      <c r="M632" s="10">
        <f t="shared" si="59"/>
        <v>1.4237259113583312E-2</v>
      </c>
      <c r="N632" s="1"/>
      <c r="O632" s="2">
        <v>4027.81</v>
      </c>
      <c r="P632" s="12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spans="1:31" ht="15" thickBot="1" x14ac:dyDescent="0.35">
      <c r="A633" s="1">
        <v>45013</v>
      </c>
      <c r="B633">
        <v>26.41</v>
      </c>
      <c r="C633">
        <v>62.47</v>
      </c>
      <c r="D633">
        <v>189.19</v>
      </c>
      <c r="E633">
        <v>337.65</v>
      </c>
      <c r="F633">
        <v>48.66</v>
      </c>
      <c r="G633" s="4"/>
      <c r="H633" s="10">
        <f t="shared" si="58"/>
        <v>-4.523181304183943E-3</v>
      </c>
      <c r="I633" s="10">
        <f t="shared" si="60"/>
        <v>-3.3503509891512628E-3</v>
      </c>
      <c r="J633" s="10">
        <f t="shared" si="61"/>
        <v>-1.3659350398832149E-2</v>
      </c>
      <c r="K633" s="10">
        <f t="shared" si="62"/>
        <v>9.1153616258217163E-3</v>
      </c>
      <c r="L633" s="10">
        <f t="shared" si="63"/>
        <v>9.3341630367143047E-3</v>
      </c>
      <c r="M633" s="10">
        <f t="shared" si="59"/>
        <v>-1.5738410521103363E-3</v>
      </c>
      <c r="N633" s="1"/>
      <c r="O633" s="2">
        <v>3971.27</v>
      </c>
      <c r="P633" s="12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spans="1:31" ht="15" thickBot="1" x14ac:dyDescent="0.35">
      <c r="A634" s="1">
        <v>45012</v>
      </c>
      <c r="B634">
        <v>26.53</v>
      </c>
      <c r="C634">
        <v>62.68</v>
      </c>
      <c r="D634">
        <v>191.81</v>
      </c>
      <c r="E634">
        <v>334.6</v>
      </c>
      <c r="F634">
        <v>48.21</v>
      </c>
      <c r="G634" s="4"/>
      <c r="H634" s="10">
        <f t="shared" si="58"/>
        <v>-9.3353248693054391E-3</v>
      </c>
      <c r="I634" s="10">
        <f t="shared" si="60"/>
        <v>-1.47752279157497E-2</v>
      </c>
      <c r="J634" s="10">
        <f t="shared" si="61"/>
        <v>7.3525550128670236E-3</v>
      </c>
      <c r="K634" s="10">
        <f t="shared" si="62"/>
        <v>-4.5518103114865482E-3</v>
      </c>
      <c r="L634" s="10">
        <f t="shared" si="63"/>
        <v>-7.0030895983521635E-3</v>
      </c>
      <c r="M634" s="10">
        <f t="shared" si="59"/>
        <v>1.6469444647304599E-3</v>
      </c>
      <c r="N634" s="1"/>
      <c r="O634" s="2">
        <v>3977.53</v>
      </c>
      <c r="P634" s="12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spans="1:31" ht="15" thickBot="1" x14ac:dyDescent="0.35">
      <c r="A635" s="1">
        <v>45009</v>
      </c>
      <c r="B635">
        <v>26.78</v>
      </c>
      <c r="C635">
        <v>63.62</v>
      </c>
      <c r="D635">
        <v>190.41</v>
      </c>
      <c r="E635">
        <v>336.13</v>
      </c>
      <c r="F635">
        <v>48.55</v>
      </c>
      <c r="G635" s="4"/>
      <c r="H635" s="10">
        <f t="shared" si="58"/>
        <v>-1.5079073188672298E-2</v>
      </c>
      <c r="I635" s="10">
        <f t="shared" si="60"/>
        <v>-4.6933667083854935E-3</v>
      </c>
      <c r="J635" s="10">
        <f t="shared" si="61"/>
        <v>-9.4162938299864329E-3</v>
      </c>
      <c r="K635" s="10">
        <f t="shared" si="62"/>
        <v>1.0491822991822941E-2</v>
      </c>
      <c r="L635" s="10">
        <f t="shared" si="63"/>
        <v>1.5902908558275808E-2</v>
      </c>
      <c r="M635" s="10">
        <f t="shared" si="59"/>
        <v>5.6398022650376856E-3</v>
      </c>
      <c r="N635" s="1"/>
      <c r="O635" s="2">
        <v>3970.99</v>
      </c>
      <c r="P635" s="12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spans="1:31" ht="15" thickBot="1" x14ac:dyDescent="0.35">
      <c r="A636" s="1">
        <v>45008</v>
      </c>
      <c r="B636">
        <v>27.19</v>
      </c>
      <c r="C636">
        <v>63.92</v>
      </c>
      <c r="D636">
        <v>192.22</v>
      </c>
      <c r="E636">
        <v>332.64</v>
      </c>
      <c r="F636">
        <v>47.79</v>
      </c>
      <c r="G636" s="4"/>
      <c r="H636" s="10">
        <f t="shared" si="58"/>
        <v>2.7200604457876976E-2</v>
      </c>
      <c r="I636" s="10">
        <f t="shared" si="60"/>
        <v>1.3155809161515375E-2</v>
      </c>
      <c r="J636" s="10">
        <f t="shared" si="61"/>
        <v>5.5976981428196293E-3</v>
      </c>
      <c r="K636" s="10">
        <f t="shared" si="62"/>
        <v>5.0457745414991262E-3</v>
      </c>
      <c r="L636" s="10">
        <f t="shared" si="63"/>
        <v>2.4656946826758119E-2</v>
      </c>
      <c r="M636" s="10">
        <f t="shared" si="59"/>
        <v>2.9845287111662788E-3</v>
      </c>
      <c r="N636" s="1"/>
      <c r="O636" s="2">
        <v>3948.72</v>
      </c>
      <c r="P636" s="12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spans="1:31" ht="15" thickBot="1" x14ac:dyDescent="0.35">
      <c r="A637" s="1">
        <v>45007</v>
      </c>
      <c r="B637">
        <v>26.47</v>
      </c>
      <c r="C637">
        <v>63.09</v>
      </c>
      <c r="D637">
        <v>191.15</v>
      </c>
      <c r="E637">
        <v>330.97</v>
      </c>
      <c r="F637">
        <v>46.64</v>
      </c>
      <c r="G637" s="4"/>
      <c r="H637" s="10">
        <f t="shared" si="58"/>
        <v>1.0305343511450404E-2</v>
      </c>
      <c r="I637" s="10">
        <f t="shared" si="60"/>
        <v>-9.1094707083398951E-3</v>
      </c>
      <c r="J637" s="10">
        <f t="shared" si="61"/>
        <v>-3.2543779734791056E-2</v>
      </c>
      <c r="K637" s="10">
        <f t="shared" si="62"/>
        <v>-3.3224598284387064E-4</v>
      </c>
      <c r="L637" s="10">
        <f t="shared" si="63"/>
        <v>8.5836909871250811E-4</v>
      </c>
      <c r="M637" s="10">
        <f t="shared" si="59"/>
        <v>-1.646318766285193E-2</v>
      </c>
      <c r="N637" s="1"/>
      <c r="O637" s="2">
        <v>3936.97</v>
      </c>
      <c r="P637" s="12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spans="1:31" ht="15" thickBot="1" x14ac:dyDescent="0.35">
      <c r="A638" s="1">
        <v>45006</v>
      </c>
      <c r="B638">
        <v>26.2</v>
      </c>
      <c r="C638">
        <v>63.67</v>
      </c>
      <c r="D638">
        <v>197.58</v>
      </c>
      <c r="E638">
        <v>331.08</v>
      </c>
      <c r="F638">
        <v>46.6</v>
      </c>
      <c r="G638" s="4"/>
      <c r="H638" s="10">
        <f t="shared" si="58"/>
        <v>1.158301158301156E-2</v>
      </c>
      <c r="I638" s="10">
        <f t="shared" si="60"/>
        <v>-1.0874631039304083E-2</v>
      </c>
      <c r="J638" s="10">
        <f t="shared" si="61"/>
        <v>7.8199181446112043E-2</v>
      </c>
      <c r="K638" s="10">
        <f t="shared" si="62"/>
        <v>-7.553956834532527E-3</v>
      </c>
      <c r="L638" s="10">
        <f t="shared" si="63"/>
        <v>-2.5512337933918827E-2</v>
      </c>
      <c r="M638" s="10">
        <f t="shared" si="59"/>
        <v>1.2982181765728518E-2</v>
      </c>
      <c r="N638" s="1"/>
      <c r="O638" s="2">
        <v>4002.87</v>
      </c>
      <c r="P638" s="12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spans="1:31" ht="15" thickBot="1" x14ac:dyDescent="0.35">
      <c r="A639" s="1">
        <v>45005</v>
      </c>
      <c r="B639">
        <v>25.9</v>
      </c>
      <c r="C639">
        <v>64.37</v>
      </c>
      <c r="D639">
        <v>183.25</v>
      </c>
      <c r="E639">
        <v>333.6</v>
      </c>
      <c r="F639">
        <v>47.82</v>
      </c>
      <c r="G639" s="4"/>
      <c r="H639" s="10">
        <f t="shared" si="58"/>
        <v>6.6070734551106902E-3</v>
      </c>
      <c r="I639" s="10">
        <f t="shared" si="60"/>
        <v>2.0126782884310579E-2</v>
      </c>
      <c r="J639" s="10">
        <f t="shared" si="61"/>
        <v>1.7320823849442002E-2</v>
      </c>
      <c r="K639" s="10">
        <f t="shared" si="62"/>
        <v>1.3427304210462454E-2</v>
      </c>
      <c r="L639" s="10">
        <f t="shared" si="63"/>
        <v>-7.2659331534150606E-3</v>
      </c>
      <c r="M639" s="10">
        <f t="shared" si="59"/>
        <v>8.9183585930798781E-3</v>
      </c>
      <c r="N639" s="1"/>
      <c r="O639" s="2">
        <v>3951.57</v>
      </c>
      <c r="P639" s="12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spans="1:31" ht="15" thickBot="1" x14ac:dyDescent="0.35">
      <c r="A640" s="1">
        <v>45002</v>
      </c>
      <c r="B640">
        <v>25.73</v>
      </c>
      <c r="C640">
        <v>63.1</v>
      </c>
      <c r="D640">
        <v>180.13</v>
      </c>
      <c r="E640">
        <v>329.18</v>
      </c>
      <c r="F640">
        <v>48.17</v>
      </c>
      <c r="G640" s="4"/>
      <c r="H640" s="10">
        <f t="shared" si="58"/>
        <v>7.4393108848864742E-3</v>
      </c>
      <c r="I640" s="10">
        <f t="shared" si="60"/>
        <v>-8.64100549882163E-3</v>
      </c>
      <c r="J640" s="10">
        <f t="shared" si="61"/>
        <v>-2.1723782110465439E-2</v>
      </c>
      <c r="K640" s="10">
        <f t="shared" si="62"/>
        <v>-1.0621187752252181E-3</v>
      </c>
      <c r="L640" s="10">
        <f t="shared" si="63"/>
        <v>5.2206203582350286E-2</v>
      </c>
      <c r="M640" s="10">
        <f t="shared" si="59"/>
        <v>-1.101942286909019E-2</v>
      </c>
      <c r="N640" s="1"/>
      <c r="O640" s="2">
        <v>3916.64</v>
      </c>
      <c r="P640" s="12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spans="1:31" ht="15" thickBot="1" x14ac:dyDescent="0.35">
      <c r="A641" s="1">
        <v>45001</v>
      </c>
      <c r="B641">
        <v>25.54</v>
      </c>
      <c r="C641">
        <v>63.65</v>
      </c>
      <c r="D641">
        <v>184.13</v>
      </c>
      <c r="E641">
        <v>329.53</v>
      </c>
      <c r="F641">
        <v>45.78</v>
      </c>
      <c r="G641" s="4"/>
      <c r="H641" s="10">
        <f t="shared" si="58"/>
        <v>5.4065208419314947E-2</v>
      </c>
      <c r="I641" s="10">
        <f t="shared" si="60"/>
        <v>1.6773162939297093E-2</v>
      </c>
      <c r="J641" s="10">
        <f t="shared" si="61"/>
        <v>2.0393460792463403E-2</v>
      </c>
      <c r="K641" s="10">
        <f t="shared" si="62"/>
        <v>1.8211066257922681E-4</v>
      </c>
      <c r="L641" s="10">
        <f t="shared" si="63"/>
        <v>-7.1567989590110015E-3</v>
      </c>
      <c r="M641" s="10">
        <f t="shared" si="59"/>
        <v>1.7561980816715783E-2</v>
      </c>
      <c r="N641" s="1"/>
      <c r="O641" s="2">
        <v>3960.28</v>
      </c>
      <c r="P641" s="12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spans="1:31" ht="15" thickBot="1" x14ac:dyDescent="0.35">
      <c r="A642" s="1">
        <v>45000</v>
      </c>
      <c r="B642">
        <v>24.23</v>
      </c>
      <c r="C642">
        <v>62.6</v>
      </c>
      <c r="D642">
        <v>180.45</v>
      </c>
      <c r="E642">
        <v>329.47</v>
      </c>
      <c r="F642">
        <v>46.11</v>
      </c>
      <c r="G642" s="4"/>
      <c r="H642" s="10">
        <f t="shared" si="58"/>
        <v>7.0656691604322752E-3</v>
      </c>
      <c r="I642" s="10">
        <f t="shared" si="60"/>
        <v>-1.0276679841897174E-2</v>
      </c>
      <c r="J642" s="10">
        <f t="shared" si="61"/>
        <v>-1.5333406089708679E-2</v>
      </c>
      <c r="K642" s="10">
        <f t="shared" si="62"/>
        <v>7.3378787415538937E-3</v>
      </c>
      <c r="L642" s="10">
        <f t="shared" si="63"/>
        <v>2.7635391129930964E-2</v>
      </c>
      <c r="M642" s="10">
        <f t="shared" si="59"/>
        <v>-6.9808562265104568E-3</v>
      </c>
      <c r="N642" s="1"/>
      <c r="O642" s="2">
        <v>3891.93</v>
      </c>
      <c r="P642" s="12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spans="1:31" ht="15" thickBot="1" x14ac:dyDescent="0.35">
      <c r="A643" s="1">
        <v>44999</v>
      </c>
      <c r="B643" s="27">
        <v>24.06</v>
      </c>
      <c r="C643">
        <v>63.25</v>
      </c>
      <c r="D643">
        <v>183.26</v>
      </c>
      <c r="E643">
        <v>327.07</v>
      </c>
      <c r="F643">
        <v>44.87</v>
      </c>
      <c r="G643" s="4"/>
      <c r="H643" s="10">
        <f t="shared" si="58"/>
        <v>4.7453199825859826E-2</v>
      </c>
      <c r="I643" s="10">
        <f t="shared" si="60"/>
        <v>2.5952960259529645E-2</v>
      </c>
      <c r="J643" s="10">
        <f t="shared" si="61"/>
        <v>5.0320953690967452E-2</v>
      </c>
      <c r="K643" s="10">
        <f t="shared" si="62"/>
        <v>7.950938395636209E-3</v>
      </c>
      <c r="L643" s="10">
        <f t="shared" si="63"/>
        <v>-5.5407801418440039E-3</v>
      </c>
      <c r="M643" s="10">
        <f t="shared" si="59"/>
        <v>1.6476647924144494E-2</v>
      </c>
      <c r="N643" s="1"/>
      <c r="O643" s="2">
        <v>3919.29</v>
      </c>
      <c r="P643" s="12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spans="1:31" ht="15" thickBot="1" x14ac:dyDescent="0.35">
      <c r="A644" s="1">
        <v>44998</v>
      </c>
      <c r="B644">
        <v>22.97</v>
      </c>
      <c r="C644">
        <v>61.65</v>
      </c>
      <c r="D644">
        <v>174.48</v>
      </c>
      <c r="E644">
        <v>324.49</v>
      </c>
      <c r="F644">
        <v>45.12</v>
      </c>
      <c r="G644" s="4"/>
      <c r="H644" s="10">
        <f t="shared" ref="H644:H707" si="64">(B644/B645)-1</f>
        <v>0</v>
      </c>
      <c r="I644" s="10">
        <f t="shared" si="60"/>
        <v>2.7651268705271015E-3</v>
      </c>
      <c r="J644" s="10">
        <f t="shared" si="61"/>
        <v>5.996309963099522E-3</v>
      </c>
      <c r="K644" s="10">
        <f t="shared" si="62"/>
        <v>3.0061583391530755E-2</v>
      </c>
      <c r="L644" s="10">
        <f t="shared" si="63"/>
        <v>7.0208728652751518E-2</v>
      </c>
      <c r="M644" s="10">
        <f t="shared" ref="M644:M707" si="65">(O644/O645)-1</f>
        <v>-1.5097408062482165E-3</v>
      </c>
      <c r="N644" s="1"/>
      <c r="O644" s="2">
        <v>3855.76</v>
      </c>
      <c r="P644" s="12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spans="1:31" ht="15" thickBot="1" x14ac:dyDescent="0.35">
      <c r="A645" s="1">
        <v>44995</v>
      </c>
      <c r="B645">
        <v>22.97</v>
      </c>
      <c r="C645">
        <v>61.48</v>
      </c>
      <c r="D645">
        <v>173.44</v>
      </c>
      <c r="E645">
        <v>315.02</v>
      </c>
      <c r="F645">
        <v>42.16</v>
      </c>
      <c r="G645" s="4"/>
      <c r="H645" s="10">
        <f t="shared" si="64"/>
        <v>-2.0051194539249195E-2</v>
      </c>
      <c r="I645" s="10">
        <f t="shared" si="60"/>
        <v>-1.2369477911646665E-2</v>
      </c>
      <c r="J645" s="10">
        <f t="shared" si="61"/>
        <v>3.0071709461023666E-3</v>
      </c>
      <c r="K645" s="10">
        <f t="shared" si="62"/>
        <v>-5.7756035979171783E-3</v>
      </c>
      <c r="L645" s="10">
        <f t="shared" si="63"/>
        <v>1.0062290368950455E-2</v>
      </c>
      <c r="M645" s="10">
        <f t="shared" si="65"/>
        <v>-1.4478143694236278E-2</v>
      </c>
      <c r="N645" s="1"/>
      <c r="O645" s="2">
        <v>3861.59</v>
      </c>
      <c r="P645" s="12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spans="1:31" ht="15" thickBot="1" x14ac:dyDescent="0.35">
      <c r="A646" s="1">
        <v>44994</v>
      </c>
      <c r="B646">
        <v>23.44</v>
      </c>
      <c r="C646">
        <v>62.25</v>
      </c>
      <c r="D646">
        <v>172.92</v>
      </c>
      <c r="E646">
        <v>316.85000000000002</v>
      </c>
      <c r="F646">
        <v>41.74</v>
      </c>
      <c r="G646" s="4"/>
      <c r="H646" s="10">
        <f t="shared" si="64"/>
        <v>-3.060380479735314E-2</v>
      </c>
      <c r="I646" s="10">
        <f t="shared" si="60"/>
        <v>-1.5498972006958711E-2</v>
      </c>
      <c r="J646" s="10">
        <f t="shared" si="61"/>
        <v>-4.9890109890110002E-2</v>
      </c>
      <c r="K646" s="10">
        <f t="shared" si="62"/>
        <v>1.3790234849939242E-2</v>
      </c>
      <c r="L646" s="10">
        <f t="shared" si="63"/>
        <v>-9.962049335863199E-3</v>
      </c>
      <c r="M646" s="10">
        <f t="shared" si="65"/>
        <v>-1.8459372596762003E-2</v>
      </c>
      <c r="N646" s="1"/>
      <c r="O646" s="2">
        <v>3918.32</v>
      </c>
      <c r="P646" s="12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spans="1:31" ht="15" thickBot="1" x14ac:dyDescent="0.35">
      <c r="A647" s="1">
        <v>44993</v>
      </c>
      <c r="B647">
        <v>24.18</v>
      </c>
      <c r="C647">
        <v>63.23</v>
      </c>
      <c r="D647">
        <v>182</v>
      </c>
      <c r="E647">
        <v>312.54000000000002</v>
      </c>
      <c r="F647">
        <v>42.16</v>
      </c>
      <c r="G647" s="4"/>
      <c r="H647" s="10">
        <f t="shared" si="64"/>
        <v>3.8213825676255864E-2</v>
      </c>
      <c r="I647" s="10">
        <f t="shared" si="60"/>
        <v>1.1518157094864812E-2</v>
      </c>
      <c r="J647" s="10">
        <f t="shared" si="61"/>
        <v>-3.0419263757924475E-2</v>
      </c>
      <c r="K647" s="10">
        <f t="shared" si="62"/>
        <v>6.1487943856035621E-3</v>
      </c>
      <c r="L647" s="10">
        <f t="shared" si="63"/>
        <v>-8.0000000000001181E-3</v>
      </c>
      <c r="M647" s="10">
        <f t="shared" si="65"/>
        <v>1.4148210025664021E-3</v>
      </c>
      <c r="N647" s="1"/>
      <c r="O647" s="2">
        <v>3992.01</v>
      </c>
      <c r="P647" s="12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spans="1:31" ht="15" thickBot="1" x14ac:dyDescent="0.35">
      <c r="A648" s="1">
        <v>44992</v>
      </c>
      <c r="B648">
        <v>23.29</v>
      </c>
      <c r="C648">
        <v>62.51</v>
      </c>
      <c r="D648">
        <v>187.71</v>
      </c>
      <c r="E648">
        <v>310.63</v>
      </c>
      <c r="F648">
        <v>42.5</v>
      </c>
      <c r="G648" s="4"/>
      <c r="H648" s="10">
        <f t="shared" si="64"/>
        <v>-1.1040339702760193E-2</v>
      </c>
      <c r="I648" s="10">
        <f t="shared" si="60"/>
        <v>-1.2324221835993021E-2</v>
      </c>
      <c r="J648" s="10">
        <f t="shared" si="61"/>
        <v>-3.1474124142201076E-2</v>
      </c>
      <c r="K648" s="10">
        <f t="shared" si="62"/>
        <v>-2.6116127414095747E-2</v>
      </c>
      <c r="L648" s="10">
        <f t="shared" si="63"/>
        <v>-3.8896426956128383E-2</v>
      </c>
      <c r="M648" s="10">
        <f t="shared" si="65"/>
        <v>-1.5326967063694075E-2</v>
      </c>
      <c r="N648" s="1"/>
      <c r="O648" s="2">
        <v>3986.37</v>
      </c>
      <c r="P648" s="12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spans="1:31" ht="15" thickBot="1" x14ac:dyDescent="0.35">
      <c r="A649" s="1">
        <v>44991</v>
      </c>
      <c r="B649">
        <v>23.55</v>
      </c>
      <c r="C649">
        <v>63.29</v>
      </c>
      <c r="D649">
        <v>193.81</v>
      </c>
      <c r="E649">
        <v>318.95999999999998</v>
      </c>
      <c r="F649">
        <v>44.22</v>
      </c>
      <c r="G649" s="4"/>
      <c r="H649" s="10">
        <f t="shared" si="64"/>
        <v>-1.4231896190874838E-2</v>
      </c>
      <c r="I649" s="10">
        <f t="shared" si="60"/>
        <v>1.5802781289497858E-4</v>
      </c>
      <c r="J649" s="10">
        <f t="shared" si="61"/>
        <v>-2.0122351989483755E-2</v>
      </c>
      <c r="K649" s="10">
        <f t="shared" si="62"/>
        <v>1.6644160412020437E-3</v>
      </c>
      <c r="L649" s="10">
        <f t="shared" si="63"/>
        <v>-1.0738255033557187E-2</v>
      </c>
      <c r="M649" s="10">
        <f t="shared" si="65"/>
        <v>6.8715950999109765E-4</v>
      </c>
      <c r="N649" s="1"/>
      <c r="O649" s="2">
        <v>4048.42</v>
      </c>
      <c r="P649" s="12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spans="1:31" ht="15" thickBot="1" x14ac:dyDescent="0.35">
      <c r="A650" s="1">
        <v>44988</v>
      </c>
      <c r="B650">
        <v>23.89</v>
      </c>
      <c r="C650">
        <v>63.28</v>
      </c>
      <c r="D650">
        <v>197.79</v>
      </c>
      <c r="E650">
        <v>318.43</v>
      </c>
      <c r="F650">
        <v>44.7</v>
      </c>
      <c r="G650" s="4"/>
      <c r="H650" s="10">
        <f t="shared" si="64"/>
        <v>2.4882024882024956E-2</v>
      </c>
      <c r="I650" s="10">
        <f t="shared" si="60"/>
        <v>5.6956739602472162E-2</v>
      </c>
      <c r="J650" s="10">
        <f t="shared" si="61"/>
        <v>3.6092194866422123E-2</v>
      </c>
      <c r="K650" s="10">
        <f t="shared" si="62"/>
        <v>1.0728455800666614E-2</v>
      </c>
      <c r="L650" s="10">
        <f t="shared" si="63"/>
        <v>1.7296313154301357E-2</v>
      </c>
      <c r="M650" s="10">
        <f t="shared" si="65"/>
        <v>1.61477890665227E-2</v>
      </c>
      <c r="N650" s="1"/>
      <c r="O650" s="2">
        <v>4045.64</v>
      </c>
      <c r="P650" s="12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spans="1:31" ht="15" thickBot="1" x14ac:dyDescent="0.35">
      <c r="A651" s="1">
        <v>44987</v>
      </c>
      <c r="B651">
        <v>23.31</v>
      </c>
      <c r="C651">
        <v>59.87</v>
      </c>
      <c r="D651">
        <v>190.9</v>
      </c>
      <c r="E651">
        <v>315.05</v>
      </c>
      <c r="F651">
        <v>43.94</v>
      </c>
      <c r="G651" s="4"/>
      <c r="H651" s="10">
        <f t="shared" si="64"/>
        <v>2.6872246696035162E-2</v>
      </c>
      <c r="I651" s="10">
        <f t="shared" si="60"/>
        <v>8.5916442048517006E-3</v>
      </c>
      <c r="J651" s="10">
        <f t="shared" si="61"/>
        <v>-5.8539231641761669E-2</v>
      </c>
      <c r="K651" s="10">
        <f t="shared" si="62"/>
        <v>2.8010312887927213E-3</v>
      </c>
      <c r="L651" s="10">
        <f t="shared" si="63"/>
        <v>-3.6281179138323294E-3</v>
      </c>
      <c r="M651" s="10">
        <f t="shared" si="65"/>
        <v>7.5821419804169565E-3</v>
      </c>
      <c r="N651" s="1"/>
      <c r="O651" s="2">
        <v>3981.35</v>
      </c>
      <c r="P651" s="12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spans="1:31" ht="15" thickBot="1" x14ac:dyDescent="0.35">
      <c r="A652" s="1">
        <v>44986</v>
      </c>
      <c r="B652">
        <v>22.7</v>
      </c>
      <c r="C652">
        <v>59.36</v>
      </c>
      <c r="D652">
        <v>202.77</v>
      </c>
      <c r="E652">
        <v>314.17</v>
      </c>
      <c r="F652">
        <v>44.1</v>
      </c>
      <c r="G652" s="4"/>
      <c r="H652" s="10">
        <f t="shared" si="64"/>
        <v>-2.2394487510766559E-2</v>
      </c>
      <c r="I652" s="10">
        <f t="shared" si="60"/>
        <v>-1.1778563015312216E-3</v>
      </c>
      <c r="J652" s="10">
        <f t="shared" si="61"/>
        <v>-1.4291964415925285E-2</v>
      </c>
      <c r="K652" s="10">
        <f t="shared" si="62"/>
        <v>9.4788252682989071E-3</v>
      </c>
      <c r="L652" s="10">
        <f t="shared" si="63"/>
        <v>1.1235955056179803E-2</v>
      </c>
      <c r="M652" s="10">
        <f t="shared" si="65"/>
        <v>-4.7252622696876134E-3</v>
      </c>
      <c r="N652" s="1"/>
      <c r="O652" s="2">
        <v>3951.39</v>
      </c>
      <c r="P652" s="12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spans="1:31" ht="15" thickBot="1" x14ac:dyDescent="0.35">
      <c r="A653" s="1">
        <v>44985</v>
      </c>
      <c r="B653">
        <v>23.22</v>
      </c>
      <c r="C653">
        <v>59.43</v>
      </c>
      <c r="D653">
        <v>205.71</v>
      </c>
      <c r="E653">
        <v>311.22000000000003</v>
      </c>
      <c r="F653">
        <v>43.61</v>
      </c>
      <c r="G653" s="4"/>
      <c r="H653" s="10">
        <f t="shared" si="64"/>
        <v>-1.191489361702136E-2</v>
      </c>
      <c r="I653" s="10">
        <f t="shared" si="60"/>
        <v>1.5203279808677861E-2</v>
      </c>
      <c r="J653" s="10">
        <f t="shared" si="61"/>
        <v>-9.247218610027419E-3</v>
      </c>
      <c r="K653" s="10">
        <f t="shared" si="62"/>
        <v>-1.7055144968732172E-2</v>
      </c>
      <c r="L653" s="10">
        <f t="shared" si="63"/>
        <v>6.2298107983387307E-3</v>
      </c>
      <c r="M653" s="10">
        <f t="shared" si="65"/>
        <v>-3.0359797500902896E-3</v>
      </c>
      <c r="N653" s="1"/>
      <c r="O653" s="2">
        <v>3970.15</v>
      </c>
      <c r="P653" s="12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spans="1:31" ht="15" thickBot="1" x14ac:dyDescent="0.35">
      <c r="A654" s="1">
        <v>44984</v>
      </c>
      <c r="B654">
        <v>23.5</v>
      </c>
      <c r="C654">
        <v>58.54</v>
      </c>
      <c r="D654">
        <v>207.63</v>
      </c>
      <c r="E654">
        <v>316.62</v>
      </c>
      <c r="F654">
        <v>43.34</v>
      </c>
      <c r="G654" s="4"/>
      <c r="H654" s="10">
        <f t="shared" si="64"/>
        <v>9.0167453842850964E-3</v>
      </c>
      <c r="I654" s="10">
        <f t="shared" si="60"/>
        <v>1.3153340256143897E-2</v>
      </c>
      <c r="J654" s="10">
        <f t="shared" si="61"/>
        <v>5.460178789110115E-2</v>
      </c>
      <c r="K654" s="10">
        <f t="shared" si="62"/>
        <v>-1.5607511503544225E-2</v>
      </c>
      <c r="L654" s="10">
        <f t="shared" si="63"/>
        <v>-4.5934772622874265E-3</v>
      </c>
      <c r="M654" s="10">
        <f t="shared" si="65"/>
        <v>3.0730168965551474E-3</v>
      </c>
      <c r="N654" s="1"/>
      <c r="O654" s="2">
        <v>3982.24</v>
      </c>
      <c r="P654" s="12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spans="1:31" ht="15" thickBot="1" x14ac:dyDescent="0.35">
      <c r="A655" s="1">
        <v>44981</v>
      </c>
      <c r="B655">
        <v>23.29</v>
      </c>
      <c r="C655">
        <v>57.78</v>
      </c>
      <c r="D655">
        <v>196.88</v>
      </c>
      <c r="E655">
        <v>321.64</v>
      </c>
      <c r="F655">
        <v>43.54</v>
      </c>
      <c r="G655" s="4"/>
      <c r="H655" s="10">
        <f t="shared" si="64"/>
        <v>-1.5638207945900318E-2</v>
      </c>
      <c r="I655" s="10">
        <f t="shared" si="60"/>
        <v>-1.0277492291880796E-2</v>
      </c>
      <c r="J655" s="10">
        <f t="shared" si="61"/>
        <v>-2.5684168852377898E-2</v>
      </c>
      <c r="K655" s="10">
        <f t="shared" si="62"/>
        <v>-1.7953102100635054E-2</v>
      </c>
      <c r="L655" s="10">
        <f t="shared" si="63"/>
        <v>-1.6267510167193855E-2</v>
      </c>
      <c r="M655" s="10">
        <f t="shared" si="65"/>
        <v>-1.0537544363360851E-2</v>
      </c>
      <c r="N655" s="1"/>
      <c r="O655" s="2">
        <v>3970.04</v>
      </c>
      <c r="P655" s="12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spans="1:31" ht="15" thickBot="1" x14ac:dyDescent="0.35">
      <c r="A656" s="1">
        <v>44980</v>
      </c>
      <c r="B656">
        <v>23.66</v>
      </c>
      <c r="C656">
        <v>58.38</v>
      </c>
      <c r="D656">
        <v>202.07</v>
      </c>
      <c r="E656">
        <v>327.52</v>
      </c>
      <c r="F656">
        <v>44.26</v>
      </c>
      <c r="G656" s="4"/>
      <c r="H656" s="10">
        <f t="shared" si="64"/>
        <v>0.14024096385542162</v>
      </c>
      <c r="I656" s="10">
        <f t="shared" si="60"/>
        <v>1.3189864630336778E-2</v>
      </c>
      <c r="J656" s="10">
        <f t="shared" si="61"/>
        <v>6.0240963855420215E-3</v>
      </c>
      <c r="K656" s="10">
        <f t="shared" si="62"/>
        <v>-4.7102440210290419E-3</v>
      </c>
      <c r="L656" s="10">
        <f t="shared" si="63"/>
        <v>6.7827266561160116E-4</v>
      </c>
      <c r="M656" s="10">
        <f t="shared" si="65"/>
        <v>5.3294245875146196E-3</v>
      </c>
      <c r="N656" s="1"/>
      <c r="O656" s="2">
        <v>4012.32</v>
      </c>
      <c r="P656" s="12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spans="1:31" ht="15" thickBot="1" x14ac:dyDescent="0.35">
      <c r="A657" s="1">
        <v>44979</v>
      </c>
      <c r="B657">
        <v>20.75</v>
      </c>
      <c r="C657">
        <v>57.62</v>
      </c>
      <c r="D657">
        <v>200.86</v>
      </c>
      <c r="E657">
        <v>329.07</v>
      </c>
      <c r="F657">
        <v>44.23</v>
      </c>
      <c r="G657" s="4"/>
      <c r="H657" s="10">
        <f t="shared" si="64"/>
        <v>4.3562439496611649E-3</v>
      </c>
      <c r="I657" s="10">
        <f t="shared" si="60"/>
        <v>-9.114359415305251E-3</v>
      </c>
      <c r="J657" s="10">
        <f t="shared" si="61"/>
        <v>1.7682525206464961E-2</v>
      </c>
      <c r="K657" s="10">
        <f t="shared" si="62"/>
        <v>4.7632133369972518E-3</v>
      </c>
      <c r="L657" s="10">
        <f t="shared" si="63"/>
        <v>-2.0810272304627064E-2</v>
      </c>
      <c r="M657" s="10">
        <f t="shared" si="65"/>
        <v>-1.5735464083616035E-3</v>
      </c>
      <c r="N657" s="1"/>
      <c r="O657" s="2">
        <v>3991.05</v>
      </c>
      <c r="P657" s="12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spans="1:31" ht="15" thickBot="1" x14ac:dyDescent="0.35">
      <c r="A658" s="1">
        <v>44978</v>
      </c>
      <c r="B658">
        <v>20.66</v>
      </c>
      <c r="C658">
        <v>58.15</v>
      </c>
      <c r="D658">
        <v>197.37</v>
      </c>
      <c r="E658">
        <v>327.51</v>
      </c>
      <c r="F658">
        <v>45.17</v>
      </c>
      <c r="G658" s="4"/>
      <c r="H658" s="10">
        <f t="shared" si="64"/>
        <v>-3.4128097241701738E-2</v>
      </c>
      <c r="I658" s="10">
        <f t="shared" si="60"/>
        <v>-2.3673606447280116E-2</v>
      </c>
      <c r="J658" s="10">
        <f t="shared" si="61"/>
        <v>-5.2517882002784289E-2</v>
      </c>
      <c r="K658" s="10">
        <f t="shared" si="62"/>
        <v>-2.7101096224116938E-3</v>
      </c>
      <c r="L658" s="10">
        <f t="shared" si="63"/>
        <v>-5.5041831792161933E-3</v>
      </c>
      <c r="M658" s="10">
        <f t="shared" si="65"/>
        <v>-2.0041234687148357E-2</v>
      </c>
      <c r="N658" s="1"/>
      <c r="O658" s="2">
        <v>3997.34</v>
      </c>
      <c r="P658" s="12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spans="1:31" ht="15" thickBot="1" x14ac:dyDescent="0.35">
      <c r="A659" s="1">
        <v>44974</v>
      </c>
      <c r="B659">
        <v>21.39</v>
      </c>
      <c r="C659">
        <v>59.56</v>
      </c>
      <c r="D659">
        <v>208.31</v>
      </c>
      <c r="E659">
        <v>328.4</v>
      </c>
      <c r="F659">
        <v>45.42</v>
      </c>
      <c r="G659" s="4"/>
      <c r="H659" s="10">
        <f t="shared" si="64"/>
        <v>-2.7727272727272712E-2</v>
      </c>
      <c r="I659" s="10">
        <f t="shared" ref="I659:I722" si="66">(C659/C660)-1</f>
        <v>-8.1598667776852096E-3</v>
      </c>
      <c r="J659" s="10">
        <f t="shared" ref="J659:J722" si="67">(D659/D660)-1</f>
        <v>3.1033458721045459E-2</v>
      </c>
      <c r="K659" s="10">
        <f t="shared" ref="K659:K722" si="68">(E659/E660)-1</f>
        <v>7.1457049099885595E-3</v>
      </c>
      <c r="L659" s="10">
        <f t="shared" ref="L659:L722" si="69">(F659/F660)-1</f>
        <v>-9.3784078516903069E-3</v>
      </c>
      <c r="M659" s="10">
        <f t="shared" si="65"/>
        <v>-2.7674487398573477E-3</v>
      </c>
      <c r="N659" s="1"/>
      <c r="O659" s="2">
        <v>4079.09</v>
      </c>
      <c r="P659" s="12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spans="1:31" ht="15" thickBot="1" x14ac:dyDescent="0.35">
      <c r="A660" s="1">
        <v>44973</v>
      </c>
      <c r="B660">
        <v>22</v>
      </c>
      <c r="C660">
        <v>60.05</v>
      </c>
      <c r="D660">
        <v>202.04</v>
      </c>
      <c r="E660">
        <v>326.07</v>
      </c>
      <c r="F660">
        <v>45.85</v>
      </c>
      <c r="G660" s="4"/>
      <c r="H660" s="10">
        <f t="shared" si="64"/>
        <v>-3.3391915641476366E-2</v>
      </c>
      <c r="I660" s="10">
        <f t="shared" si="66"/>
        <v>-1.1847951291755865E-2</v>
      </c>
      <c r="J660" s="10">
        <f t="shared" si="67"/>
        <v>-5.6945481702763368E-2</v>
      </c>
      <c r="K660" s="10">
        <f t="shared" si="68"/>
        <v>-2.6685770574012668E-2</v>
      </c>
      <c r="L660" s="10">
        <f t="shared" si="69"/>
        <v>-9.7192224622029144E-3</v>
      </c>
      <c r="M660" s="10">
        <f t="shared" si="65"/>
        <v>-1.378869707782826E-2</v>
      </c>
      <c r="N660" s="1"/>
      <c r="O660" s="2">
        <v>4090.41</v>
      </c>
      <c r="P660" s="12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spans="1:31" ht="15" thickBot="1" x14ac:dyDescent="0.35">
      <c r="A661" s="1">
        <v>44972</v>
      </c>
      <c r="B661">
        <v>22.76</v>
      </c>
      <c r="C661">
        <v>60.77</v>
      </c>
      <c r="D661">
        <v>214.24</v>
      </c>
      <c r="E661">
        <v>335.01</v>
      </c>
      <c r="F661">
        <v>46.3</v>
      </c>
      <c r="G661" s="4"/>
      <c r="H661" s="10">
        <f t="shared" si="64"/>
        <v>-9.142359599477512E-3</v>
      </c>
      <c r="I661" s="10">
        <f t="shared" si="66"/>
        <v>8.9656317449777756E-3</v>
      </c>
      <c r="J661" s="10">
        <f t="shared" si="67"/>
        <v>2.3847072879330966E-2</v>
      </c>
      <c r="K661" s="10">
        <f t="shared" si="68"/>
        <v>-3.6108873288065446E-2</v>
      </c>
      <c r="L661" s="10">
        <f t="shared" si="69"/>
        <v>-1.5103169538396077E-2</v>
      </c>
      <c r="M661" s="10">
        <f t="shared" si="65"/>
        <v>2.7731236687436045E-3</v>
      </c>
      <c r="N661" s="1"/>
      <c r="O661" s="2">
        <v>4147.6000000000004</v>
      </c>
      <c r="P661" s="12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spans="1:31" ht="15" thickBot="1" x14ac:dyDescent="0.35">
      <c r="A662" s="1">
        <v>44971</v>
      </c>
      <c r="B662">
        <v>22.97</v>
      </c>
      <c r="C662">
        <v>60.23</v>
      </c>
      <c r="D662">
        <v>209.25</v>
      </c>
      <c r="E662">
        <v>347.56</v>
      </c>
      <c r="F662">
        <v>47.01</v>
      </c>
      <c r="G662" s="4"/>
      <c r="H662" s="10">
        <f t="shared" si="64"/>
        <v>5.4153281321707158E-2</v>
      </c>
      <c r="I662" s="10">
        <f t="shared" si="66"/>
        <v>1.9963400432538858E-3</v>
      </c>
      <c r="J662" s="10">
        <f t="shared" si="67"/>
        <v>7.5061652281134483E-2</v>
      </c>
      <c r="K662" s="10">
        <f t="shared" si="68"/>
        <v>-8.1050228310501904E-3</v>
      </c>
      <c r="L662" s="10">
        <f t="shared" si="69"/>
        <v>-2.6708074534161463E-2</v>
      </c>
      <c r="M662" s="10">
        <f t="shared" si="65"/>
        <v>-2.8037676836767389E-4</v>
      </c>
      <c r="N662" s="1"/>
      <c r="O662" s="2">
        <v>4136.13</v>
      </c>
      <c r="P662" s="12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spans="1:31" ht="15" thickBot="1" x14ac:dyDescent="0.35">
      <c r="A663" s="1">
        <v>44970</v>
      </c>
      <c r="B663">
        <v>21.79</v>
      </c>
      <c r="C663">
        <v>60.11</v>
      </c>
      <c r="D663">
        <v>194.64</v>
      </c>
      <c r="E663">
        <v>350.4</v>
      </c>
      <c r="F663">
        <v>48.3</v>
      </c>
      <c r="G663" s="4"/>
      <c r="H663" s="10">
        <f t="shared" si="64"/>
        <v>2.4929444967074277E-2</v>
      </c>
      <c r="I663" s="10">
        <f t="shared" si="66"/>
        <v>1.3146806000337019E-2</v>
      </c>
      <c r="J663" s="10">
        <f t="shared" si="67"/>
        <v>-1.1427700746609815E-2</v>
      </c>
      <c r="K663" s="10">
        <f t="shared" si="68"/>
        <v>1.5299026425591E-2</v>
      </c>
      <c r="L663" s="10">
        <f t="shared" si="69"/>
        <v>6.6694456023344006E-3</v>
      </c>
      <c r="M663" s="10">
        <f t="shared" si="65"/>
        <v>1.1448590134117032E-2</v>
      </c>
      <c r="N663" s="1"/>
      <c r="O663" s="2">
        <v>4137.29</v>
      </c>
      <c r="P663" s="12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spans="1:31" ht="15" thickBot="1" x14ac:dyDescent="0.35">
      <c r="A664" s="1">
        <v>44967</v>
      </c>
      <c r="B664">
        <v>21.26</v>
      </c>
      <c r="C664">
        <v>59.33</v>
      </c>
      <c r="D664">
        <v>196.89</v>
      </c>
      <c r="E664">
        <v>345.12</v>
      </c>
      <c r="F664">
        <v>47.98</v>
      </c>
      <c r="G664" s="4"/>
      <c r="H664" s="10">
        <f t="shared" si="64"/>
        <v>-4.834377797672329E-2</v>
      </c>
      <c r="I664" s="10">
        <f t="shared" si="66"/>
        <v>-1.0176843510176781E-2</v>
      </c>
      <c r="J664" s="10">
        <f t="shared" si="67"/>
        <v>-5.030870152421385E-2</v>
      </c>
      <c r="K664" s="10">
        <f t="shared" si="68"/>
        <v>9.7428245413850867E-3</v>
      </c>
      <c r="L664" s="10">
        <f t="shared" si="69"/>
        <v>8.4068936527952332E-3</v>
      </c>
      <c r="M664" s="10">
        <f t="shared" si="65"/>
        <v>2.1952713463186946E-3</v>
      </c>
      <c r="N664" s="1"/>
      <c r="O664" s="2">
        <v>4090.46</v>
      </c>
      <c r="P664" s="12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spans="1:31" ht="15" thickBot="1" x14ac:dyDescent="0.35">
      <c r="A665" s="1">
        <v>44966</v>
      </c>
      <c r="B665">
        <v>22.34</v>
      </c>
      <c r="C665">
        <v>59.94</v>
      </c>
      <c r="D665">
        <v>207.32</v>
      </c>
      <c r="E665">
        <v>341.79</v>
      </c>
      <c r="F665">
        <v>47.58</v>
      </c>
      <c r="G665" s="4"/>
      <c r="H665" s="10">
        <f t="shared" si="64"/>
        <v>6.3063063063062419E-3</v>
      </c>
      <c r="I665" s="10">
        <f t="shared" si="66"/>
        <v>-3.8225029084262285E-3</v>
      </c>
      <c r="J665" s="10">
        <f t="shared" si="67"/>
        <v>2.995677877688907E-2</v>
      </c>
      <c r="K665" s="10">
        <f t="shared" si="68"/>
        <v>3.1109676283274101E-3</v>
      </c>
      <c r="L665" s="10">
        <f t="shared" si="69"/>
        <v>-1.5925542916235824E-2</v>
      </c>
      <c r="M665" s="10">
        <f t="shared" si="65"/>
        <v>-8.8298290859815109E-3</v>
      </c>
      <c r="N665" s="1"/>
      <c r="O665" s="2">
        <v>4081.5</v>
      </c>
      <c r="P665" s="12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spans="1:31" ht="15" thickBot="1" x14ac:dyDescent="0.35">
      <c r="A666" s="1">
        <v>44965</v>
      </c>
      <c r="B666">
        <v>22.2</v>
      </c>
      <c r="C666">
        <v>60.17</v>
      </c>
      <c r="D666">
        <v>201.29</v>
      </c>
      <c r="E666">
        <v>340.73</v>
      </c>
      <c r="F666">
        <v>48.35</v>
      </c>
      <c r="G666" s="4"/>
      <c r="H666" s="10">
        <f t="shared" si="64"/>
        <v>1.3531799729362692E-3</v>
      </c>
      <c r="I666" s="10">
        <f t="shared" si="66"/>
        <v>-2.067057291666663E-2</v>
      </c>
      <c r="J666" s="10">
        <f t="shared" si="67"/>
        <v>2.2763070982165567E-2</v>
      </c>
      <c r="K666" s="10">
        <f t="shared" si="68"/>
        <v>3.0911446066885784E-3</v>
      </c>
      <c r="L666" s="10">
        <f t="shared" si="69"/>
        <v>-7.5944170771756747E-3</v>
      </c>
      <c r="M666" s="10">
        <f t="shared" si="65"/>
        <v>-1.1080691642651352E-2</v>
      </c>
      <c r="N666" s="1"/>
      <c r="O666" s="2">
        <v>4117.8599999999997</v>
      </c>
      <c r="P666" s="12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spans="1:31" ht="15" thickBot="1" x14ac:dyDescent="0.35">
      <c r="A667" s="1">
        <v>44964</v>
      </c>
      <c r="B667">
        <v>22.17</v>
      </c>
      <c r="C667">
        <v>61.44</v>
      </c>
      <c r="D667">
        <v>196.81</v>
      </c>
      <c r="E667">
        <v>339.68</v>
      </c>
      <c r="F667">
        <v>48.72</v>
      </c>
      <c r="G667" s="4"/>
      <c r="H667" s="10">
        <f t="shared" si="64"/>
        <v>5.1209103840682779E-2</v>
      </c>
      <c r="I667" s="10">
        <f t="shared" si="66"/>
        <v>2.1786130051554942E-2</v>
      </c>
      <c r="J667" s="10">
        <f t="shared" si="67"/>
        <v>1.0525775313205976E-2</v>
      </c>
      <c r="K667" s="10">
        <f t="shared" si="68"/>
        <v>5.9823491085706504E-3</v>
      </c>
      <c r="L667" s="10">
        <f t="shared" si="69"/>
        <v>2.3529411764705799E-2</v>
      </c>
      <c r="M667" s="10">
        <f t="shared" si="65"/>
        <v>1.2872529846171821E-2</v>
      </c>
      <c r="N667" s="1"/>
      <c r="O667" s="2">
        <v>4164</v>
      </c>
      <c r="P667" s="12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spans="1:31" ht="15" thickBot="1" x14ac:dyDescent="0.35">
      <c r="A668" s="1">
        <v>44963</v>
      </c>
      <c r="B668" s="27">
        <v>21.09</v>
      </c>
      <c r="C668">
        <v>60.13</v>
      </c>
      <c r="D668">
        <v>194.76</v>
      </c>
      <c r="E668">
        <v>337.66</v>
      </c>
      <c r="F668">
        <v>47.6</v>
      </c>
      <c r="G668" s="4"/>
      <c r="H668" s="10">
        <f t="shared" si="64"/>
        <v>-4.7393364928915993E-4</v>
      </c>
      <c r="I668" s="10">
        <f t="shared" si="66"/>
        <v>6.1914323962517503E-3</v>
      </c>
      <c r="J668" s="10">
        <f t="shared" si="67"/>
        <v>2.5160543215075215E-2</v>
      </c>
      <c r="K668" s="10">
        <f t="shared" si="68"/>
        <v>-4.187802288545317E-3</v>
      </c>
      <c r="L668" s="10">
        <f t="shared" si="69"/>
        <v>-4.5135406218655971E-2</v>
      </c>
      <c r="M668" s="10">
        <f t="shared" si="65"/>
        <v>-6.1404865973000433E-3</v>
      </c>
      <c r="N668" s="1"/>
      <c r="O668" s="2">
        <v>4111.08</v>
      </c>
      <c r="P668" s="12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spans="1:31" ht="15" thickBot="1" x14ac:dyDescent="0.35">
      <c r="A669" s="1">
        <v>44960</v>
      </c>
      <c r="B669" s="27">
        <v>21.1</v>
      </c>
      <c r="C669">
        <v>59.76</v>
      </c>
      <c r="D669">
        <v>189.98</v>
      </c>
      <c r="E669">
        <v>339.08</v>
      </c>
      <c r="F669">
        <v>49.85</v>
      </c>
      <c r="G669" s="4"/>
      <c r="H669" s="10">
        <f t="shared" si="64"/>
        <v>-2.8097650852141887E-2</v>
      </c>
      <c r="I669" s="10">
        <f t="shared" si="66"/>
        <v>-1.3535820402773235E-2</v>
      </c>
      <c r="J669" s="10">
        <f t="shared" si="67"/>
        <v>9.0827003771178916E-3</v>
      </c>
      <c r="K669" s="10">
        <f t="shared" si="68"/>
        <v>2.5340187481100784E-2</v>
      </c>
      <c r="L669" s="10">
        <f t="shared" si="69"/>
        <v>-4.9208468434102537E-2</v>
      </c>
      <c r="M669" s="10">
        <f t="shared" si="65"/>
        <v>-1.0354661511665864E-2</v>
      </c>
      <c r="N669" s="1"/>
      <c r="O669" s="2">
        <v>4136.4799999999996</v>
      </c>
      <c r="P669" s="12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spans="1:31" ht="15" thickBot="1" x14ac:dyDescent="0.35">
      <c r="A670" s="1">
        <v>44959</v>
      </c>
      <c r="B670">
        <v>21.71</v>
      </c>
      <c r="C670">
        <v>60.58</v>
      </c>
      <c r="D670">
        <v>188.27</v>
      </c>
      <c r="E670">
        <v>330.7</v>
      </c>
      <c r="F670">
        <v>52.43</v>
      </c>
      <c r="G670" s="4"/>
      <c r="H670" s="10">
        <f t="shared" si="64"/>
        <v>3.6771728748806076E-2</v>
      </c>
      <c r="I670" s="10">
        <f t="shared" si="66"/>
        <v>4.9767750497677898E-3</v>
      </c>
      <c r="J670" s="10">
        <f t="shared" si="67"/>
        <v>3.7814894438013447E-2</v>
      </c>
      <c r="K670" s="10">
        <f t="shared" si="68"/>
        <v>-3.4649852584873186E-2</v>
      </c>
      <c r="L670" s="10">
        <f t="shared" si="69"/>
        <v>-3.2478317032662796E-2</v>
      </c>
      <c r="M670" s="10">
        <f t="shared" si="65"/>
        <v>1.4699420519954209E-2</v>
      </c>
      <c r="N670" s="1"/>
      <c r="O670" s="2">
        <v>4179.76</v>
      </c>
      <c r="P670" s="12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spans="1:31" ht="15" thickBot="1" x14ac:dyDescent="0.35">
      <c r="A671" s="1">
        <v>44958</v>
      </c>
      <c r="B671">
        <v>20.94</v>
      </c>
      <c r="C671">
        <v>60.28</v>
      </c>
      <c r="D671">
        <v>181.41</v>
      </c>
      <c r="E671">
        <v>342.57</v>
      </c>
      <c r="F671">
        <v>54.19</v>
      </c>
      <c r="G671" s="4"/>
      <c r="H671" s="10">
        <f t="shared" si="64"/>
        <v>7.164790174002067E-2</v>
      </c>
      <c r="I671" s="10">
        <f t="shared" si="66"/>
        <v>3.0427350427350452E-2</v>
      </c>
      <c r="J671" s="10">
        <f t="shared" si="67"/>
        <v>4.7280914444059574E-2</v>
      </c>
      <c r="K671" s="10">
        <f t="shared" si="68"/>
        <v>-4.5910213569664293E-3</v>
      </c>
      <c r="L671" s="10">
        <f t="shared" si="69"/>
        <v>2.3805025505384325E-2</v>
      </c>
      <c r="M671" s="10">
        <f t="shared" si="65"/>
        <v>1.0452337732424155E-2</v>
      </c>
      <c r="N671" s="1"/>
      <c r="O671" s="2">
        <v>4119.21</v>
      </c>
      <c r="P671" s="12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spans="1:31" ht="15" thickBot="1" x14ac:dyDescent="0.35">
      <c r="A672" s="1">
        <v>44957</v>
      </c>
      <c r="B672">
        <v>19.54</v>
      </c>
      <c r="C672">
        <v>58.5</v>
      </c>
      <c r="D672">
        <v>173.22</v>
      </c>
      <c r="E672">
        <v>344.15</v>
      </c>
      <c r="F672">
        <v>52.93</v>
      </c>
      <c r="G672" s="4"/>
      <c r="H672" s="10">
        <f t="shared" si="64"/>
        <v>1.9832985386221136E-2</v>
      </c>
      <c r="I672" s="10">
        <f t="shared" si="66"/>
        <v>6.0189165950128576E-3</v>
      </c>
      <c r="J672" s="10">
        <f t="shared" si="67"/>
        <v>3.9361574462978499E-2</v>
      </c>
      <c r="K672" s="10">
        <f t="shared" si="68"/>
        <v>1.0719530102790031E-2</v>
      </c>
      <c r="L672" s="10">
        <f t="shared" si="69"/>
        <v>3.6025786879028132E-3</v>
      </c>
      <c r="M672" s="10">
        <f t="shared" si="65"/>
        <v>1.4642450911824145E-2</v>
      </c>
      <c r="N672" s="1"/>
      <c r="O672" s="2">
        <v>4076.6</v>
      </c>
      <c r="P672" s="12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spans="1:31" ht="15" thickBot="1" x14ac:dyDescent="0.35">
      <c r="A673" s="1">
        <v>44956</v>
      </c>
      <c r="B673">
        <v>19.16</v>
      </c>
      <c r="C673">
        <v>58.15</v>
      </c>
      <c r="D673">
        <v>166.66</v>
      </c>
      <c r="E673">
        <v>340.5</v>
      </c>
      <c r="F673">
        <v>52.74</v>
      </c>
      <c r="G673" s="4"/>
      <c r="H673" s="10">
        <f t="shared" si="64"/>
        <v>-5.8939096267190516E-2</v>
      </c>
      <c r="I673" s="10">
        <f t="shared" si="66"/>
        <v>-1.6074450084602399E-2</v>
      </c>
      <c r="J673" s="10">
        <f t="shared" si="67"/>
        <v>-6.3181562675660552E-2</v>
      </c>
      <c r="K673" s="10">
        <f t="shared" si="68"/>
        <v>-4.6769950306928543E-3</v>
      </c>
      <c r="L673" s="10">
        <f t="shared" si="69"/>
        <v>-1.087771942985738E-2</v>
      </c>
      <c r="M673" s="10">
        <f t="shared" si="65"/>
        <v>-1.2968731575016657E-2</v>
      </c>
      <c r="N673" s="1"/>
      <c r="O673" s="2">
        <v>4017.77</v>
      </c>
      <c r="P673" s="12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spans="1:31" ht="15" thickBot="1" x14ac:dyDescent="0.35">
      <c r="A674" s="1">
        <v>44953</v>
      </c>
      <c r="B674">
        <v>20.36</v>
      </c>
      <c r="C674">
        <v>59.1</v>
      </c>
      <c r="D674">
        <v>177.9</v>
      </c>
      <c r="E674">
        <v>342.1</v>
      </c>
      <c r="F674">
        <v>53.32</v>
      </c>
      <c r="G674" s="4"/>
      <c r="H674" s="10">
        <f t="shared" si="64"/>
        <v>2.8282828282828243E-2</v>
      </c>
      <c r="I674" s="10">
        <f t="shared" si="66"/>
        <v>-1.2696291346475097E-2</v>
      </c>
      <c r="J674" s="10">
        <f t="shared" si="67"/>
        <v>0.11000187184126786</v>
      </c>
      <c r="K674" s="10">
        <f t="shared" si="68"/>
        <v>-1.698227062440727E-2</v>
      </c>
      <c r="L674" s="10">
        <f t="shared" si="69"/>
        <v>-1.4963975614261993E-2</v>
      </c>
      <c r="M674" s="10">
        <f t="shared" si="65"/>
        <v>2.4948096630159622E-3</v>
      </c>
      <c r="N674" s="1"/>
      <c r="O674" s="2">
        <v>4070.56</v>
      </c>
      <c r="P674" s="12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spans="1:31" ht="15" thickBot="1" x14ac:dyDescent="0.35">
      <c r="A675" s="1">
        <v>44952</v>
      </c>
      <c r="B675">
        <v>19.8</v>
      </c>
      <c r="C675">
        <v>59.86</v>
      </c>
      <c r="D675">
        <v>160.27000000000001</v>
      </c>
      <c r="E675">
        <v>348.01</v>
      </c>
      <c r="F675">
        <v>54.13</v>
      </c>
      <c r="G675" s="4"/>
      <c r="H675" s="10">
        <f t="shared" si="64"/>
        <v>2.4844720496894457E-2</v>
      </c>
      <c r="I675" s="10">
        <f t="shared" si="66"/>
        <v>2.2024927437254593E-2</v>
      </c>
      <c r="J675" s="10">
        <f t="shared" si="67"/>
        <v>0.10967250571210974</v>
      </c>
      <c r="K675" s="10">
        <f t="shared" si="68"/>
        <v>-4.9180796614531896E-3</v>
      </c>
      <c r="L675" s="10">
        <f t="shared" si="69"/>
        <v>-1.7426030132510428E-2</v>
      </c>
      <c r="M675" s="10">
        <f t="shared" si="65"/>
        <v>1.1007863115068517E-2</v>
      </c>
      <c r="N675" s="1"/>
      <c r="O675" s="2">
        <v>4060.43</v>
      </c>
      <c r="P675" s="12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spans="1:31" ht="15" thickBot="1" x14ac:dyDescent="0.35">
      <c r="A676" s="1">
        <v>44951</v>
      </c>
      <c r="B676">
        <v>19.32</v>
      </c>
      <c r="C676">
        <v>58.57</v>
      </c>
      <c r="D676">
        <v>144.43</v>
      </c>
      <c r="E676">
        <v>349.73</v>
      </c>
      <c r="F676">
        <v>55.09</v>
      </c>
      <c r="G676" s="4"/>
      <c r="H676" s="10">
        <f t="shared" si="64"/>
        <v>3.1152647975076775E-3</v>
      </c>
      <c r="I676" s="10">
        <f t="shared" si="66"/>
        <v>1.1965811965812811E-3</v>
      </c>
      <c r="J676" s="10">
        <f t="shared" si="67"/>
        <v>3.7528667732296128E-3</v>
      </c>
      <c r="K676" s="10">
        <f t="shared" si="68"/>
        <v>9.6423106902625566E-3</v>
      </c>
      <c r="L676" s="10">
        <f t="shared" si="69"/>
        <v>3.1841168758194538E-2</v>
      </c>
      <c r="M676" s="10">
        <f t="shared" si="65"/>
        <v>-1.8172991946630024E-4</v>
      </c>
      <c r="N676" s="1"/>
      <c r="O676" s="2">
        <v>4016.22</v>
      </c>
      <c r="P676" s="12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spans="1:31" ht="15" thickBot="1" x14ac:dyDescent="0.35">
      <c r="A677" s="1">
        <v>44950</v>
      </c>
      <c r="B677">
        <v>19.260000000000002</v>
      </c>
      <c r="C677">
        <v>58.5</v>
      </c>
      <c r="D677">
        <v>143.88999999999999</v>
      </c>
      <c r="E677">
        <v>346.39</v>
      </c>
      <c r="F677">
        <v>53.39</v>
      </c>
      <c r="G677" s="4"/>
      <c r="H677" s="10">
        <f t="shared" si="64"/>
        <v>3.6477331943720603E-3</v>
      </c>
      <c r="I677" s="10">
        <f t="shared" si="66"/>
        <v>5.8459422283356766E-3</v>
      </c>
      <c r="J677" s="10">
        <f t="shared" si="67"/>
        <v>9.7391304347826946E-4</v>
      </c>
      <c r="K677" s="10">
        <f t="shared" si="68"/>
        <v>1.2214721954355579E-2</v>
      </c>
      <c r="L677" s="10">
        <f t="shared" si="69"/>
        <v>-4.475107216110441E-3</v>
      </c>
      <c r="M677" s="10">
        <f t="shared" si="65"/>
        <v>-7.1147641306434917E-4</v>
      </c>
      <c r="N677" s="1"/>
      <c r="O677" s="2">
        <v>4016.95</v>
      </c>
      <c r="P677" s="12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spans="1:31" ht="15" thickBot="1" x14ac:dyDescent="0.35">
      <c r="A678" s="1">
        <v>44949</v>
      </c>
      <c r="B678">
        <v>19.190000000000001</v>
      </c>
      <c r="C678">
        <v>58.16</v>
      </c>
      <c r="D678">
        <v>143.75</v>
      </c>
      <c r="E678">
        <v>342.21</v>
      </c>
      <c r="F678">
        <v>53.63</v>
      </c>
      <c r="G678" s="4"/>
      <c r="H678" s="10">
        <f t="shared" si="64"/>
        <v>7.5672645739910394E-2</v>
      </c>
      <c r="I678" s="10">
        <f t="shared" si="66"/>
        <v>1.892081289418357E-2</v>
      </c>
      <c r="J678" s="10">
        <f t="shared" si="67"/>
        <v>7.7424673961924873E-2</v>
      </c>
      <c r="K678" s="10">
        <f t="shared" si="68"/>
        <v>-1.1153812812436881E-2</v>
      </c>
      <c r="L678" s="10">
        <f t="shared" si="69"/>
        <v>5.4368203974501927E-3</v>
      </c>
      <c r="M678" s="10">
        <f t="shared" si="65"/>
        <v>1.1881357596139619E-2</v>
      </c>
      <c r="N678" s="1"/>
      <c r="O678" s="2">
        <v>4019.81</v>
      </c>
      <c r="P678" s="12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spans="1:31" ht="15" thickBot="1" x14ac:dyDescent="0.35">
      <c r="A679" s="1">
        <v>44946</v>
      </c>
      <c r="B679">
        <v>17.84</v>
      </c>
      <c r="C679">
        <v>57.08</v>
      </c>
      <c r="D679">
        <v>133.41999999999999</v>
      </c>
      <c r="E679">
        <v>346.07</v>
      </c>
      <c r="F679">
        <v>53.34</v>
      </c>
      <c r="G679" s="4"/>
      <c r="H679" s="10">
        <f t="shared" si="64"/>
        <v>6.4439140811455742E-2</v>
      </c>
      <c r="I679" s="10">
        <f t="shared" si="66"/>
        <v>1.3494318181818121E-2</v>
      </c>
      <c r="J679" s="10">
        <f t="shared" si="67"/>
        <v>4.9146811354879194E-2</v>
      </c>
      <c r="K679" s="10">
        <f t="shared" si="68"/>
        <v>-1.4270251794462729E-2</v>
      </c>
      <c r="L679" s="10">
        <f t="shared" si="69"/>
        <v>1.6580903373356382E-2</v>
      </c>
      <c r="M679" s="10">
        <f t="shared" si="65"/>
        <v>1.8918399015094289E-2</v>
      </c>
      <c r="N679" s="1"/>
      <c r="O679" s="2">
        <v>3972.61</v>
      </c>
      <c r="P679" s="12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spans="1:31" ht="15" thickBot="1" x14ac:dyDescent="0.35">
      <c r="A680" s="1">
        <v>44945</v>
      </c>
      <c r="B680">
        <v>16.760000000000002</v>
      </c>
      <c r="C680">
        <v>56.32</v>
      </c>
      <c r="D680">
        <v>127.17</v>
      </c>
      <c r="E680">
        <v>351.08</v>
      </c>
      <c r="F680">
        <v>52.47</v>
      </c>
      <c r="G680" s="4"/>
      <c r="H680" s="10">
        <f t="shared" si="64"/>
        <v>-3.5673187571921616E-2</v>
      </c>
      <c r="I680" s="10">
        <f t="shared" si="66"/>
        <v>-1.9327877415984629E-2</v>
      </c>
      <c r="J680" s="10">
        <f t="shared" si="67"/>
        <v>-1.2501941295232188E-2</v>
      </c>
      <c r="K680" s="10">
        <f t="shared" si="68"/>
        <v>-2.641970398568283E-3</v>
      </c>
      <c r="L680" s="10">
        <f t="shared" si="69"/>
        <v>1.8241800892683901E-2</v>
      </c>
      <c r="M680" s="10">
        <f t="shared" si="65"/>
        <v>-7.6383480195273412E-3</v>
      </c>
      <c r="N680" s="1"/>
      <c r="O680" s="2">
        <v>3898.85</v>
      </c>
      <c r="P680" s="12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spans="1:31" ht="15" thickBot="1" x14ac:dyDescent="0.35">
      <c r="A681" s="1">
        <v>44944</v>
      </c>
      <c r="B681">
        <v>17.38</v>
      </c>
      <c r="C681">
        <v>57.43</v>
      </c>
      <c r="D681">
        <v>128.78</v>
      </c>
      <c r="E681">
        <v>352.01</v>
      </c>
      <c r="F681">
        <v>51.53</v>
      </c>
      <c r="G681" s="4"/>
      <c r="H681" s="10">
        <f t="shared" si="64"/>
        <v>-1.8079096045197751E-2</v>
      </c>
      <c r="I681" s="10">
        <f t="shared" si="66"/>
        <v>-8.459944751381232E-3</v>
      </c>
      <c r="J681" s="10">
        <f t="shared" si="67"/>
        <v>-2.0609932314244461E-2</v>
      </c>
      <c r="K681" s="10">
        <f t="shared" si="68"/>
        <v>-1.6017219209481848E-2</v>
      </c>
      <c r="L681" s="10">
        <f t="shared" si="69"/>
        <v>-1.7914999047074498E-2</v>
      </c>
      <c r="M681" s="10">
        <f t="shared" si="65"/>
        <v>-1.5562632643191909E-2</v>
      </c>
      <c r="N681" s="1"/>
      <c r="O681" s="2">
        <v>3928.86</v>
      </c>
      <c r="P681" s="12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spans="1:31" ht="15" thickBot="1" x14ac:dyDescent="0.35">
      <c r="A682" s="1">
        <v>44943</v>
      </c>
      <c r="B682">
        <v>17.7</v>
      </c>
      <c r="C682">
        <v>57.92</v>
      </c>
      <c r="D682">
        <v>131.49</v>
      </c>
      <c r="E682">
        <v>357.74</v>
      </c>
      <c r="F682">
        <v>52.47</v>
      </c>
      <c r="G682" s="4"/>
      <c r="H682" s="10">
        <f t="shared" si="64"/>
        <v>4.7337278106508895E-2</v>
      </c>
      <c r="I682" s="10">
        <f t="shared" si="66"/>
        <v>3.4542314335062052E-4</v>
      </c>
      <c r="J682" s="10">
        <f t="shared" si="67"/>
        <v>7.4264705882352899E-2</v>
      </c>
      <c r="K682" s="10">
        <f t="shared" si="68"/>
        <v>-1.0729495050052495E-2</v>
      </c>
      <c r="L682" s="10">
        <f t="shared" si="69"/>
        <v>-3.4590616375344996E-2</v>
      </c>
      <c r="M682" s="10">
        <f t="shared" si="65"/>
        <v>-2.0304619300891558E-3</v>
      </c>
      <c r="N682" s="1"/>
      <c r="O682" s="2">
        <v>3990.97</v>
      </c>
      <c r="P682" s="12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spans="1:31" ht="15" thickBot="1" x14ac:dyDescent="0.35">
      <c r="A683" s="1">
        <v>44939</v>
      </c>
      <c r="B683">
        <v>16.899999999999999</v>
      </c>
      <c r="C683">
        <v>57.9</v>
      </c>
      <c r="D683">
        <v>122.4</v>
      </c>
      <c r="E683">
        <v>361.62</v>
      </c>
      <c r="F683">
        <v>54.35</v>
      </c>
      <c r="G683" s="4"/>
      <c r="H683" s="10">
        <f t="shared" si="64"/>
        <v>2.3622047244094224E-2</v>
      </c>
      <c r="I683" s="10">
        <f t="shared" si="66"/>
        <v>-4.9836741708196852E-3</v>
      </c>
      <c r="J683" s="10">
        <f t="shared" si="67"/>
        <v>-9.3881515053415576E-3</v>
      </c>
      <c r="K683" s="10">
        <f t="shared" si="68"/>
        <v>6.9614613499666689E-3</v>
      </c>
      <c r="L683" s="10">
        <f t="shared" si="69"/>
        <v>1.7790262172284743E-2</v>
      </c>
      <c r="M683" s="10">
        <f t="shared" si="65"/>
        <v>3.9968166058692578E-3</v>
      </c>
      <c r="N683" s="1"/>
      <c r="O683" s="2">
        <v>3999.09</v>
      </c>
      <c r="P683" s="12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spans="1:31" ht="15" thickBot="1" x14ac:dyDescent="0.35">
      <c r="A684" s="1">
        <v>44938</v>
      </c>
      <c r="B684">
        <v>16.510000000000002</v>
      </c>
      <c r="C684">
        <v>58.19</v>
      </c>
      <c r="D684">
        <v>123.56</v>
      </c>
      <c r="E684">
        <v>359.12</v>
      </c>
      <c r="F684">
        <v>53.4</v>
      </c>
      <c r="G684" s="4"/>
      <c r="H684" s="10">
        <f t="shared" si="64"/>
        <v>3.1875000000000098E-2</v>
      </c>
      <c r="I684" s="10">
        <f t="shared" si="66"/>
        <v>6.5732572219339147E-3</v>
      </c>
      <c r="J684" s="10">
        <f t="shared" si="67"/>
        <v>2.7592923226749111E-3</v>
      </c>
      <c r="K684" s="10">
        <f t="shared" si="68"/>
        <v>-3.579256957354171E-3</v>
      </c>
      <c r="L684" s="10">
        <f t="shared" si="69"/>
        <v>1.7918414029736818E-2</v>
      </c>
      <c r="M684" s="10">
        <f t="shared" si="65"/>
        <v>3.41595270064321E-3</v>
      </c>
      <c r="N684" s="1"/>
      <c r="O684" s="2">
        <v>3983.17</v>
      </c>
      <c r="P684" s="12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spans="1:31" ht="15" thickBot="1" x14ac:dyDescent="0.35">
      <c r="A685" s="1">
        <v>44937</v>
      </c>
      <c r="B685">
        <v>16</v>
      </c>
      <c r="C685">
        <v>57.81</v>
      </c>
      <c r="D685">
        <v>123.22</v>
      </c>
      <c r="E685">
        <v>360.41</v>
      </c>
      <c r="F685">
        <v>52.46</v>
      </c>
      <c r="G685" s="4"/>
      <c r="H685" s="10">
        <f t="shared" si="64"/>
        <v>5.6568196103079504E-3</v>
      </c>
      <c r="I685" s="10">
        <f t="shared" si="66"/>
        <v>5.5661854235520281E-3</v>
      </c>
      <c r="J685" s="10">
        <f t="shared" si="67"/>
        <v>3.6769036600757365E-2</v>
      </c>
      <c r="K685" s="10">
        <f t="shared" si="68"/>
        <v>2.1715095676825058E-2</v>
      </c>
      <c r="L685" s="10">
        <f t="shared" si="69"/>
        <v>-1.2982126058325494E-2</v>
      </c>
      <c r="M685" s="10">
        <f t="shared" si="65"/>
        <v>1.2849397206098123E-2</v>
      </c>
      <c r="N685" s="1"/>
      <c r="O685" s="2">
        <v>3969.61</v>
      </c>
      <c r="P685" s="12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spans="1:31" ht="15" thickBot="1" x14ac:dyDescent="0.35">
      <c r="A686" s="1">
        <v>44936</v>
      </c>
      <c r="B686">
        <v>15.91</v>
      </c>
      <c r="C686">
        <v>57.49</v>
      </c>
      <c r="D686">
        <v>118.85</v>
      </c>
      <c r="E686">
        <v>352.75</v>
      </c>
      <c r="F686">
        <v>53.15</v>
      </c>
      <c r="G686" s="4"/>
      <c r="H686" s="10">
        <f t="shared" si="64"/>
        <v>1.7914267434421038E-2</v>
      </c>
      <c r="I686" s="10">
        <f t="shared" si="66"/>
        <v>-3.4668053388801079E-3</v>
      </c>
      <c r="J686" s="10">
        <f t="shared" si="67"/>
        <v>-7.681389329548316E-3</v>
      </c>
      <c r="K686" s="10">
        <f t="shared" si="68"/>
        <v>8.3469113569447639E-3</v>
      </c>
      <c r="L686" s="10">
        <f t="shared" si="69"/>
        <v>1.7809268479509699E-2</v>
      </c>
      <c r="M686" s="10">
        <f t="shared" si="65"/>
        <v>6.9782558985018728E-3</v>
      </c>
      <c r="N686" s="1"/>
      <c r="O686" s="2">
        <v>3919.25</v>
      </c>
      <c r="P686" s="12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spans="1:31" ht="15" thickBot="1" x14ac:dyDescent="0.35">
      <c r="A687" s="1">
        <v>44935</v>
      </c>
      <c r="B687">
        <v>15.63</v>
      </c>
      <c r="C687">
        <v>57.69</v>
      </c>
      <c r="D687">
        <v>119.77</v>
      </c>
      <c r="E687">
        <v>349.83</v>
      </c>
      <c r="F687">
        <v>52.22</v>
      </c>
      <c r="G687" s="4"/>
      <c r="H687" s="10">
        <f t="shared" si="64"/>
        <v>5.1816958277254521E-2</v>
      </c>
      <c r="I687" s="10">
        <f t="shared" si="66"/>
        <v>-1.9544527532291078E-2</v>
      </c>
      <c r="J687" s="10">
        <f t="shared" si="67"/>
        <v>5.934901822041394E-2</v>
      </c>
      <c r="K687" s="10">
        <f t="shared" si="68"/>
        <v>-3.6121673003802313E-2</v>
      </c>
      <c r="L687" s="10">
        <f t="shared" si="69"/>
        <v>-8.9200986904536261E-3</v>
      </c>
      <c r="M687" s="10">
        <f t="shared" si="65"/>
        <v>-7.6763506782906443E-4</v>
      </c>
      <c r="N687" s="1"/>
      <c r="O687" s="2">
        <v>3892.09</v>
      </c>
      <c r="P687" s="12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spans="1:31" ht="15" thickBot="1" x14ac:dyDescent="0.35">
      <c r="A688" s="1">
        <v>44932</v>
      </c>
      <c r="B688">
        <v>14.86</v>
      </c>
      <c r="C688">
        <v>58.84</v>
      </c>
      <c r="D688">
        <v>113.06</v>
      </c>
      <c r="E688">
        <v>362.94</v>
      </c>
      <c r="F688">
        <v>52.69</v>
      </c>
      <c r="G688" s="4"/>
      <c r="H688" s="10">
        <f t="shared" si="64"/>
        <v>4.1345480028030845E-2</v>
      </c>
      <c r="I688" s="10">
        <f t="shared" si="66"/>
        <v>6.0180180180180232E-2</v>
      </c>
      <c r="J688" s="10">
        <f t="shared" si="67"/>
        <v>2.465107848468362E-2</v>
      </c>
      <c r="K688" s="10">
        <f t="shared" si="68"/>
        <v>1.1200267469073877E-2</v>
      </c>
      <c r="L688" s="10">
        <f t="shared" si="69"/>
        <v>2.8900605350517417E-2</v>
      </c>
      <c r="M688" s="10">
        <f t="shared" si="65"/>
        <v>2.284078674404566E-2</v>
      </c>
      <c r="N688" s="1"/>
      <c r="O688" s="2">
        <v>3895.08</v>
      </c>
      <c r="P688" s="12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spans="1:31" ht="15" thickBot="1" x14ac:dyDescent="0.35">
      <c r="A689" s="1">
        <v>44931</v>
      </c>
      <c r="B689">
        <v>14.27</v>
      </c>
      <c r="C689">
        <v>55.5</v>
      </c>
      <c r="D689">
        <v>110.34</v>
      </c>
      <c r="E689">
        <v>358.92</v>
      </c>
      <c r="F689">
        <v>51.21</v>
      </c>
      <c r="G689" s="4"/>
      <c r="H689" s="10">
        <f t="shared" si="64"/>
        <v>-3.2542372881355974E-2</v>
      </c>
      <c r="I689" s="10">
        <f t="shared" si="66"/>
        <v>-9.2823991431632003E-3</v>
      </c>
      <c r="J689" s="10">
        <f t="shared" si="67"/>
        <v>-2.9039070749735996E-2</v>
      </c>
      <c r="K689" s="10">
        <f t="shared" si="68"/>
        <v>-1.1511980170751834E-2</v>
      </c>
      <c r="L689" s="10">
        <f t="shared" si="69"/>
        <v>-5.8241118229469535E-3</v>
      </c>
      <c r="M689" s="10">
        <f t="shared" si="65"/>
        <v>-1.164556173549236E-2</v>
      </c>
      <c r="N689" s="1"/>
      <c r="O689" s="2">
        <v>3808.1</v>
      </c>
      <c r="P689" s="12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spans="1:31" ht="15" thickBot="1" x14ac:dyDescent="0.35">
      <c r="A690" s="1">
        <v>44930</v>
      </c>
      <c r="B690">
        <v>14.75</v>
      </c>
      <c r="C690">
        <v>56.02</v>
      </c>
      <c r="D690">
        <v>113.64</v>
      </c>
      <c r="E690">
        <v>363.1</v>
      </c>
      <c r="F690">
        <v>51.51</v>
      </c>
      <c r="G690" s="4"/>
      <c r="H690" s="10">
        <f t="shared" si="64"/>
        <v>3.0747728860936352E-2</v>
      </c>
      <c r="I690" s="10">
        <f t="shared" si="66"/>
        <v>1.210478771454393E-2</v>
      </c>
      <c r="J690" s="10">
        <f t="shared" si="67"/>
        <v>5.1248843663274757E-2</v>
      </c>
      <c r="K690" s="10">
        <f t="shared" si="68"/>
        <v>-5.1782240609331565E-3</v>
      </c>
      <c r="L690" s="10">
        <f t="shared" si="69"/>
        <v>3.8926986688180731E-2</v>
      </c>
      <c r="M690" s="10">
        <f t="shared" si="65"/>
        <v>7.5389499338414101E-3</v>
      </c>
      <c r="N690" s="1"/>
      <c r="O690" s="2">
        <v>3852.97</v>
      </c>
      <c r="P690" s="12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spans="1:31" ht="15" thickBot="1" x14ac:dyDescent="0.35">
      <c r="A691" s="1">
        <v>44929</v>
      </c>
      <c r="B691">
        <v>14.31</v>
      </c>
      <c r="C691">
        <v>55.35</v>
      </c>
      <c r="D691">
        <v>108.1</v>
      </c>
      <c r="E691">
        <v>364.99</v>
      </c>
      <c r="F691">
        <v>49.58</v>
      </c>
      <c r="G691" s="4"/>
      <c r="H691" s="10">
        <f t="shared" si="64"/>
        <v>-2.0533880903490731E-2</v>
      </c>
      <c r="I691" s="10">
        <f t="shared" si="66"/>
        <v>-1.0016097299230808E-2</v>
      </c>
      <c r="J691" s="10">
        <f t="shared" si="67"/>
        <v>-0.12242247118038652</v>
      </c>
      <c r="K691" s="10">
        <f t="shared" si="68"/>
        <v>-2.3234200743493805E-3</v>
      </c>
      <c r="L691" s="10">
        <f t="shared" si="69"/>
        <v>5.0423728813559165E-2</v>
      </c>
      <c r="M691" s="10">
        <f t="shared" si="65"/>
        <v>-4.0005209011589882E-3</v>
      </c>
      <c r="N691" s="1"/>
      <c r="O691" s="2">
        <v>3824.14</v>
      </c>
      <c r="P691" s="12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spans="1:31" ht="15" thickBot="1" x14ac:dyDescent="0.35">
      <c r="A692" s="1">
        <v>44925</v>
      </c>
      <c r="B692">
        <v>14.61</v>
      </c>
      <c r="C692">
        <v>55.91</v>
      </c>
      <c r="D692">
        <v>123.18</v>
      </c>
      <c r="E692">
        <v>365.84</v>
      </c>
      <c r="F692">
        <v>47.2</v>
      </c>
      <c r="G692" s="4"/>
      <c r="H692" s="10">
        <f t="shared" si="64"/>
        <v>6.8493150684934001E-4</v>
      </c>
      <c r="I692" s="10">
        <f t="shared" si="66"/>
        <v>2.3305844388668007E-3</v>
      </c>
      <c r="J692" s="10">
        <f t="shared" si="67"/>
        <v>1.1164012477425933E-2</v>
      </c>
      <c r="K692" s="10">
        <f t="shared" si="68"/>
        <v>-3.2150836466677823E-3</v>
      </c>
      <c r="L692" s="10">
        <f t="shared" si="69"/>
        <v>-3.3783783783782884E-3</v>
      </c>
      <c r="M692" s="10">
        <f t="shared" si="65"/>
        <v>-2.5407348906808513E-3</v>
      </c>
      <c r="N692" s="1"/>
      <c r="O692" s="2">
        <v>3839.5</v>
      </c>
      <c r="P692" s="12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spans="1:31" ht="15" thickBot="1" x14ac:dyDescent="0.35">
      <c r="A693" s="1">
        <v>44924</v>
      </c>
      <c r="B693">
        <v>14.6</v>
      </c>
      <c r="C693">
        <v>55.78</v>
      </c>
      <c r="D693">
        <v>121.82</v>
      </c>
      <c r="E693">
        <v>367.02</v>
      </c>
      <c r="F693">
        <v>47.36</v>
      </c>
      <c r="G693" s="4"/>
      <c r="H693" s="10">
        <f t="shared" si="64"/>
        <v>3.9886039886039892E-2</v>
      </c>
      <c r="I693" s="10">
        <f t="shared" si="66"/>
        <v>2.3674068636446943E-2</v>
      </c>
      <c r="J693" s="10">
        <f t="shared" si="67"/>
        <v>8.0826900896105114E-2</v>
      </c>
      <c r="K693" s="10">
        <f t="shared" si="68"/>
        <v>4.928536224741098E-3</v>
      </c>
      <c r="L693" s="10">
        <f t="shared" si="69"/>
        <v>-2.1110407430857681E-4</v>
      </c>
      <c r="M693" s="10">
        <f t="shared" si="65"/>
        <v>1.7461316021801565E-2</v>
      </c>
      <c r="N693" s="1"/>
      <c r="O693" s="2">
        <v>3849.28</v>
      </c>
      <c r="P693" s="12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spans="1:31" ht="15" thickBot="1" x14ac:dyDescent="0.35">
      <c r="A694" s="1">
        <v>44923</v>
      </c>
      <c r="B694">
        <v>14.04</v>
      </c>
      <c r="C694">
        <v>54.49</v>
      </c>
      <c r="D694">
        <v>112.71</v>
      </c>
      <c r="E694">
        <v>365.22</v>
      </c>
      <c r="F694">
        <v>47.37</v>
      </c>
      <c r="G694" s="4"/>
      <c r="H694" s="10">
        <f t="shared" si="64"/>
        <v>-5.6657223796033884E-3</v>
      </c>
      <c r="I694" s="10">
        <f t="shared" si="66"/>
        <v>-1.5537488708220359E-2</v>
      </c>
      <c r="J694" s="10">
        <f t="shared" si="67"/>
        <v>3.3088909257561916E-2</v>
      </c>
      <c r="K694" s="10">
        <f t="shared" si="68"/>
        <v>9.318131988600431E-4</v>
      </c>
      <c r="L694" s="10">
        <f t="shared" si="69"/>
        <v>-2.8307692307692367E-2</v>
      </c>
      <c r="M694" s="10">
        <f t="shared" si="65"/>
        <v>-1.202063067180259E-2</v>
      </c>
      <c r="N694" s="1"/>
      <c r="O694" s="2">
        <v>3783.22</v>
      </c>
      <c r="P694" s="12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spans="1:31" ht="15" thickBot="1" x14ac:dyDescent="0.35">
      <c r="A695" s="1">
        <v>44922</v>
      </c>
      <c r="B695">
        <v>14.12</v>
      </c>
      <c r="C695">
        <v>55.35</v>
      </c>
      <c r="D695">
        <v>109.1</v>
      </c>
      <c r="E695">
        <v>364.88</v>
      </c>
      <c r="F695">
        <v>48.75</v>
      </c>
      <c r="G695" s="4"/>
      <c r="H695" s="10">
        <f t="shared" si="64"/>
        <v>-7.1663379355687118E-2</v>
      </c>
      <c r="I695" s="10">
        <f t="shared" si="66"/>
        <v>1.9913106444604534E-3</v>
      </c>
      <c r="J695" s="10">
        <f t="shared" si="67"/>
        <v>-0.11408850994721897</v>
      </c>
      <c r="K695" s="10">
        <f t="shared" si="68"/>
        <v>-8.2087523783636041E-3</v>
      </c>
      <c r="L695" s="10">
        <f t="shared" si="69"/>
        <v>1.8808777429466961E-2</v>
      </c>
      <c r="M695" s="10">
        <f t="shared" si="65"/>
        <v>-4.0496044028068834E-3</v>
      </c>
      <c r="N695" s="1"/>
      <c r="O695" s="2">
        <v>3829.25</v>
      </c>
      <c r="P695" s="12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spans="1:31" ht="15" thickBot="1" x14ac:dyDescent="0.35">
      <c r="A696" s="1">
        <v>44918</v>
      </c>
      <c r="B696">
        <v>15.21</v>
      </c>
      <c r="C696">
        <v>55.24</v>
      </c>
      <c r="D696">
        <v>123.15</v>
      </c>
      <c r="E696">
        <v>367.9</v>
      </c>
      <c r="F696">
        <v>47.85</v>
      </c>
      <c r="G696" s="4"/>
      <c r="H696" s="10">
        <f t="shared" si="64"/>
        <v>-8.4745762711864181E-3</v>
      </c>
      <c r="I696" s="10">
        <f t="shared" si="66"/>
        <v>-1.2655939251491333E-3</v>
      </c>
      <c r="J696" s="10">
        <f t="shared" si="67"/>
        <v>-1.7550857598723435E-2</v>
      </c>
      <c r="K696" s="10">
        <f t="shared" si="68"/>
        <v>7.089868878486616E-3</v>
      </c>
      <c r="L696" s="10">
        <f t="shared" si="69"/>
        <v>7.3684210526316907E-3</v>
      </c>
      <c r="M696" s="10">
        <f t="shared" si="65"/>
        <v>5.8680563731070556E-3</v>
      </c>
      <c r="N696" s="1"/>
      <c r="O696" s="2">
        <v>3844.82</v>
      </c>
      <c r="P696" s="12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spans="1:31" ht="15" thickBot="1" x14ac:dyDescent="0.35">
      <c r="A697" s="1">
        <v>44917</v>
      </c>
      <c r="B697">
        <v>15.34</v>
      </c>
      <c r="C697">
        <v>55.31</v>
      </c>
      <c r="D697">
        <v>125.35</v>
      </c>
      <c r="E697">
        <v>365.31</v>
      </c>
      <c r="F697">
        <v>47.5</v>
      </c>
      <c r="G697" s="4"/>
      <c r="H697" s="10">
        <f t="shared" si="64"/>
        <v>-7.0303030303030312E-2</v>
      </c>
      <c r="I697" s="10">
        <f t="shared" si="66"/>
        <v>-1.4433357091945709E-2</v>
      </c>
      <c r="J697" s="10">
        <f t="shared" si="67"/>
        <v>-8.8827505996946998E-2</v>
      </c>
      <c r="K697" s="10">
        <f t="shared" si="68"/>
        <v>-7.336757153338147E-3</v>
      </c>
      <c r="L697" s="10">
        <f t="shared" si="69"/>
        <v>3.8038884192730382E-3</v>
      </c>
      <c r="M697" s="10">
        <f t="shared" si="65"/>
        <v>-1.4451686760656446E-2</v>
      </c>
      <c r="N697" s="1"/>
      <c r="O697" s="2">
        <v>3822.39</v>
      </c>
      <c r="P697" s="12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spans="1:31" ht="15" thickBot="1" x14ac:dyDescent="0.35">
      <c r="A698" s="1">
        <v>44916</v>
      </c>
      <c r="B698">
        <v>16.5</v>
      </c>
      <c r="C698">
        <v>56.12</v>
      </c>
      <c r="D698">
        <v>137.57</v>
      </c>
      <c r="E698">
        <v>368.01</v>
      </c>
      <c r="F698">
        <v>47.32</v>
      </c>
      <c r="G698" s="4"/>
      <c r="H698" s="10">
        <f t="shared" si="64"/>
        <v>2.6119402985074647E-2</v>
      </c>
      <c r="I698" s="10">
        <f t="shared" si="66"/>
        <v>3.1617647058823417E-2</v>
      </c>
      <c r="J698" s="10">
        <f t="shared" si="67"/>
        <v>-1.6690856313499314E-3</v>
      </c>
      <c r="K698" s="10">
        <f t="shared" si="68"/>
        <v>2.3273273273273221E-2</v>
      </c>
      <c r="L698" s="10">
        <f t="shared" si="69"/>
        <v>-6.2998740025198563E-3</v>
      </c>
      <c r="M698" s="10">
        <f t="shared" si="65"/>
        <v>1.4868040255179737E-2</v>
      </c>
      <c r="N698" s="1"/>
      <c r="O698" s="2">
        <v>3878.44</v>
      </c>
      <c r="P698" s="12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spans="1:31" ht="15" thickBot="1" x14ac:dyDescent="0.35">
      <c r="A699" s="1">
        <v>44915</v>
      </c>
      <c r="B699">
        <v>16.079999999999998</v>
      </c>
      <c r="C699">
        <v>54.4</v>
      </c>
      <c r="D699">
        <v>137.80000000000001</v>
      </c>
      <c r="E699">
        <v>359.64</v>
      </c>
      <c r="F699">
        <v>47.62</v>
      </c>
      <c r="G699" s="4"/>
      <c r="H699" s="10">
        <f t="shared" si="64"/>
        <v>-1.0461538461538522E-2</v>
      </c>
      <c r="I699" s="10">
        <f t="shared" si="66"/>
        <v>-1.0189228529839944E-2</v>
      </c>
      <c r="J699" s="10">
        <f t="shared" si="67"/>
        <v>-8.0536464936278085E-2</v>
      </c>
      <c r="K699" s="10">
        <f t="shared" si="68"/>
        <v>5.1987254737548838E-3</v>
      </c>
      <c r="L699" s="10">
        <f t="shared" si="69"/>
        <v>4.4298245614035059E-2</v>
      </c>
      <c r="M699" s="10">
        <f t="shared" si="65"/>
        <v>1.0372846193742458E-3</v>
      </c>
      <c r="N699" s="1"/>
      <c r="O699" s="2">
        <v>3821.62</v>
      </c>
      <c r="P699" s="12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spans="1:31" ht="15" thickBot="1" x14ac:dyDescent="0.35">
      <c r="A700" s="1">
        <v>44914</v>
      </c>
      <c r="B700">
        <v>16.25</v>
      </c>
      <c r="C700">
        <v>54.96</v>
      </c>
      <c r="D700">
        <v>149.87</v>
      </c>
      <c r="E700">
        <v>357.78</v>
      </c>
      <c r="F700">
        <v>45.6</v>
      </c>
      <c r="G700" s="4"/>
      <c r="H700" s="10">
        <f t="shared" si="64"/>
        <v>-1.931200965600488E-2</v>
      </c>
      <c r="I700" s="10">
        <f t="shared" si="66"/>
        <v>-1.1332973556395065E-2</v>
      </c>
      <c r="J700" s="10">
        <f t="shared" si="67"/>
        <v>-2.3963256340276962E-3</v>
      </c>
      <c r="K700" s="10">
        <f t="shared" si="68"/>
        <v>-5.8076527634980391E-3</v>
      </c>
      <c r="L700" s="10">
        <f t="shared" si="69"/>
        <v>-1.1703511053316018E-2</v>
      </c>
      <c r="M700" s="10">
        <f t="shared" si="65"/>
        <v>-9.007465553582783E-3</v>
      </c>
      <c r="N700" s="1"/>
      <c r="O700" s="2">
        <v>3817.66</v>
      </c>
      <c r="P700" s="12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spans="1:31" ht="15" thickBot="1" x14ac:dyDescent="0.35">
      <c r="A701" s="1">
        <v>44911</v>
      </c>
      <c r="B701">
        <v>16.57</v>
      </c>
      <c r="C701">
        <v>55.59</v>
      </c>
      <c r="D701">
        <v>150.22999999999999</v>
      </c>
      <c r="E701">
        <v>359.87</v>
      </c>
      <c r="F701">
        <v>46.14</v>
      </c>
      <c r="G701" s="4"/>
      <c r="H701" s="10">
        <f t="shared" si="64"/>
        <v>-2.2418879056047114E-2</v>
      </c>
      <c r="I701" s="10">
        <f t="shared" si="66"/>
        <v>-3.7634408602149616E-3</v>
      </c>
      <c r="J701" s="10">
        <f t="shared" si="67"/>
        <v>-4.7187163062091697E-2</v>
      </c>
      <c r="K701" s="10">
        <f t="shared" si="68"/>
        <v>-3.888780867197239E-4</v>
      </c>
      <c r="L701" s="10">
        <f t="shared" si="69"/>
        <v>1.2508229098090906E-2</v>
      </c>
      <c r="M701" s="10">
        <f t="shared" si="65"/>
        <v>-1.1137778348199956E-2</v>
      </c>
      <c r="N701" s="1"/>
      <c r="O701" s="2">
        <v>3852.36</v>
      </c>
      <c r="P701" s="12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spans="1:31" ht="15" thickBot="1" x14ac:dyDescent="0.35">
      <c r="A702" s="1">
        <v>44910</v>
      </c>
      <c r="B702">
        <v>16.95</v>
      </c>
      <c r="C702">
        <v>55.8</v>
      </c>
      <c r="D702">
        <v>157.66999999999999</v>
      </c>
      <c r="E702">
        <v>360.01</v>
      </c>
      <c r="F702">
        <v>45.57</v>
      </c>
      <c r="G702" s="4"/>
      <c r="H702" s="10">
        <f t="shared" si="64"/>
        <v>-4.074702886247894E-2</v>
      </c>
      <c r="I702" s="10">
        <f t="shared" si="66"/>
        <v>-2.8551532033426197E-2</v>
      </c>
      <c r="J702" s="10">
        <f t="shared" si="67"/>
        <v>5.5484693877549951E-3</v>
      </c>
      <c r="K702" s="10">
        <f t="shared" si="68"/>
        <v>-9.6011004126547173E-3</v>
      </c>
      <c r="L702" s="10">
        <f t="shared" si="69"/>
        <v>-3.268945022288261E-2</v>
      </c>
      <c r="M702" s="10">
        <f t="shared" si="65"/>
        <v>-2.4921658340258168E-2</v>
      </c>
      <c r="N702" s="1"/>
      <c r="O702" s="2">
        <v>3895.75</v>
      </c>
      <c r="P702" s="12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spans="1:31" ht="15" thickBot="1" x14ac:dyDescent="0.35">
      <c r="A703" s="1">
        <v>44909</v>
      </c>
      <c r="B703">
        <v>17.670000000000002</v>
      </c>
      <c r="C703">
        <v>57.44</v>
      </c>
      <c r="D703">
        <v>156.80000000000001</v>
      </c>
      <c r="E703">
        <v>363.5</v>
      </c>
      <c r="F703">
        <v>47.11</v>
      </c>
      <c r="G703" s="4"/>
      <c r="H703" s="10">
        <f t="shared" si="64"/>
        <v>-2.2136137244050835E-2</v>
      </c>
      <c r="I703" s="10">
        <f t="shared" si="66"/>
        <v>5.9544658493870806E-3</v>
      </c>
      <c r="J703" s="10">
        <f t="shared" si="67"/>
        <v>-2.5784405094749774E-2</v>
      </c>
      <c r="K703" s="10">
        <f t="shared" si="68"/>
        <v>1.3494674622204883E-2</v>
      </c>
      <c r="L703" s="10">
        <f t="shared" si="69"/>
        <v>-8.4835630965007791E-4</v>
      </c>
      <c r="M703" s="10">
        <f t="shared" si="65"/>
        <v>-6.0527657880661279E-3</v>
      </c>
      <c r="N703" s="1"/>
      <c r="O703" s="2">
        <v>3995.32</v>
      </c>
      <c r="P703" s="12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spans="1:31" ht="15" thickBot="1" x14ac:dyDescent="0.35">
      <c r="A704" s="1">
        <v>44908</v>
      </c>
      <c r="B704">
        <v>18.07</v>
      </c>
      <c r="C704">
        <v>57.1</v>
      </c>
      <c r="D704">
        <v>160.94999999999999</v>
      </c>
      <c r="E704">
        <v>358.66</v>
      </c>
      <c r="F704">
        <v>47.15</v>
      </c>
      <c r="G704" s="4"/>
      <c r="H704" s="10">
        <f t="shared" si="64"/>
        <v>3.0804335424985618E-2</v>
      </c>
      <c r="I704" s="10">
        <f t="shared" si="66"/>
        <v>2.587136183974148E-2</v>
      </c>
      <c r="J704" s="10">
        <f t="shared" si="67"/>
        <v>-4.093671791204867E-2</v>
      </c>
      <c r="K704" s="10">
        <f t="shared" si="68"/>
        <v>-2.3390061266167383E-2</v>
      </c>
      <c r="L704" s="10">
        <f t="shared" si="69"/>
        <v>1.6163793103448176E-2</v>
      </c>
      <c r="M704" s="10">
        <f t="shared" si="65"/>
        <v>7.289703700733785E-3</v>
      </c>
      <c r="N704" s="1"/>
      <c r="O704" s="2">
        <v>4019.65</v>
      </c>
      <c r="P704" s="12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spans="1:31" ht="15" thickBot="1" x14ac:dyDescent="0.35">
      <c r="A705" s="1">
        <v>44907</v>
      </c>
      <c r="B705">
        <v>17.53</v>
      </c>
      <c r="C705">
        <v>55.66</v>
      </c>
      <c r="D705">
        <v>167.82</v>
      </c>
      <c r="E705">
        <v>367.25</v>
      </c>
      <c r="F705">
        <v>46.4</v>
      </c>
      <c r="G705" s="4"/>
      <c r="H705" s="10">
        <f t="shared" si="64"/>
        <v>3.1176470588235361E-2</v>
      </c>
      <c r="I705" s="10">
        <f t="shared" si="66"/>
        <v>2.1846888195336867E-2</v>
      </c>
      <c r="J705" s="10">
        <f t="shared" si="67"/>
        <v>-6.2719910639486232E-2</v>
      </c>
      <c r="K705" s="10">
        <f t="shared" si="68"/>
        <v>1.7341200587273953E-2</v>
      </c>
      <c r="L705" s="10">
        <f t="shared" si="69"/>
        <v>0</v>
      </c>
      <c r="M705" s="10">
        <f t="shared" si="65"/>
        <v>1.4279251114533986E-2</v>
      </c>
      <c r="N705" s="1"/>
      <c r="O705" s="2">
        <v>3990.56</v>
      </c>
      <c r="P705" s="12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spans="1:31" ht="15" thickBot="1" x14ac:dyDescent="0.35">
      <c r="A706" s="1">
        <v>44904</v>
      </c>
      <c r="B706">
        <v>17</v>
      </c>
      <c r="C706">
        <v>54.47</v>
      </c>
      <c r="D706">
        <v>179.05</v>
      </c>
      <c r="E706">
        <v>360.99</v>
      </c>
      <c r="F706">
        <v>46.4</v>
      </c>
      <c r="G706" s="4"/>
      <c r="H706" s="10">
        <f t="shared" si="64"/>
        <v>-9.9009900990100208E-3</v>
      </c>
      <c r="I706" s="10">
        <f t="shared" si="66"/>
        <v>2.5607230276784021E-2</v>
      </c>
      <c r="J706" s="10">
        <f t="shared" si="67"/>
        <v>3.2345479704797064E-2</v>
      </c>
      <c r="K706" s="10">
        <f t="shared" si="68"/>
        <v>-2.9048656499636949E-2</v>
      </c>
      <c r="L706" s="10">
        <f t="shared" si="69"/>
        <v>-1.5280135823429464E-2</v>
      </c>
      <c r="M706" s="10">
        <f t="shared" si="65"/>
        <v>-7.3495462355336327E-3</v>
      </c>
      <c r="N706" s="1"/>
      <c r="O706" s="2">
        <v>3934.38</v>
      </c>
      <c r="P706" s="12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spans="1:31" ht="15" thickBot="1" x14ac:dyDescent="0.35">
      <c r="A707" s="1">
        <v>44903</v>
      </c>
      <c r="B707">
        <v>17.170000000000002</v>
      </c>
      <c r="C707">
        <v>53.11</v>
      </c>
      <c r="D707">
        <v>173.44</v>
      </c>
      <c r="E707">
        <v>371.79</v>
      </c>
      <c r="F707">
        <v>47.12</v>
      </c>
      <c r="G707" s="4"/>
      <c r="H707" s="10">
        <f t="shared" si="64"/>
        <v>6.5136476426798984E-2</v>
      </c>
      <c r="I707" s="10">
        <f t="shared" si="66"/>
        <v>2.43008678881389E-2</v>
      </c>
      <c r="J707" s="10">
        <f t="shared" si="67"/>
        <v>-3.4474833371638258E-3</v>
      </c>
      <c r="K707" s="10">
        <f t="shared" si="68"/>
        <v>-4.8390999274139368E-4</v>
      </c>
      <c r="L707" s="10">
        <f t="shared" si="69"/>
        <v>-1.4833651197287967E-3</v>
      </c>
      <c r="M707" s="10">
        <f t="shared" si="65"/>
        <v>7.5217594663847809E-3</v>
      </c>
      <c r="N707" s="1"/>
      <c r="O707" s="2">
        <v>3963.51</v>
      </c>
      <c r="P707" s="12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spans="1:31" ht="15" thickBot="1" x14ac:dyDescent="0.35">
      <c r="A708" s="1">
        <v>44902</v>
      </c>
      <c r="B708">
        <v>16.12</v>
      </c>
      <c r="C708">
        <v>51.85</v>
      </c>
      <c r="D708">
        <v>174.04</v>
      </c>
      <c r="E708">
        <v>371.97</v>
      </c>
      <c r="F708">
        <v>47.19</v>
      </c>
      <c r="G708" s="4"/>
      <c r="H708" s="10">
        <f t="shared" ref="H708:H771" si="70">(B708/B709)-1</f>
        <v>8.1300813008131634E-3</v>
      </c>
      <c r="I708" s="10">
        <f t="shared" si="66"/>
        <v>-1.3883605933815102E-2</v>
      </c>
      <c r="J708" s="10">
        <f t="shared" si="67"/>
        <v>-3.2143254365476603E-2</v>
      </c>
      <c r="K708" s="10">
        <f t="shared" si="68"/>
        <v>9.3069951701307829E-3</v>
      </c>
      <c r="L708" s="10">
        <f t="shared" si="69"/>
        <v>1.4855687606112333E-3</v>
      </c>
      <c r="M708" s="10">
        <f t="shared" ref="M708:M771" si="71">(O708/O709)-1</f>
        <v>-1.8623485890298941E-3</v>
      </c>
      <c r="N708" s="1"/>
      <c r="O708" s="2">
        <v>3933.92</v>
      </c>
      <c r="P708" s="12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spans="1:31" ht="15" thickBot="1" x14ac:dyDescent="0.35">
      <c r="A709" s="1">
        <v>44901</v>
      </c>
      <c r="B709">
        <v>15.99</v>
      </c>
      <c r="C709">
        <v>52.58</v>
      </c>
      <c r="D709">
        <v>179.82</v>
      </c>
      <c r="E709">
        <v>368.54</v>
      </c>
      <c r="F709">
        <v>47.12</v>
      </c>
      <c r="G709" s="4"/>
      <c r="H709" s="10">
        <f t="shared" si="70"/>
        <v>-3.7326911499096838E-2</v>
      </c>
      <c r="I709" s="10">
        <f t="shared" si="66"/>
        <v>-9.0463626083679971E-3</v>
      </c>
      <c r="J709" s="10">
        <f t="shared" si="67"/>
        <v>-1.4414908194025688E-2</v>
      </c>
      <c r="K709" s="10">
        <f t="shared" si="68"/>
        <v>-2.0309242059086685E-3</v>
      </c>
      <c r="L709" s="10">
        <f t="shared" si="69"/>
        <v>-7.373077733305311E-3</v>
      </c>
      <c r="M709" s="10">
        <f t="shared" si="71"/>
        <v>-1.4399175760970717E-2</v>
      </c>
      <c r="N709" s="1"/>
      <c r="O709" s="2">
        <v>3941.26</v>
      </c>
      <c r="P709" s="12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spans="1:31" ht="15" thickBot="1" x14ac:dyDescent="0.35">
      <c r="A710" s="1">
        <v>44900</v>
      </c>
      <c r="B710">
        <v>16.61</v>
      </c>
      <c r="C710">
        <v>53.06</v>
      </c>
      <c r="D710">
        <v>182.45</v>
      </c>
      <c r="E710">
        <v>369.29</v>
      </c>
      <c r="F710">
        <v>47.47</v>
      </c>
      <c r="G710" s="4"/>
      <c r="H710" s="10">
        <f t="shared" si="70"/>
        <v>-1.5995260663507094E-2</v>
      </c>
      <c r="I710" s="10">
        <f t="shared" si="66"/>
        <v>-1.8860946745562046E-2</v>
      </c>
      <c r="J710" s="10">
        <f t="shared" si="67"/>
        <v>-6.3686749461151715E-2</v>
      </c>
      <c r="K710" s="10">
        <f t="shared" si="68"/>
        <v>-1.4596008111858128E-2</v>
      </c>
      <c r="L710" s="10">
        <f t="shared" si="69"/>
        <v>-2.4655845490034967E-2</v>
      </c>
      <c r="M710" s="10">
        <f t="shared" si="71"/>
        <v>-1.7894245646781326E-2</v>
      </c>
      <c r="N710" s="1"/>
      <c r="O710" s="2">
        <v>3998.84</v>
      </c>
      <c r="P710" s="12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spans="1:31" ht="15" thickBot="1" x14ac:dyDescent="0.35">
      <c r="A711" s="1">
        <v>44897</v>
      </c>
      <c r="B711">
        <v>16.88</v>
      </c>
      <c r="C711">
        <v>54.08</v>
      </c>
      <c r="D711">
        <v>194.86</v>
      </c>
      <c r="E711">
        <v>374.76</v>
      </c>
      <c r="F711">
        <v>48.67</v>
      </c>
      <c r="G711" s="4"/>
      <c r="H711" s="10">
        <f t="shared" si="70"/>
        <v>-1.5169194865811031E-2</v>
      </c>
      <c r="I711" s="10">
        <f t="shared" si="66"/>
        <v>-1.8155410312273079E-2</v>
      </c>
      <c r="J711" s="10">
        <f t="shared" si="67"/>
        <v>8.2177709296371582E-4</v>
      </c>
      <c r="K711" s="10">
        <f t="shared" si="68"/>
        <v>1.1962303891124071E-2</v>
      </c>
      <c r="L711" s="10">
        <f t="shared" si="69"/>
        <v>2.0588840848261292E-3</v>
      </c>
      <c r="M711" s="10">
        <f t="shared" si="71"/>
        <v>-1.1946317615054713E-3</v>
      </c>
      <c r="N711" s="1"/>
      <c r="O711" s="2">
        <v>4071.7</v>
      </c>
      <c r="P711" s="12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spans="1:31" ht="15" thickBot="1" x14ac:dyDescent="0.35">
      <c r="A712" s="1">
        <v>44896</v>
      </c>
      <c r="B712">
        <v>17.14</v>
      </c>
      <c r="C712">
        <v>55.08</v>
      </c>
      <c r="D712">
        <v>194.7</v>
      </c>
      <c r="E712">
        <v>370.33</v>
      </c>
      <c r="F712">
        <v>48.57</v>
      </c>
      <c r="G712" s="4"/>
      <c r="H712" s="10">
        <f t="shared" si="70"/>
        <v>1.3002364066193817E-2</v>
      </c>
      <c r="I712" s="10">
        <f t="shared" si="66"/>
        <v>-3.6297640653359942E-4</v>
      </c>
      <c r="J712" s="10">
        <f t="shared" si="67"/>
        <v>0</v>
      </c>
      <c r="K712" s="10">
        <f t="shared" si="68"/>
        <v>-2.0211275196723166E-3</v>
      </c>
      <c r="L712" s="10">
        <f t="shared" si="69"/>
        <v>2.3172530018959359E-2</v>
      </c>
      <c r="M712" s="10">
        <f t="shared" si="71"/>
        <v>-8.6762366700898763E-4</v>
      </c>
      <c r="N712" s="1"/>
      <c r="O712" s="2">
        <v>4076.57</v>
      </c>
      <c r="P712" s="12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spans="1:31" ht="15" thickBot="1" x14ac:dyDescent="0.35">
      <c r="A713" s="1">
        <v>44895</v>
      </c>
      <c r="B713">
        <v>16.920000000000002</v>
      </c>
      <c r="C713">
        <v>55.1</v>
      </c>
      <c r="D713">
        <v>194.7</v>
      </c>
      <c r="E713">
        <v>371.08</v>
      </c>
      <c r="F713">
        <v>47.47</v>
      </c>
      <c r="G713" s="4"/>
      <c r="H713" s="10">
        <f t="shared" si="70"/>
        <v>8.1841432225064015E-2</v>
      </c>
      <c r="I713" s="10">
        <f t="shared" si="66"/>
        <v>5.6770233985423912E-2</v>
      </c>
      <c r="J713" s="10">
        <f t="shared" si="67"/>
        <v>7.6701874688934302E-2</v>
      </c>
      <c r="K713" s="10">
        <f t="shared" si="68"/>
        <v>1.959060310482208E-2</v>
      </c>
      <c r="L713" s="10">
        <f t="shared" si="69"/>
        <v>3.7368881118881037E-2</v>
      </c>
      <c r="M713" s="10">
        <f t="shared" si="71"/>
        <v>3.0947814727501077E-2</v>
      </c>
      <c r="N713" s="1"/>
      <c r="O713" s="2">
        <v>4080.11</v>
      </c>
      <c r="P713" s="12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spans="1:31" ht="15" thickBot="1" x14ac:dyDescent="0.35">
      <c r="A714" s="1">
        <v>44894</v>
      </c>
      <c r="B714">
        <v>15.64</v>
      </c>
      <c r="C714">
        <v>52.14</v>
      </c>
      <c r="D714">
        <v>180.83</v>
      </c>
      <c r="E714">
        <v>363.95</v>
      </c>
      <c r="F714">
        <v>45.76</v>
      </c>
      <c r="G714" s="4"/>
      <c r="H714" s="10">
        <f t="shared" si="70"/>
        <v>-1.2002526847757378E-2</v>
      </c>
      <c r="I714" s="10">
        <f t="shared" si="66"/>
        <v>-1.5319800842589215E-3</v>
      </c>
      <c r="J714" s="10">
        <f t="shared" si="67"/>
        <v>-1.1425759895035914E-2</v>
      </c>
      <c r="K714" s="10">
        <f t="shared" si="68"/>
        <v>-4.9758044672881807E-3</v>
      </c>
      <c r="L714" s="10">
        <f t="shared" si="69"/>
        <v>3.2490974729241895E-2</v>
      </c>
      <c r="M714" s="10">
        <f t="shared" si="71"/>
        <v>-1.5918505325509535E-3</v>
      </c>
      <c r="N714" s="1"/>
      <c r="O714" s="2">
        <v>3957.63</v>
      </c>
      <c r="P714" s="12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spans="1:31" ht="15" thickBot="1" x14ac:dyDescent="0.35">
      <c r="A715" s="1">
        <v>44893</v>
      </c>
      <c r="B715">
        <v>15.83</v>
      </c>
      <c r="C715">
        <v>52.22</v>
      </c>
      <c r="D715">
        <v>182.92</v>
      </c>
      <c r="E715">
        <v>365.77</v>
      </c>
      <c r="F715">
        <v>44.32</v>
      </c>
      <c r="G715" s="4"/>
      <c r="H715" s="10">
        <f t="shared" si="70"/>
        <v>-2.7043638598647779E-2</v>
      </c>
      <c r="I715" s="10">
        <f t="shared" si="66"/>
        <v>-1.4531043593130843E-2</v>
      </c>
      <c r="J715" s="10">
        <f t="shared" si="67"/>
        <v>3.2811987312686419E-4</v>
      </c>
      <c r="K715" s="10">
        <f t="shared" si="68"/>
        <v>1.4236824093085687E-3</v>
      </c>
      <c r="L715" s="10">
        <f t="shared" si="69"/>
        <v>-3.3369683751363177E-2</v>
      </c>
      <c r="M715" s="10">
        <f t="shared" si="71"/>
        <v>-1.5444149702443011E-2</v>
      </c>
      <c r="N715" s="1"/>
      <c r="O715" s="2">
        <v>3963.94</v>
      </c>
      <c r="P715" s="12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spans="1:31" ht="15" thickBot="1" x14ac:dyDescent="0.35">
      <c r="A716" s="1">
        <v>44890</v>
      </c>
      <c r="B716">
        <v>16.27</v>
      </c>
      <c r="C716">
        <v>52.99</v>
      </c>
      <c r="D716">
        <v>182.86</v>
      </c>
      <c r="E716">
        <v>365.25</v>
      </c>
      <c r="F716">
        <v>45.85</v>
      </c>
      <c r="G716" s="4"/>
      <c r="H716" s="10">
        <f t="shared" si="70"/>
        <v>-1.5133171912832921E-2</v>
      </c>
      <c r="I716" s="10">
        <f t="shared" si="66"/>
        <v>-6.9340329835081427E-3</v>
      </c>
      <c r="J716" s="10">
        <f t="shared" si="67"/>
        <v>-1.8558951965064185E-3</v>
      </c>
      <c r="K716" s="10">
        <f t="shared" si="68"/>
        <v>9.758929558774776E-3</v>
      </c>
      <c r="L716" s="10">
        <f t="shared" si="69"/>
        <v>-8.6486486486486713E-3</v>
      </c>
      <c r="M716" s="10">
        <f t="shared" si="71"/>
        <v>-2.830708720074071E-4</v>
      </c>
      <c r="N716" s="1"/>
      <c r="O716" s="2">
        <v>4026.12</v>
      </c>
      <c r="P716" s="12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spans="1:31" ht="15" thickBot="1" x14ac:dyDescent="0.35">
      <c r="A717" s="1">
        <v>44888</v>
      </c>
      <c r="B717">
        <v>16.52</v>
      </c>
      <c r="C717">
        <v>53.36</v>
      </c>
      <c r="D717">
        <v>183.2</v>
      </c>
      <c r="E717">
        <v>361.72</v>
      </c>
      <c r="F717">
        <v>46.25</v>
      </c>
      <c r="G717" s="4"/>
      <c r="H717" s="10">
        <f t="shared" si="70"/>
        <v>2.9925187032419087E-2</v>
      </c>
      <c r="I717" s="10">
        <f t="shared" si="66"/>
        <v>6.6025278249386421E-3</v>
      </c>
      <c r="J717" s="10">
        <f t="shared" si="67"/>
        <v>7.8217880054146205E-2</v>
      </c>
      <c r="K717" s="10">
        <f t="shared" si="68"/>
        <v>2.3276435380181759E-3</v>
      </c>
      <c r="L717" s="10">
        <f t="shared" si="69"/>
        <v>2.6013440277476985E-3</v>
      </c>
      <c r="M717" s="10">
        <f t="shared" si="71"/>
        <v>5.9147063378277576E-3</v>
      </c>
      <c r="N717" s="1"/>
      <c r="O717" s="2">
        <v>4027.26</v>
      </c>
      <c r="P717" s="12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spans="1:31" ht="15" thickBot="1" x14ac:dyDescent="0.35">
      <c r="A718" s="1">
        <v>44887</v>
      </c>
      <c r="B718">
        <v>16.04</v>
      </c>
      <c r="C718">
        <v>53.01</v>
      </c>
      <c r="D718">
        <v>169.91</v>
      </c>
      <c r="E718">
        <v>360.88</v>
      </c>
      <c r="F718">
        <v>46.13</v>
      </c>
      <c r="G718" s="4"/>
      <c r="H718" s="10">
        <f t="shared" si="70"/>
        <v>4.6997389033942572E-2</v>
      </c>
      <c r="I718" s="10">
        <f t="shared" si="66"/>
        <v>2.4545805952840949E-2</v>
      </c>
      <c r="J718" s="10">
        <f t="shared" si="67"/>
        <v>1.2152260677905424E-2</v>
      </c>
      <c r="K718" s="10">
        <f t="shared" si="68"/>
        <v>-8.029459811169648E-4</v>
      </c>
      <c r="L718" s="10">
        <f t="shared" si="69"/>
        <v>2.5111111111111084E-2</v>
      </c>
      <c r="M718" s="10">
        <f t="shared" si="71"/>
        <v>1.3579953113211918E-2</v>
      </c>
      <c r="N718" s="1"/>
      <c r="O718" s="2">
        <v>4003.58</v>
      </c>
      <c r="P718" s="12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spans="1:31" ht="15" thickBot="1" x14ac:dyDescent="0.35">
      <c r="A719" s="1">
        <v>44886</v>
      </c>
      <c r="B719">
        <v>15.32</v>
      </c>
      <c r="C719">
        <v>51.74</v>
      </c>
      <c r="D719">
        <v>167.87</v>
      </c>
      <c r="E719">
        <v>361.17</v>
      </c>
      <c r="F719">
        <v>45</v>
      </c>
      <c r="G719" s="4"/>
      <c r="H719" s="10">
        <f t="shared" si="70"/>
        <v>-5.8403634003894034E-3</v>
      </c>
      <c r="I719" s="10">
        <f t="shared" si="66"/>
        <v>4.2701863354037695E-3</v>
      </c>
      <c r="J719" s="10">
        <f t="shared" si="67"/>
        <v>-6.8372273711082676E-2</v>
      </c>
      <c r="K719" s="10">
        <f t="shared" si="68"/>
        <v>-1.3824757375507923E-3</v>
      </c>
      <c r="L719" s="10">
        <f t="shared" si="69"/>
        <v>-2.8805672501662771E-3</v>
      </c>
      <c r="M719" s="10">
        <f t="shared" si="71"/>
        <v>-3.8836518432215916E-3</v>
      </c>
      <c r="N719" s="1"/>
      <c r="O719" s="2">
        <v>3949.94</v>
      </c>
      <c r="P719" s="12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spans="1:31" ht="15" thickBot="1" x14ac:dyDescent="0.35">
      <c r="A720" s="1">
        <v>44883</v>
      </c>
      <c r="B720">
        <v>15.41</v>
      </c>
      <c r="C720">
        <v>51.52</v>
      </c>
      <c r="D720">
        <v>180.19</v>
      </c>
      <c r="E720">
        <v>361.67</v>
      </c>
      <c r="F720">
        <v>45.13</v>
      </c>
      <c r="G720" s="4"/>
      <c r="H720" s="10">
        <f t="shared" si="70"/>
        <v>-1.7219387755102011E-2</v>
      </c>
      <c r="I720" s="10">
        <f t="shared" si="66"/>
        <v>6.0535051747705459E-3</v>
      </c>
      <c r="J720" s="10">
        <f t="shared" si="67"/>
        <v>-1.6269039689905451E-2</v>
      </c>
      <c r="K720" s="10">
        <f t="shared" si="68"/>
        <v>2.4946641904814992E-3</v>
      </c>
      <c r="L720" s="10">
        <f t="shared" si="69"/>
        <v>1.029773897470343E-2</v>
      </c>
      <c r="M720" s="10">
        <f t="shared" si="71"/>
        <v>4.7585745560692061E-3</v>
      </c>
      <c r="N720" s="1"/>
      <c r="O720" s="2">
        <v>3965.34</v>
      </c>
      <c r="P720" s="12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spans="1:31" ht="15" thickBot="1" x14ac:dyDescent="0.35">
      <c r="A721" s="1">
        <v>44882</v>
      </c>
      <c r="B721">
        <v>15.68</v>
      </c>
      <c r="C721">
        <v>51.21</v>
      </c>
      <c r="D721">
        <v>183.17</v>
      </c>
      <c r="E721">
        <v>360.77</v>
      </c>
      <c r="F721">
        <v>44.67</v>
      </c>
      <c r="G721" s="4"/>
      <c r="H721" s="10">
        <f t="shared" si="70"/>
        <v>-1.4456316781898182E-2</v>
      </c>
      <c r="I721" s="10">
        <f t="shared" si="66"/>
        <v>7.8170803205002137E-4</v>
      </c>
      <c r="J721" s="10">
        <f t="shared" si="67"/>
        <v>-2.0062058634710001E-2</v>
      </c>
      <c r="K721" s="10">
        <f t="shared" si="68"/>
        <v>2.2214036777831181E-2</v>
      </c>
      <c r="L721" s="10">
        <f t="shared" si="69"/>
        <v>-1.8025939766981747E-2</v>
      </c>
      <c r="M721" s="10">
        <f t="shared" si="71"/>
        <v>-3.0893277996559831E-3</v>
      </c>
      <c r="N721" s="1"/>
      <c r="O721" s="2">
        <v>3946.56</v>
      </c>
      <c r="P721" s="12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spans="1:31" ht="15" thickBot="1" x14ac:dyDescent="0.35">
      <c r="A722" s="1">
        <v>44881</v>
      </c>
      <c r="B722">
        <v>15.91</v>
      </c>
      <c r="C722">
        <v>51.17</v>
      </c>
      <c r="D722">
        <v>186.92</v>
      </c>
      <c r="E722">
        <v>352.93</v>
      </c>
      <c r="F722">
        <v>45.49</v>
      </c>
      <c r="G722" s="4"/>
      <c r="H722" s="10">
        <f t="shared" si="70"/>
        <v>-4.5590881823635354E-2</v>
      </c>
      <c r="I722" s="10">
        <f t="shared" si="66"/>
        <v>-2.4218154080854259E-2</v>
      </c>
      <c r="J722" s="10">
        <f t="shared" si="67"/>
        <v>-3.8576278160683097E-2</v>
      </c>
      <c r="K722" s="10">
        <f t="shared" si="68"/>
        <v>8.5155022146021775E-3</v>
      </c>
      <c r="L722" s="10">
        <f t="shared" si="69"/>
        <v>-4.3773254541473738E-3</v>
      </c>
      <c r="M722" s="10">
        <f t="shared" si="71"/>
        <v>-8.2520611363995355E-3</v>
      </c>
      <c r="N722" s="1"/>
      <c r="O722" s="2">
        <v>3958.79</v>
      </c>
      <c r="P722" s="12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spans="1:31" ht="15" thickBot="1" x14ac:dyDescent="0.35">
      <c r="A723" s="1">
        <v>44880</v>
      </c>
      <c r="B723">
        <v>16.670000000000002</v>
      </c>
      <c r="C723">
        <v>52.44</v>
      </c>
      <c r="D723">
        <v>194.42</v>
      </c>
      <c r="E723">
        <v>349.95</v>
      </c>
      <c r="F723">
        <v>45.69</v>
      </c>
      <c r="G723" s="4"/>
      <c r="H723" s="10">
        <f t="shared" si="70"/>
        <v>2.2699386503067576E-2</v>
      </c>
      <c r="I723" s="10">
        <f t="shared" ref="I723:I786" si="72">(C723/C724)-1</f>
        <v>2.1823850350740415E-2</v>
      </c>
      <c r="J723" s="10">
        <f t="shared" ref="J723:J786" si="73">(D723/D724)-1</f>
        <v>1.8172296412673372E-2</v>
      </c>
      <c r="K723" s="10">
        <f t="shared" ref="K723:K786" si="74">(E723/E724)-1</f>
        <v>-1.7160029208560412E-2</v>
      </c>
      <c r="L723" s="10">
        <f t="shared" ref="L723:L786" si="75">(F723/F724)-1</f>
        <v>-1.2961762799740817E-2</v>
      </c>
      <c r="M723" s="10">
        <f t="shared" si="71"/>
        <v>8.7131214858804373E-3</v>
      </c>
      <c r="N723" s="1"/>
      <c r="O723" s="2">
        <v>3991.73</v>
      </c>
      <c r="P723" s="12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spans="1:31" ht="15" thickBot="1" x14ac:dyDescent="0.35">
      <c r="A724" s="1">
        <v>44879</v>
      </c>
      <c r="B724">
        <v>16.3</v>
      </c>
      <c r="C724">
        <v>51.32</v>
      </c>
      <c r="D724">
        <v>190.95</v>
      </c>
      <c r="E724">
        <v>356.06</v>
      </c>
      <c r="F724">
        <v>46.29</v>
      </c>
      <c r="G724" s="4"/>
      <c r="H724" s="10">
        <f t="shared" si="70"/>
        <v>-1.8371096142068E-3</v>
      </c>
      <c r="I724" s="10">
        <f t="shared" si="72"/>
        <v>-9.4576336614553558E-3</v>
      </c>
      <c r="J724" s="10">
        <f t="shared" si="73"/>
        <v>-2.5616165739654084E-2</v>
      </c>
      <c r="K724" s="10">
        <f t="shared" si="74"/>
        <v>1.0672722111836563E-2</v>
      </c>
      <c r="L724" s="10">
        <f t="shared" si="75"/>
        <v>-5.1579626047711935E-3</v>
      </c>
      <c r="M724" s="10">
        <f t="shared" si="71"/>
        <v>-8.9357940159231486E-3</v>
      </c>
      <c r="N724" s="1"/>
      <c r="O724" s="2">
        <v>3957.25</v>
      </c>
      <c r="P724" s="12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spans="1:31" ht="15" thickBot="1" x14ac:dyDescent="0.35">
      <c r="A725" s="1">
        <v>44876</v>
      </c>
      <c r="B725">
        <v>16.329999999999998</v>
      </c>
      <c r="C725">
        <v>51.81</v>
      </c>
      <c r="D725">
        <v>195.97</v>
      </c>
      <c r="E725">
        <v>352.3</v>
      </c>
      <c r="F725">
        <v>46.53</v>
      </c>
      <c r="G725" s="4"/>
      <c r="H725" s="10">
        <f t="shared" si="70"/>
        <v>3.682539682539665E-2</v>
      </c>
      <c r="I725" s="10">
        <f t="shared" si="72"/>
        <v>2.2700355309909215E-2</v>
      </c>
      <c r="J725" s="10">
        <f t="shared" si="73"/>
        <v>2.752726510067105E-2</v>
      </c>
      <c r="K725" s="10">
        <f t="shared" si="74"/>
        <v>-4.4532436537209841E-2</v>
      </c>
      <c r="L725" s="10">
        <f t="shared" si="75"/>
        <v>2.5856496444731647E-3</v>
      </c>
      <c r="M725" s="10">
        <f t="shared" si="71"/>
        <v>9.2407939601200084E-3</v>
      </c>
      <c r="N725" s="1"/>
      <c r="O725" s="2">
        <v>3992.93</v>
      </c>
      <c r="P725" s="12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spans="1:31" ht="15" thickBot="1" x14ac:dyDescent="0.35">
      <c r="A726" s="1">
        <v>44875</v>
      </c>
      <c r="B726">
        <v>15.75</v>
      </c>
      <c r="C726">
        <v>50.66</v>
      </c>
      <c r="D726">
        <v>190.72</v>
      </c>
      <c r="E726">
        <v>368.72</v>
      </c>
      <c r="F726">
        <v>46.41</v>
      </c>
      <c r="G726" s="4"/>
      <c r="H726" s="10">
        <f t="shared" si="70"/>
        <v>0.14296081277213357</v>
      </c>
      <c r="I726" s="10">
        <f t="shared" si="72"/>
        <v>7.9020234291799607E-2</v>
      </c>
      <c r="J726" s="10">
        <f t="shared" si="73"/>
        <v>7.3934343149952175E-2</v>
      </c>
      <c r="K726" s="10">
        <f t="shared" si="74"/>
        <v>1.5002615134748432E-2</v>
      </c>
      <c r="L726" s="10">
        <f t="shared" si="75"/>
        <v>7.1082390953150165E-2</v>
      </c>
      <c r="M726" s="10">
        <f t="shared" si="71"/>
        <v>5.5434472345454289E-2</v>
      </c>
      <c r="N726" s="1"/>
      <c r="O726" s="2">
        <v>3956.37</v>
      </c>
      <c r="P726" s="12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spans="1:31" ht="15" thickBot="1" x14ac:dyDescent="0.35">
      <c r="A727" s="1">
        <v>44874</v>
      </c>
      <c r="B727">
        <v>13.78</v>
      </c>
      <c r="C727">
        <v>46.95</v>
      </c>
      <c r="D727">
        <v>177.59</v>
      </c>
      <c r="E727">
        <v>363.27</v>
      </c>
      <c r="F727">
        <v>43.33</v>
      </c>
      <c r="G727" s="4"/>
      <c r="H727" s="10">
        <f t="shared" si="70"/>
        <v>-5.6164383561643882E-2</v>
      </c>
      <c r="I727" s="10">
        <f t="shared" si="72"/>
        <v>-2.6135656502800253E-2</v>
      </c>
      <c r="J727" s="10">
        <f t="shared" si="73"/>
        <v>-7.1667537898588596E-2</v>
      </c>
      <c r="K727" s="10">
        <f t="shared" si="74"/>
        <v>-9.2456226476845815E-3</v>
      </c>
      <c r="L727" s="10">
        <f t="shared" si="75"/>
        <v>-9.6000000000000529E-3</v>
      </c>
      <c r="M727" s="10">
        <f t="shared" si="71"/>
        <v>-2.0777877333723382E-2</v>
      </c>
      <c r="N727" s="1"/>
      <c r="O727" s="2">
        <v>3748.57</v>
      </c>
      <c r="P727" s="12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spans="1:31" ht="15" thickBot="1" x14ac:dyDescent="0.35">
      <c r="A728" s="1">
        <v>44873</v>
      </c>
      <c r="B728">
        <v>14.6</v>
      </c>
      <c r="C728">
        <v>48.21</v>
      </c>
      <c r="D728">
        <v>191.3</v>
      </c>
      <c r="E728">
        <v>366.66</v>
      </c>
      <c r="F728">
        <v>43.75</v>
      </c>
      <c r="G728" s="4"/>
      <c r="H728" s="10">
        <f t="shared" si="70"/>
        <v>2.0979020979020824E-2</v>
      </c>
      <c r="I728" s="10">
        <f t="shared" si="72"/>
        <v>1.4520202020201989E-2</v>
      </c>
      <c r="J728" s="10">
        <f t="shared" si="73"/>
        <v>-2.9328191597320918E-2</v>
      </c>
      <c r="K728" s="10">
        <f t="shared" si="74"/>
        <v>4.3553291149642792E-3</v>
      </c>
      <c r="L728" s="10">
        <f t="shared" si="75"/>
        <v>5.8809293320425837E-2</v>
      </c>
      <c r="M728" s="10">
        <f t="shared" si="71"/>
        <v>5.5978774823999267E-3</v>
      </c>
      <c r="N728" s="1"/>
      <c r="O728" s="2">
        <v>3828.11</v>
      </c>
      <c r="P728" s="12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spans="1:31" ht="15" thickBot="1" x14ac:dyDescent="0.35">
      <c r="A729" s="1">
        <v>44872</v>
      </c>
      <c r="B729">
        <v>14.3</v>
      </c>
      <c r="C729">
        <v>47.52</v>
      </c>
      <c r="D729">
        <v>197.08</v>
      </c>
      <c r="E729">
        <v>365.07</v>
      </c>
      <c r="F729">
        <v>41.32</v>
      </c>
      <c r="G729" s="4"/>
      <c r="H729" s="10">
        <f t="shared" si="70"/>
        <v>9.8870056497175618E-3</v>
      </c>
      <c r="I729" s="10">
        <f t="shared" si="72"/>
        <v>2.1276595744680993E-2</v>
      </c>
      <c r="J729" s="10">
        <f t="shared" si="73"/>
        <v>-5.0079529570540293E-2</v>
      </c>
      <c r="K729" s="10">
        <f t="shared" si="74"/>
        <v>2.1431968887272168E-2</v>
      </c>
      <c r="L729" s="10">
        <f t="shared" si="75"/>
        <v>8.0507440839228117E-3</v>
      </c>
      <c r="M729" s="10">
        <f t="shared" si="71"/>
        <v>9.6139820450598101E-3</v>
      </c>
      <c r="N729" s="1"/>
      <c r="O729" s="2">
        <v>3806.8</v>
      </c>
      <c r="P729" s="12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spans="1:31" ht="15" thickBot="1" x14ac:dyDescent="0.35">
      <c r="A730" s="1">
        <v>44869</v>
      </c>
      <c r="B730">
        <v>14.16</v>
      </c>
      <c r="C730">
        <v>46.53</v>
      </c>
      <c r="D730">
        <v>207.47</v>
      </c>
      <c r="E730">
        <v>357.41</v>
      </c>
      <c r="F730">
        <v>40.99</v>
      </c>
      <c r="G730" s="4"/>
      <c r="H730" s="10">
        <f t="shared" si="70"/>
        <v>5.5141579731743606E-2</v>
      </c>
      <c r="I730" s="10">
        <f t="shared" si="72"/>
        <v>4.773699617203353E-2</v>
      </c>
      <c r="J730" s="10">
        <f t="shared" si="73"/>
        <v>-3.6412614369978225E-2</v>
      </c>
      <c r="K730" s="10">
        <f t="shared" si="74"/>
        <v>-1.1806016368060113E-2</v>
      </c>
      <c r="L730" s="10">
        <f t="shared" si="75"/>
        <v>8.4678486372056216E-2</v>
      </c>
      <c r="M730" s="10">
        <f t="shared" si="71"/>
        <v>1.3618682272863003E-2</v>
      </c>
      <c r="N730" s="1"/>
      <c r="O730" s="2">
        <v>3770.55</v>
      </c>
      <c r="P730" s="12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spans="1:31" ht="15" thickBot="1" x14ac:dyDescent="0.35">
      <c r="A731" s="1">
        <v>44868</v>
      </c>
      <c r="B731">
        <v>13.42</v>
      </c>
      <c r="C731">
        <v>44.41</v>
      </c>
      <c r="D731">
        <v>215.31</v>
      </c>
      <c r="E731">
        <v>361.68</v>
      </c>
      <c r="F731">
        <v>37.79</v>
      </c>
      <c r="G731" s="4"/>
      <c r="H731" s="10">
        <f t="shared" si="70"/>
        <v>1.5128593040847127E-2</v>
      </c>
      <c r="I731" s="10">
        <f t="shared" si="72"/>
        <v>-2.6096491228070229E-2</v>
      </c>
      <c r="J731" s="10">
        <f t="shared" si="73"/>
        <v>1.5350265140943176E-3</v>
      </c>
      <c r="K731" s="10">
        <f t="shared" si="74"/>
        <v>1.893171061528065E-2</v>
      </c>
      <c r="L731" s="10">
        <f t="shared" si="75"/>
        <v>-4.4017202124968402E-2</v>
      </c>
      <c r="M731" s="10">
        <f t="shared" si="71"/>
        <v>-1.0585979163175718E-2</v>
      </c>
      <c r="N731" s="1"/>
      <c r="O731" s="2">
        <v>3719.89</v>
      </c>
      <c r="P731" s="12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spans="1:31" ht="15" thickBot="1" x14ac:dyDescent="0.35">
      <c r="A732" s="1">
        <v>44867</v>
      </c>
      <c r="B732">
        <v>13.22</v>
      </c>
      <c r="C732">
        <v>45.6</v>
      </c>
      <c r="D732">
        <v>214.98</v>
      </c>
      <c r="E732">
        <v>354.96</v>
      </c>
      <c r="F732">
        <v>39.53</v>
      </c>
      <c r="G732" s="4"/>
      <c r="H732" s="10">
        <f t="shared" si="70"/>
        <v>-2.3633677991137247E-2</v>
      </c>
      <c r="I732" s="10">
        <f t="shared" si="72"/>
        <v>-2.5432784783073203E-2</v>
      </c>
      <c r="J732" s="10">
        <f t="shared" si="73"/>
        <v>-5.6360284435080343E-2</v>
      </c>
      <c r="K732" s="10">
        <f t="shared" si="74"/>
        <v>6.7502410800386325E-3</v>
      </c>
      <c r="L732" s="10">
        <f t="shared" si="75"/>
        <v>-5.2265643730520228E-2</v>
      </c>
      <c r="M732" s="10">
        <f t="shared" si="71"/>
        <v>-2.5001944970306722E-2</v>
      </c>
      <c r="N732" s="1"/>
      <c r="O732" s="2">
        <v>3759.69</v>
      </c>
      <c r="P732" s="12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spans="1:31" ht="15" thickBot="1" x14ac:dyDescent="0.35">
      <c r="A733" s="1">
        <v>44866</v>
      </c>
      <c r="B733">
        <v>13.54</v>
      </c>
      <c r="C733">
        <v>46.79</v>
      </c>
      <c r="D733">
        <v>227.82</v>
      </c>
      <c r="E733">
        <v>352.58</v>
      </c>
      <c r="F733">
        <v>41.71</v>
      </c>
      <c r="G733" s="4"/>
      <c r="H733" s="10">
        <f t="shared" si="70"/>
        <v>2.962962962962834E-3</v>
      </c>
      <c r="I733" s="10">
        <f t="shared" si="72"/>
        <v>-4.6798553499255435E-3</v>
      </c>
      <c r="J733" s="10">
        <f t="shared" si="73"/>
        <v>1.2305528698250967E-3</v>
      </c>
      <c r="K733" s="10">
        <f t="shared" si="74"/>
        <v>-2.6264188461432192E-2</v>
      </c>
      <c r="L733" s="10">
        <f t="shared" si="75"/>
        <v>-1.4413988657844934E-2</v>
      </c>
      <c r="M733" s="10">
        <f t="shared" si="71"/>
        <v>-4.10126085362017E-3</v>
      </c>
      <c r="N733" s="1"/>
      <c r="O733" s="2">
        <v>3856.1</v>
      </c>
      <c r="P733" s="12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spans="1:31" ht="15" thickBot="1" x14ac:dyDescent="0.35">
      <c r="A734" s="1">
        <v>44865</v>
      </c>
      <c r="B734">
        <v>13.5</v>
      </c>
      <c r="C734">
        <v>47.01</v>
      </c>
      <c r="D734">
        <v>227.54</v>
      </c>
      <c r="E734">
        <v>362.09</v>
      </c>
      <c r="F734">
        <v>42.32</v>
      </c>
      <c r="G734" s="4"/>
      <c r="H734" s="10">
        <f t="shared" si="70"/>
        <v>-2.386117136659438E-2</v>
      </c>
      <c r="I734" s="10">
        <f t="shared" si="72"/>
        <v>-5.9209135123704515E-3</v>
      </c>
      <c r="J734" s="10">
        <f t="shared" si="73"/>
        <v>-4.2884649046036616E-3</v>
      </c>
      <c r="K734" s="10">
        <f t="shared" si="74"/>
        <v>6.0850236176714922E-3</v>
      </c>
      <c r="L734" s="10">
        <f t="shared" si="75"/>
        <v>-1.2599160055996261E-2</v>
      </c>
      <c r="M734" s="10">
        <f t="shared" si="71"/>
        <v>-7.4543841930141408E-3</v>
      </c>
      <c r="N734" s="1"/>
      <c r="O734" s="2">
        <v>3871.98</v>
      </c>
      <c r="P734" s="12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spans="1:31" ht="15" thickBot="1" x14ac:dyDescent="0.35">
      <c r="A735" s="1">
        <v>44862</v>
      </c>
      <c r="B735">
        <v>13.83</v>
      </c>
      <c r="C735">
        <v>47.29</v>
      </c>
      <c r="D735">
        <v>228.52</v>
      </c>
      <c r="E735">
        <v>359.9</v>
      </c>
      <c r="F735">
        <v>42.86</v>
      </c>
      <c r="G735" s="4"/>
      <c r="H735" s="10">
        <f t="shared" si="70"/>
        <v>4.9317147192716293E-2</v>
      </c>
      <c r="I735" s="10">
        <f t="shared" si="72"/>
        <v>3.8427755819060216E-2</v>
      </c>
      <c r="J735" s="10">
        <f t="shared" si="73"/>
        <v>1.5238349104802484E-2</v>
      </c>
      <c r="K735" s="10">
        <f t="shared" si="74"/>
        <v>1.0018802795161763E-2</v>
      </c>
      <c r="L735" s="10">
        <f t="shared" si="75"/>
        <v>-4.644681839294118E-3</v>
      </c>
      <c r="M735" s="10">
        <f t="shared" si="71"/>
        <v>2.4626375646783716E-2</v>
      </c>
      <c r="N735" s="1"/>
      <c r="O735" s="2">
        <v>3901.06</v>
      </c>
      <c r="P735" s="12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spans="1:31" ht="15" thickBot="1" x14ac:dyDescent="0.35">
      <c r="A736" s="1">
        <v>44861</v>
      </c>
      <c r="B736">
        <v>13.18</v>
      </c>
      <c r="C736">
        <v>45.54</v>
      </c>
      <c r="D736">
        <v>225.09</v>
      </c>
      <c r="E736">
        <v>356.33</v>
      </c>
      <c r="F736">
        <v>43.06</v>
      </c>
      <c r="G736" s="4"/>
      <c r="H736" s="10">
        <f t="shared" si="70"/>
        <v>2.1705426356589008E-2</v>
      </c>
      <c r="I736" s="10">
        <f t="shared" si="72"/>
        <v>-1.2575888985255856E-2</v>
      </c>
      <c r="J736" s="10">
        <f t="shared" si="73"/>
        <v>2.0032051282052876E-3</v>
      </c>
      <c r="K736" s="10">
        <f t="shared" si="74"/>
        <v>-4.2754149667468822E-3</v>
      </c>
      <c r="L736" s="10">
        <f t="shared" si="75"/>
        <v>-1.6221156042951823E-2</v>
      </c>
      <c r="M736" s="10">
        <f t="shared" si="71"/>
        <v>-6.0825980264187507E-3</v>
      </c>
      <c r="N736" s="1"/>
      <c r="O736" s="2">
        <v>3807.3</v>
      </c>
      <c r="P736" s="12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spans="1:31" ht="15" thickBot="1" x14ac:dyDescent="0.35">
      <c r="A737" s="1">
        <v>44860</v>
      </c>
      <c r="B737">
        <v>12.9</v>
      </c>
      <c r="C737">
        <v>46.12</v>
      </c>
      <c r="D737">
        <v>224.64</v>
      </c>
      <c r="E737">
        <v>357.86</v>
      </c>
      <c r="F737">
        <v>43.77</v>
      </c>
      <c r="G737" s="4"/>
      <c r="H737" s="10">
        <f t="shared" si="70"/>
        <v>-2.7149321266968229E-2</v>
      </c>
      <c r="I737" s="10">
        <f t="shared" si="72"/>
        <v>2.3907846120407861E-3</v>
      </c>
      <c r="J737" s="10">
        <f t="shared" si="73"/>
        <v>1.0026527584191314E-2</v>
      </c>
      <c r="K737" s="10">
        <f t="shared" si="74"/>
        <v>1.8644502006774699E-2</v>
      </c>
      <c r="L737" s="10">
        <f t="shared" si="75"/>
        <v>2.4578651685393416E-2</v>
      </c>
      <c r="M737" s="10">
        <f t="shared" si="71"/>
        <v>-7.3877137474703813E-3</v>
      </c>
      <c r="N737" s="1"/>
      <c r="O737" s="2">
        <v>3830.6</v>
      </c>
      <c r="P737" s="12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spans="1:31" ht="15" thickBot="1" x14ac:dyDescent="0.35">
      <c r="A738" s="1">
        <v>44859</v>
      </c>
      <c r="B738">
        <v>13.26</v>
      </c>
      <c r="C738">
        <v>46.01</v>
      </c>
      <c r="D738">
        <v>222.41</v>
      </c>
      <c r="E738">
        <v>351.31</v>
      </c>
      <c r="F738">
        <v>42.72</v>
      </c>
      <c r="G738" s="4"/>
      <c r="H738" s="10">
        <f t="shared" si="70"/>
        <v>5.2380952380952417E-2</v>
      </c>
      <c r="I738" s="10">
        <f t="shared" si="72"/>
        <v>7.8860898138006785E-3</v>
      </c>
      <c r="J738" s="10">
        <f t="shared" si="73"/>
        <v>5.2828402366863925E-2</v>
      </c>
      <c r="K738" s="10">
        <f t="shared" si="74"/>
        <v>9.8016671457314963E-3</v>
      </c>
      <c r="L738" s="10">
        <f t="shared" si="75"/>
        <v>1.5209125475285079E-2</v>
      </c>
      <c r="M738" s="10">
        <f t="shared" si="71"/>
        <v>1.6266649812763712E-2</v>
      </c>
      <c r="N738" s="1"/>
      <c r="O738" s="2">
        <v>3859.11</v>
      </c>
      <c r="P738" s="12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spans="1:31" ht="15" thickBot="1" x14ac:dyDescent="0.35">
      <c r="A739" s="1">
        <v>44858</v>
      </c>
      <c r="B739">
        <v>12.6</v>
      </c>
      <c r="C739">
        <v>45.65</v>
      </c>
      <c r="D739">
        <v>211.25</v>
      </c>
      <c r="E739">
        <v>347.9</v>
      </c>
      <c r="F739">
        <v>42.08</v>
      </c>
      <c r="G739" s="4"/>
      <c r="H739" s="10">
        <f t="shared" si="70"/>
        <v>1.0425020048115297E-2</v>
      </c>
      <c r="I739" s="10">
        <f t="shared" si="72"/>
        <v>1.5121191905714815E-2</v>
      </c>
      <c r="J739" s="10">
        <f t="shared" si="73"/>
        <v>-1.4875955978362221E-2</v>
      </c>
      <c r="K739" s="10">
        <f t="shared" si="74"/>
        <v>2.092320333362685E-2</v>
      </c>
      <c r="L739" s="10">
        <f t="shared" si="75"/>
        <v>-6.8444654236488045E-3</v>
      </c>
      <c r="M739" s="10">
        <f t="shared" si="71"/>
        <v>1.1881953234294862E-2</v>
      </c>
      <c r="N739" s="1"/>
      <c r="O739" s="2">
        <v>3797.34</v>
      </c>
      <c r="P739" s="12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spans="1:31" ht="15" thickBot="1" x14ac:dyDescent="0.35">
      <c r="A740" s="1">
        <v>44855</v>
      </c>
      <c r="B740">
        <v>12.47</v>
      </c>
      <c r="C740">
        <v>44.97</v>
      </c>
      <c r="D740">
        <v>214.44</v>
      </c>
      <c r="E740">
        <v>340.77</v>
      </c>
      <c r="F740">
        <v>42.37</v>
      </c>
      <c r="G740" s="4"/>
      <c r="H740" s="10">
        <f t="shared" si="70"/>
        <v>2.2969647251845915E-2</v>
      </c>
      <c r="I740" s="10">
        <f t="shared" si="72"/>
        <v>4.5084824541017809E-2</v>
      </c>
      <c r="J740" s="10">
        <f t="shared" si="73"/>
        <v>3.4542647626399026E-2</v>
      </c>
      <c r="K740" s="10">
        <f t="shared" si="74"/>
        <v>3.5554745190992776E-2</v>
      </c>
      <c r="L740" s="10">
        <f t="shared" si="75"/>
        <v>2.989790957705396E-2</v>
      </c>
      <c r="M740" s="10">
        <f t="shared" si="71"/>
        <v>2.3724828003862664E-2</v>
      </c>
      <c r="N740" s="1"/>
      <c r="O740" s="2">
        <v>3752.75</v>
      </c>
      <c r="P740" s="12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spans="1:31" ht="15" thickBot="1" x14ac:dyDescent="0.35">
      <c r="A741" s="1">
        <v>44854</v>
      </c>
      <c r="B741">
        <v>12.19</v>
      </c>
      <c r="C741">
        <v>43.03</v>
      </c>
      <c r="D741">
        <v>207.28</v>
      </c>
      <c r="E741">
        <v>329.07</v>
      </c>
      <c r="F741">
        <v>41.14</v>
      </c>
      <c r="G741" s="4"/>
      <c r="H741" s="10">
        <f t="shared" si="70"/>
        <v>1.1618257261410747E-2</v>
      </c>
      <c r="I741" s="10">
        <f t="shared" si="72"/>
        <v>-1.1486331265793681E-2</v>
      </c>
      <c r="J741" s="10">
        <f t="shared" si="73"/>
        <v>-6.6474509097459888E-2</v>
      </c>
      <c r="K741" s="10">
        <f t="shared" si="74"/>
        <v>-6.6810410276663124E-4</v>
      </c>
      <c r="L741" s="10">
        <f t="shared" si="75"/>
        <v>1.9073569482288999E-2</v>
      </c>
      <c r="M741" s="10">
        <f t="shared" si="71"/>
        <v>-7.9509412312320782E-3</v>
      </c>
      <c r="N741" s="1"/>
      <c r="O741" s="2">
        <v>3665.78</v>
      </c>
      <c r="P741" s="12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 spans="1:31" ht="15" thickBot="1" x14ac:dyDescent="0.35">
      <c r="A742" s="1">
        <v>44853</v>
      </c>
      <c r="B742">
        <v>12.05</v>
      </c>
      <c r="C742">
        <v>43.53</v>
      </c>
      <c r="D742">
        <v>222.04</v>
      </c>
      <c r="E742">
        <v>329.29</v>
      </c>
      <c r="F742">
        <v>40.369999999999997</v>
      </c>
      <c r="G742" s="4"/>
      <c r="H742" s="10">
        <f t="shared" si="70"/>
        <v>6.6833751044277356E-3</v>
      </c>
      <c r="I742" s="10">
        <f t="shared" si="72"/>
        <v>1.1499540018400367E-3</v>
      </c>
      <c r="J742" s="10">
        <f t="shared" si="73"/>
        <v>8.401834779054429E-3</v>
      </c>
      <c r="K742" s="10">
        <f t="shared" si="74"/>
        <v>-1.7132794078142166E-2</v>
      </c>
      <c r="L742" s="10">
        <f t="shared" si="75"/>
        <v>-3.1894484412470114E-2</v>
      </c>
      <c r="M742" s="10">
        <f t="shared" si="71"/>
        <v>-6.6720788821446053E-3</v>
      </c>
      <c r="N742" s="1"/>
      <c r="O742" s="2">
        <v>3695.16</v>
      </c>
      <c r="P742" s="12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 spans="1:31" ht="15" thickBot="1" x14ac:dyDescent="0.35">
      <c r="A743" s="1">
        <v>44852</v>
      </c>
      <c r="B743">
        <v>11.97</v>
      </c>
      <c r="C743">
        <v>43.48</v>
      </c>
      <c r="D743">
        <v>220.19</v>
      </c>
      <c r="E743">
        <v>335.03</v>
      </c>
      <c r="F743">
        <v>41.7</v>
      </c>
      <c r="G743" s="4"/>
      <c r="H743" s="10">
        <f t="shared" si="70"/>
        <v>6.728343145500526E-3</v>
      </c>
      <c r="I743" s="10">
        <f t="shared" si="72"/>
        <v>-1.3780431786862835E-3</v>
      </c>
      <c r="J743" s="10">
        <f t="shared" si="73"/>
        <v>3.8294962388876197E-3</v>
      </c>
      <c r="K743" s="10">
        <f t="shared" si="74"/>
        <v>6.8217333814160064E-3</v>
      </c>
      <c r="L743" s="10">
        <f t="shared" si="75"/>
        <v>9.4408133623820056E-3</v>
      </c>
      <c r="M743" s="10">
        <f t="shared" si="71"/>
        <v>1.1427561549232745E-2</v>
      </c>
      <c r="N743" s="1"/>
      <c r="O743" s="2">
        <v>3719.98</v>
      </c>
      <c r="P743" s="12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 spans="1:31" ht="15" thickBot="1" x14ac:dyDescent="0.35">
      <c r="A744" s="1">
        <v>44851</v>
      </c>
      <c r="B744">
        <v>11.89</v>
      </c>
      <c r="C744">
        <v>43.54</v>
      </c>
      <c r="D744">
        <v>219.35</v>
      </c>
      <c r="E744">
        <v>332.76</v>
      </c>
      <c r="F744">
        <v>41.31</v>
      </c>
      <c r="G744" s="4"/>
      <c r="H744" s="10">
        <f t="shared" si="70"/>
        <v>5.8771148708815613E-2</v>
      </c>
      <c r="I744" s="10">
        <f t="shared" si="72"/>
        <v>1.9433387965347659E-2</v>
      </c>
      <c r="J744" s="10">
        <f t="shared" si="73"/>
        <v>7.0052197668178939E-2</v>
      </c>
      <c r="K744" s="10">
        <f t="shared" si="74"/>
        <v>4.1341018135732099E-3</v>
      </c>
      <c r="L744" s="10">
        <f t="shared" si="75"/>
        <v>1.3991163475699508E-2</v>
      </c>
      <c r="M744" s="10">
        <f t="shared" si="71"/>
        <v>2.6480085513260976E-2</v>
      </c>
      <c r="N744" s="1"/>
      <c r="O744" s="2">
        <v>3677.95</v>
      </c>
      <c r="P744" s="12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 spans="1:31" ht="15" thickBot="1" x14ac:dyDescent="0.35">
      <c r="A745" s="1">
        <v>44848</v>
      </c>
      <c r="B745">
        <v>11.23</v>
      </c>
      <c r="C745">
        <v>42.71</v>
      </c>
      <c r="D745">
        <v>204.99</v>
      </c>
      <c r="E745">
        <v>331.39</v>
      </c>
      <c r="F745">
        <v>40.74</v>
      </c>
      <c r="G745" s="4"/>
      <c r="H745" s="10">
        <f t="shared" si="70"/>
        <v>-6.1036789297658878E-2</v>
      </c>
      <c r="I745" s="10">
        <f t="shared" si="72"/>
        <v>-2.4885844748858355E-2</v>
      </c>
      <c r="J745" s="10">
        <f t="shared" si="73"/>
        <v>-7.5455529496662455E-2</v>
      </c>
      <c r="K745" s="10">
        <f t="shared" si="74"/>
        <v>-2.137910267991705E-3</v>
      </c>
      <c r="L745" s="10">
        <f t="shared" si="75"/>
        <v>-2.114368092263319E-2</v>
      </c>
      <c r="M745" s="10">
        <f t="shared" si="71"/>
        <v>-2.3662705624933444E-2</v>
      </c>
      <c r="N745" s="1"/>
      <c r="O745" s="2">
        <v>3583.07</v>
      </c>
      <c r="P745" s="12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 spans="1:31" ht="15" thickBot="1" x14ac:dyDescent="0.35">
      <c r="A746" s="1">
        <v>44847</v>
      </c>
      <c r="B746">
        <v>11.96</v>
      </c>
      <c r="C746">
        <v>43.8</v>
      </c>
      <c r="D746">
        <v>221.72</v>
      </c>
      <c r="E746">
        <v>332.1</v>
      </c>
      <c r="F746">
        <v>41.62</v>
      </c>
      <c r="G746" s="4"/>
      <c r="H746" s="10">
        <f t="shared" si="70"/>
        <v>4.0000000000000036E-2</v>
      </c>
      <c r="I746" s="10">
        <f t="shared" si="72"/>
        <v>1.7185322805387759E-2</v>
      </c>
      <c r="J746" s="10">
        <f t="shared" si="73"/>
        <v>2.0622353157797813E-2</v>
      </c>
      <c r="K746" s="10">
        <f t="shared" si="74"/>
        <v>2.3199926056012732E-2</v>
      </c>
      <c r="L746" s="10">
        <f t="shared" si="75"/>
        <v>-6.9195895967549825E-3</v>
      </c>
      <c r="M746" s="10">
        <f t="shared" si="71"/>
        <v>2.5965675434648228E-2</v>
      </c>
      <c r="N746" s="1"/>
      <c r="O746" s="2">
        <v>3669.91</v>
      </c>
      <c r="P746" s="12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 spans="1:31" ht="15" thickBot="1" x14ac:dyDescent="0.35">
      <c r="A747" s="1">
        <v>44846</v>
      </c>
      <c r="B747">
        <v>11.5</v>
      </c>
      <c r="C747">
        <v>43.06</v>
      </c>
      <c r="D747">
        <v>217.24</v>
      </c>
      <c r="E747">
        <v>324.57</v>
      </c>
      <c r="F747">
        <v>41.91</v>
      </c>
      <c r="G747" s="4"/>
      <c r="H747" s="10">
        <f t="shared" si="70"/>
        <v>-7.7653149266608823E-3</v>
      </c>
      <c r="I747" s="10">
        <f t="shared" si="72"/>
        <v>-4.6425255338899962E-4</v>
      </c>
      <c r="J747" s="10">
        <f t="shared" si="73"/>
        <v>3.4180138568129514E-3</v>
      </c>
      <c r="K747" s="10">
        <f t="shared" si="74"/>
        <v>-9.2490842490843272E-3</v>
      </c>
      <c r="L747" s="10">
        <f t="shared" si="75"/>
        <v>2.1520803443326741E-3</v>
      </c>
      <c r="M747" s="10">
        <f t="shared" si="71"/>
        <v>-3.2907569019515748E-3</v>
      </c>
      <c r="N747" s="1"/>
      <c r="O747" s="2">
        <v>3577.03</v>
      </c>
      <c r="P747" s="12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 spans="1:31" ht="15" thickBot="1" x14ac:dyDescent="0.35">
      <c r="A748" s="1">
        <v>44845</v>
      </c>
      <c r="B748">
        <v>11.59</v>
      </c>
      <c r="C748">
        <v>43.08</v>
      </c>
      <c r="D748">
        <v>216.5</v>
      </c>
      <c r="E748">
        <v>327.60000000000002</v>
      </c>
      <c r="F748">
        <v>41.82</v>
      </c>
      <c r="G748" s="4"/>
      <c r="H748" s="10">
        <f t="shared" si="70"/>
        <v>-6.8551842330762947E-3</v>
      </c>
      <c r="I748" s="10">
        <f t="shared" si="72"/>
        <v>-1.5764222069911016E-2</v>
      </c>
      <c r="J748" s="10">
        <f t="shared" si="73"/>
        <v>-2.8973806960889914E-2</v>
      </c>
      <c r="K748" s="10">
        <f t="shared" si="74"/>
        <v>1.1454506159498612E-2</v>
      </c>
      <c r="L748" s="10">
        <f t="shared" si="75"/>
        <v>-1.0879848628193023E-2</v>
      </c>
      <c r="M748" s="10">
        <f t="shared" si="71"/>
        <v>-6.5192296512833758E-3</v>
      </c>
      <c r="N748" s="1"/>
      <c r="O748" s="2">
        <v>3588.84</v>
      </c>
      <c r="P748" s="12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 spans="1:31" ht="15" thickBot="1" x14ac:dyDescent="0.35">
      <c r="A749" s="1">
        <v>44844</v>
      </c>
      <c r="B749">
        <v>11.67</v>
      </c>
      <c r="C749">
        <v>43.77</v>
      </c>
      <c r="D749">
        <v>222.96</v>
      </c>
      <c r="E749">
        <v>323.89</v>
      </c>
      <c r="F749">
        <v>42.28</v>
      </c>
      <c r="G749" s="4"/>
      <c r="H749" s="10">
        <f t="shared" si="70"/>
        <v>-3.3940397350993412E-2</v>
      </c>
      <c r="I749" s="10">
        <f t="shared" si="72"/>
        <v>-4.9511400651465642E-2</v>
      </c>
      <c r="J749" s="10">
        <f t="shared" si="73"/>
        <v>-4.9311875196123012E-4</v>
      </c>
      <c r="K749" s="10">
        <f t="shared" si="74"/>
        <v>-8.4797648931611569E-3</v>
      </c>
      <c r="L749" s="10">
        <f t="shared" si="75"/>
        <v>-7.5117370892018309E-3</v>
      </c>
      <c r="M749" s="10">
        <f t="shared" si="71"/>
        <v>-7.4924580867443691E-3</v>
      </c>
      <c r="N749" s="1"/>
      <c r="O749" s="2">
        <v>3612.39</v>
      </c>
      <c r="P749" s="12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 spans="1:31" ht="15" thickBot="1" x14ac:dyDescent="0.35">
      <c r="A750" s="1">
        <v>44841</v>
      </c>
      <c r="B750">
        <v>12.08</v>
      </c>
      <c r="C750">
        <v>46.05</v>
      </c>
      <c r="D750">
        <v>223.07</v>
      </c>
      <c r="E750">
        <v>326.66000000000003</v>
      </c>
      <c r="F750">
        <v>42.6</v>
      </c>
      <c r="G750" s="4"/>
      <c r="H750" s="10">
        <f t="shared" si="70"/>
        <v>-7.9969535415080006E-2</v>
      </c>
      <c r="I750" s="10">
        <f t="shared" si="72"/>
        <v>-3.9624608967674724E-2</v>
      </c>
      <c r="J750" s="10">
        <f t="shared" si="73"/>
        <v>-6.3242766556082852E-2</v>
      </c>
      <c r="K750" s="10">
        <f t="shared" si="74"/>
        <v>-1.8891725484306843E-2</v>
      </c>
      <c r="L750" s="10">
        <f t="shared" si="75"/>
        <v>-5.101358877255513E-2</v>
      </c>
      <c r="M750" s="10">
        <f t="shared" si="71"/>
        <v>-2.8003589245083504E-2</v>
      </c>
      <c r="N750" s="1"/>
      <c r="O750" s="2">
        <v>3639.66</v>
      </c>
      <c r="P750" s="12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 spans="1:31" ht="15" thickBot="1" x14ac:dyDescent="0.35">
      <c r="A751" s="1">
        <v>44840</v>
      </c>
      <c r="B751">
        <v>13.13</v>
      </c>
      <c r="C751">
        <v>47.95</v>
      </c>
      <c r="D751">
        <v>238.13</v>
      </c>
      <c r="E751">
        <v>332.95</v>
      </c>
      <c r="F751">
        <v>44.89</v>
      </c>
      <c r="G751" s="4"/>
      <c r="H751" s="10">
        <f t="shared" si="70"/>
        <v>-6.0560181680544556E-3</v>
      </c>
      <c r="I751" s="10">
        <f t="shared" si="72"/>
        <v>-1.093234323432335E-2</v>
      </c>
      <c r="J751" s="10">
        <f t="shared" si="73"/>
        <v>-1.1129105934138961E-2</v>
      </c>
      <c r="K751" s="10">
        <f t="shared" si="74"/>
        <v>3.5264331786124536E-3</v>
      </c>
      <c r="L751" s="10">
        <f t="shared" si="75"/>
        <v>2.2551252847380354E-2</v>
      </c>
      <c r="M751" s="10">
        <f t="shared" si="71"/>
        <v>-1.0245078344716774E-2</v>
      </c>
      <c r="N751" s="1"/>
      <c r="O751" s="2">
        <v>3744.52</v>
      </c>
      <c r="P751" s="12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 spans="1:31" ht="15" thickBot="1" x14ac:dyDescent="0.35">
      <c r="A752" s="1">
        <v>44839</v>
      </c>
      <c r="B752">
        <v>13.21</v>
      </c>
      <c r="C752">
        <v>48.48</v>
      </c>
      <c r="D752">
        <v>240.81</v>
      </c>
      <c r="E752">
        <v>331.78</v>
      </c>
      <c r="F752">
        <v>43.9</v>
      </c>
      <c r="G752" s="4"/>
      <c r="H752" s="10">
        <f t="shared" si="70"/>
        <v>3.0372057706911093E-3</v>
      </c>
      <c r="I752" s="10">
        <f t="shared" si="72"/>
        <v>1.0210460512606767E-2</v>
      </c>
      <c r="J752" s="10">
        <f t="shared" si="73"/>
        <v>-3.4597498396407911E-2</v>
      </c>
      <c r="K752" s="10">
        <f t="shared" si="74"/>
        <v>5.7291824547576198E-3</v>
      </c>
      <c r="L752" s="10">
        <f t="shared" si="75"/>
        <v>-1.4147765551313807E-2</v>
      </c>
      <c r="M752" s="10">
        <f t="shared" si="71"/>
        <v>-2.0179744811957834E-3</v>
      </c>
      <c r="N752" s="1"/>
      <c r="O752" s="2">
        <v>3783.28</v>
      </c>
      <c r="P752" s="12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 spans="1:31" ht="15" thickBot="1" x14ac:dyDescent="0.35">
      <c r="A753" s="1">
        <v>44838</v>
      </c>
      <c r="B753">
        <v>13.17</v>
      </c>
      <c r="C753">
        <v>47.99</v>
      </c>
      <c r="D753">
        <v>249.44</v>
      </c>
      <c r="E753">
        <v>329.89</v>
      </c>
      <c r="F753">
        <v>44.53</v>
      </c>
      <c r="G753" s="4"/>
      <c r="H753" s="10">
        <f t="shared" si="70"/>
        <v>5.2757793764988126E-2</v>
      </c>
      <c r="I753" s="10">
        <f t="shared" si="72"/>
        <v>5.0569176882661937E-2</v>
      </c>
      <c r="J753" s="10">
        <f t="shared" si="73"/>
        <v>2.9042904290428995E-2</v>
      </c>
      <c r="K753" s="10">
        <f t="shared" si="74"/>
        <v>2.5936868294199833E-2</v>
      </c>
      <c r="L753" s="10">
        <f t="shared" si="75"/>
        <v>1.8760009151223889E-2</v>
      </c>
      <c r="M753" s="10">
        <f t="shared" si="71"/>
        <v>3.0583700111188827E-2</v>
      </c>
      <c r="N753" s="1"/>
      <c r="O753" s="2">
        <v>3790.93</v>
      </c>
      <c r="P753" s="12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 spans="1:31" ht="15" thickBot="1" x14ac:dyDescent="0.35">
      <c r="A754" s="1">
        <v>44837</v>
      </c>
      <c r="B754">
        <v>12.51</v>
      </c>
      <c r="C754">
        <v>45.68</v>
      </c>
      <c r="D754">
        <v>242.4</v>
      </c>
      <c r="E754">
        <v>321.55</v>
      </c>
      <c r="F754">
        <v>43.71</v>
      </c>
      <c r="G754" s="4"/>
      <c r="H754" s="10">
        <f t="shared" si="70"/>
        <v>3.0477759472817167E-2</v>
      </c>
      <c r="I754" s="10">
        <f t="shared" si="72"/>
        <v>2.8828828828828756E-2</v>
      </c>
      <c r="J754" s="10">
        <f t="shared" si="73"/>
        <v>-8.6145146088595692E-2</v>
      </c>
      <c r="K754" s="10">
        <f t="shared" si="74"/>
        <v>-5.5667233647750392E-3</v>
      </c>
      <c r="L754" s="10">
        <f t="shared" si="75"/>
        <v>3.9971448965024914E-2</v>
      </c>
      <c r="M754" s="10">
        <f t="shared" si="71"/>
        <v>2.5883947546031072E-2</v>
      </c>
      <c r="N754" s="1"/>
      <c r="O754" s="2">
        <v>3678.43</v>
      </c>
      <c r="P754" s="12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 spans="1:31" ht="15" thickBot="1" x14ac:dyDescent="0.35">
      <c r="A755" s="1">
        <v>44834</v>
      </c>
      <c r="B755">
        <v>12.14</v>
      </c>
      <c r="C755">
        <v>44.4</v>
      </c>
      <c r="D755">
        <v>265.25</v>
      </c>
      <c r="E755">
        <v>323.35000000000002</v>
      </c>
      <c r="F755">
        <v>42.03</v>
      </c>
      <c r="G755" s="4"/>
      <c r="H755" s="10">
        <f t="shared" si="70"/>
        <v>-6.5466448445171688E-3</v>
      </c>
      <c r="I755" s="10">
        <f t="shared" si="72"/>
        <v>-1.3552543879137957E-2</v>
      </c>
      <c r="J755" s="10">
        <f t="shared" si="73"/>
        <v>-1.1036128406845314E-2</v>
      </c>
      <c r="K755" s="10">
        <f t="shared" si="74"/>
        <v>-2.0181206630102033E-2</v>
      </c>
      <c r="L755" s="10">
        <f t="shared" si="75"/>
        <v>6.4655172413794482E-3</v>
      </c>
      <c r="M755" s="10">
        <f t="shared" si="71"/>
        <v>-1.506673588849794E-2</v>
      </c>
      <c r="N755" s="1"/>
      <c r="O755" s="2">
        <v>3585.62</v>
      </c>
      <c r="P755" s="12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 spans="1:31" ht="15" thickBot="1" x14ac:dyDescent="0.35">
      <c r="A756" s="1">
        <v>44833</v>
      </c>
      <c r="B756">
        <v>12.22</v>
      </c>
      <c r="C756">
        <v>45.01</v>
      </c>
      <c r="D756">
        <v>268.20999999999998</v>
      </c>
      <c r="E756">
        <v>330.01</v>
      </c>
      <c r="F756">
        <v>41.76</v>
      </c>
      <c r="G756" s="4"/>
      <c r="H756" s="10">
        <f t="shared" si="70"/>
        <v>-4.0816326530612179E-2</v>
      </c>
      <c r="I756" s="10">
        <f t="shared" si="72"/>
        <v>-3.4120171673819866E-2</v>
      </c>
      <c r="J756" s="10">
        <f t="shared" si="73"/>
        <v>-6.8100482957506814E-2</v>
      </c>
      <c r="K756" s="10">
        <f t="shared" si="74"/>
        <v>-1.3068963454752058E-2</v>
      </c>
      <c r="L756" s="10">
        <f t="shared" si="75"/>
        <v>-1.0191988622896386E-2</v>
      </c>
      <c r="M756" s="10">
        <f t="shared" si="71"/>
        <v>-2.1126419721218426E-2</v>
      </c>
      <c r="N756" s="1"/>
      <c r="O756" s="2">
        <v>3640.47</v>
      </c>
      <c r="P756" s="12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 spans="1:31" ht="15" thickBot="1" x14ac:dyDescent="0.35">
      <c r="A757" s="1">
        <v>44832</v>
      </c>
      <c r="B757">
        <v>12.74</v>
      </c>
      <c r="C757">
        <v>46.6</v>
      </c>
      <c r="D757">
        <v>287.81</v>
      </c>
      <c r="E757">
        <v>334.38</v>
      </c>
      <c r="F757">
        <v>42.19</v>
      </c>
      <c r="G757" s="4"/>
      <c r="H757" s="10">
        <f t="shared" si="70"/>
        <v>2.6591458501208809E-2</v>
      </c>
      <c r="I757" s="10">
        <f t="shared" si="72"/>
        <v>2.7975037658705126E-3</v>
      </c>
      <c r="J757" s="10">
        <f t="shared" si="73"/>
        <v>1.7212129780165508E-2</v>
      </c>
      <c r="K757" s="10">
        <f t="shared" si="74"/>
        <v>7.4831243972999006E-2</v>
      </c>
      <c r="L757" s="10">
        <f t="shared" si="75"/>
        <v>4.7678172336726998E-2</v>
      </c>
      <c r="M757" s="10">
        <f t="shared" si="71"/>
        <v>1.9672140136923533E-2</v>
      </c>
      <c r="N757" s="1"/>
      <c r="O757" s="2">
        <v>3719.04</v>
      </c>
      <c r="P757" s="12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 spans="1:31" ht="15" thickBot="1" x14ac:dyDescent="0.35">
      <c r="A758" s="1">
        <v>44831</v>
      </c>
      <c r="B758">
        <v>12.41</v>
      </c>
      <c r="C758">
        <v>46.47</v>
      </c>
      <c r="D758">
        <v>282.94</v>
      </c>
      <c r="E758">
        <v>311.10000000000002</v>
      </c>
      <c r="F758">
        <v>40.270000000000003</v>
      </c>
      <c r="G758" s="4"/>
      <c r="H758" s="10">
        <f t="shared" si="70"/>
        <v>1.4717906786590351E-2</v>
      </c>
      <c r="I758" s="10">
        <f t="shared" si="72"/>
        <v>5.1914341336793957E-3</v>
      </c>
      <c r="J758" s="10">
        <f t="shared" si="73"/>
        <v>2.5107785949784356E-2</v>
      </c>
      <c r="K758" s="10">
        <f t="shared" si="74"/>
        <v>1.1707317073170742E-2</v>
      </c>
      <c r="L758" s="10">
        <f t="shared" si="75"/>
        <v>-7.8837152007883438E-3</v>
      </c>
      <c r="M758" s="10">
        <f t="shared" si="71"/>
        <v>-2.1203598319033956E-3</v>
      </c>
      <c r="N758" s="1"/>
      <c r="O758" s="2">
        <v>3647.29</v>
      </c>
      <c r="P758" s="12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 spans="1:31" ht="15" thickBot="1" x14ac:dyDescent="0.35">
      <c r="A759" s="1">
        <v>44830</v>
      </c>
      <c r="B759">
        <v>12.23</v>
      </c>
      <c r="C759">
        <v>46.23</v>
      </c>
      <c r="D759">
        <v>276.01</v>
      </c>
      <c r="E759">
        <v>307.5</v>
      </c>
      <c r="F759">
        <v>40.590000000000003</v>
      </c>
      <c r="G759" s="4"/>
      <c r="H759" s="10">
        <f t="shared" si="70"/>
        <v>-2.3162939297124541E-2</v>
      </c>
      <c r="I759" s="10">
        <f t="shared" si="72"/>
        <v>-1.3654789844250059E-2</v>
      </c>
      <c r="J759" s="10">
        <f t="shared" si="73"/>
        <v>2.4697635564594478E-3</v>
      </c>
      <c r="K759" s="10">
        <f t="shared" si="74"/>
        <v>-1.2714313234444163E-2</v>
      </c>
      <c r="L759" s="10">
        <f t="shared" si="75"/>
        <v>-1.5999999999999903E-2</v>
      </c>
      <c r="M759" s="10">
        <f t="shared" si="71"/>
        <v>-1.0340542018774879E-2</v>
      </c>
      <c r="N759" s="1"/>
      <c r="O759" s="2">
        <v>3655.04</v>
      </c>
      <c r="P759" s="12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 spans="1:31" ht="15" thickBot="1" x14ac:dyDescent="0.35">
      <c r="A760" s="1">
        <v>44827</v>
      </c>
      <c r="B760">
        <v>12.52</v>
      </c>
      <c r="C760">
        <v>46.87</v>
      </c>
      <c r="D760">
        <v>275.33</v>
      </c>
      <c r="E760">
        <v>311.45999999999998</v>
      </c>
      <c r="F760">
        <v>41.25</v>
      </c>
      <c r="G760" s="4"/>
      <c r="H760" s="10">
        <f t="shared" si="70"/>
        <v>-3.1847133757962887E-3</v>
      </c>
      <c r="I760" s="10">
        <f t="shared" si="72"/>
        <v>-1.8634840871021741E-2</v>
      </c>
      <c r="J760" s="10">
        <f t="shared" si="73"/>
        <v>-4.5947538029730728E-2</v>
      </c>
      <c r="K760" s="10">
        <f t="shared" si="74"/>
        <v>1.8978994434972751E-3</v>
      </c>
      <c r="L760" s="10">
        <f t="shared" si="75"/>
        <v>-2.9411764705882359E-2</v>
      </c>
      <c r="M760" s="10">
        <f t="shared" si="71"/>
        <v>-1.7232616372049869E-2</v>
      </c>
      <c r="N760" s="1"/>
      <c r="O760" s="2">
        <v>3693.23</v>
      </c>
      <c r="P760" s="12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 spans="1:31" ht="15" thickBot="1" x14ac:dyDescent="0.35">
      <c r="A761" s="1">
        <v>44826</v>
      </c>
      <c r="B761">
        <v>12.56</v>
      </c>
      <c r="C761">
        <v>47.76</v>
      </c>
      <c r="D761">
        <v>288.58999999999997</v>
      </c>
      <c r="E761">
        <v>310.87</v>
      </c>
      <c r="F761">
        <v>42.5</v>
      </c>
      <c r="G761" s="4"/>
      <c r="H761" s="10">
        <f t="shared" si="70"/>
        <v>-5.279034690799389E-2</v>
      </c>
      <c r="I761" s="10">
        <f t="shared" si="72"/>
        <v>-9.3341630367144157E-3</v>
      </c>
      <c r="J761" s="10">
        <f t="shared" si="73"/>
        <v>-4.0591755319149048E-2</v>
      </c>
      <c r="K761" s="10">
        <f t="shared" si="74"/>
        <v>4.85361575822989E-2</v>
      </c>
      <c r="L761" s="10">
        <f t="shared" si="75"/>
        <v>2.3584905660378741E-3</v>
      </c>
      <c r="M761" s="10">
        <f t="shared" si="71"/>
        <v>-8.4275962880581146E-3</v>
      </c>
      <c r="N761" s="1"/>
      <c r="O761" s="2">
        <v>3757.99</v>
      </c>
      <c r="P761" s="12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 spans="1:31" ht="15" thickBot="1" x14ac:dyDescent="0.35">
      <c r="A762" s="1">
        <v>44825</v>
      </c>
      <c r="B762">
        <v>13.26</v>
      </c>
      <c r="C762">
        <v>48.21</v>
      </c>
      <c r="D762">
        <v>300.8</v>
      </c>
      <c r="E762">
        <v>296.48</v>
      </c>
      <c r="F762">
        <v>42.4</v>
      </c>
      <c r="G762" s="4"/>
      <c r="H762" s="10">
        <f t="shared" si="70"/>
        <v>6.0698027314112224E-3</v>
      </c>
      <c r="I762" s="10">
        <f t="shared" si="72"/>
        <v>-2.2307848306631572E-2</v>
      </c>
      <c r="J762" s="10">
        <f t="shared" si="73"/>
        <v>-2.5685874388624352E-2</v>
      </c>
      <c r="K762" s="10">
        <f t="shared" si="74"/>
        <v>-1.7399661949424994E-2</v>
      </c>
      <c r="L762" s="10">
        <f t="shared" si="75"/>
        <v>-9.3457943925233655E-3</v>
      </c>
      <c r="M762" s="10">
        <f t="shared" si="71"/>
        <v>-1.7116493297336777E-2</v>
      </c>
      <c r="N762" s="1"/>
      <c r="O762" s="2">
        <v>3789.93</v>
      </c>
      <c r="P762" s="12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 spans="1:31" ht="15" thickBot="1" x14ac:dyDescent="0.35">
      <c r="A763" s="1">
        <v>44824</v>
      </c>
      <c r="B763">
        <v>13.18</v>
      </c>
      <c r="C763">
        <v>49.31</v>
      </c>
      <c r="D763">
        <v>308.73</v>
      </c>
      <c r="E763">
        <v>301.73</v>
      </c>
      <c r="F763">
        <v>42.8</v>
      </c>
      <c r="G763" s="4"/>
      <c r="H763" s="10">
        <f t="shared" si="70"/>
        <v>-1.4947683109118204E-2</v>
      </c>
      <c r="I763" s="10">
        <f t="shared" si="72"/>
        <v>-1.7337584695097608E-2</v>
      </c>
      <c r="J763" s="10">
        <f t="shared" si="73"/>
        <v>-1.1000744167987131E-3</v>
      </c>
      <c r="K763" s="10">
        <f t="shared" si="74"/>
        <v>-1.1013143662525704E-2</v>
      </c>
      <c r="L763" s="10">
        <f t="shared" si="75"/>
        <v>-3.3205330923876342E-2</v>
      </c>
      <c r="M763" s="10">
        <f t="shared" si="71"/>
        <v>-1.1272112803181633E-2</v>
      </c>
      <c r="N763" s="1"/>
      <c r="O763" s="2">
        <v>3855.93</v>
      </c>
      <c r="P763" s="12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 spans="1:31" ht="15" thickBot="1" x14ac:dyDescent="0.35">
      <c r="A764" s="1">
        <v>44823</v>
      </c>
      <c r="B764">
        <v>13.38</v>
      </c>
      <c r="C764">
        <v>50.18</v>
      </c>
      <c r="D764">
        <v>309.07</v>
      </c>
      <c r="E764">
        <v>305.08999999999997</v>
      </c>
      <c r="F764">
        <v>44.27</v>
      </c>
      <c r="G764" s="4"/>
      <c r="H764" s="10">
        <f t="shared" si="70"/>
        <v>1.3636363636363669E-2</v>
      </c>
      <c r="I764" s="10">
        <f t="shared" si="72"/>
        <v>-1.3930348258706093E-3</v>
      </c>
      <c r="J764" s="10">
        <f t="shared" si="73"/>
        <v>1.8856106807318085E-2</v>
      </c>
      <c r="K764" s="10">
        <f t="shared" si="74"/>
        <v>-1.230211402117265E-2</v>
      </c>
      <c r="L764" s="10">
        <f t="shared" si="75"/>
        <v>1.2811713566689642E-2</v>
      </c>
      <c r="M764" s="10">
        <f t="shared" si="71"/>
        <v>6.8571487583035662E-3</v>
      </c>
      <c r="N764" s="1"/>
      <c r="O764" s="2">
        <v>3899.89</v>
      </c>
      <c r="P764" s="12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 spans="1:31" ht="15" thickBot="1" x14ac:dyDescent="0.35">
      <c r="A765" s="1">
        <v>44820</v>
      </c>
      <c r="B765">
        <v>13.2</v>
      </c>
      <c r="C765">
        <v>50.25</v>
      </c>
      <c r="D765">
        <v>303.35000000000002</v>
      </c>
      <c r="E765">
        <v>308.89</v>
      </c>
      <c r="F765">
        <v>43.71</v>
      </c>
      <c r="G765" s="4"/>
      <c r="H765" s="10">
        <f t="shared" si="70"/>
        <v>2.088167053364276E-2</v>
      </c>
      <c r="I765" s="10">
        <f t="shared" si="72"/>
        <v>4.7990401919617565E-3</v>
      </c>
      <c r="J765" s="10">
        <f t="shared" si="73"/>
        <v>-1.3168724279835065E-3</v>
      </c>
      <c r="K765" s="10">
        <f t="shared" si="74"/>
        <v>-1.8741719714351346E-3</v>
      </c>
      <c r="L765" s="10">
        <f t="shared" si="75"/>
        <v>3.0896226415094485E-2</v>
      </c>
      <c r="M765" s="10">
        <f t="shared" si="71"/>
        <v>-7.1821292629474787E-3</v>
      </c>
      <c r="N765" s="1"/>
      <c r="O765" s="2">
        <v>3873.33</v>
      </c>
      <c r="P765" s="12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 spans="1:31" ht="15" thickBot="1" x14ac:dyDescent="0.35">
      <c r="A766" s="1">
        <v>44819</v>
      </c>
      <c r="B766">
        <v>12.93</v>
      </c>
      <c r="C766">
        <v>50.01</v>
      </c>
      <c r="D766">
        <v>303.75</v>
      </c>
      <c r="E766">
        <v>309.47000000000003</v>
      </c>
      <c r="F766">
        <v>42.4</v>
      </c>
      <c r="G766" s="4"/>
      <c r="H766" s="10">
        <f t="shared" si="70"/>
        <v>-1.523229246001534E-2</v>
      </c>
      <c r="I766" s="10">
        <f t="shared" si="72"/>
        <v>-2.0947533281127639E-2</v>
      </c>
      <c r="J766" s="10">
        <f t="shared" si="73"/>
        <v>3.7672251412708135E-3</v>
      </c>
      <c r="K766" s="10">
        <f t="shared" si="74"/>
        <v>-4.5218177707428975E-4</v>
      </c>
      <c r="L766" s="10">
        <f t="shared" si="75"/>
        <v>-1.2345679012345734E-2</v>
      </c>
      <c r="M766" s="10">
        <f t="shared" si="71"/>
        <v>-1.1317761485652666E-2</v>
      </c>
      <c r="N766" s="1"/>
      <c r="O766" s="2">
        <v>3901.35</v>
      </c>
      <c r="P766" s="12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 spans="1:31" ht="15" thickBot="1" x14ac:dyDescent="0.35">
      <c r="A767" s="1">
        <v>44818</v>
      </c>
      <c r="B767">
        <v>13.13</v>
      </c>
      <c r="C767">
        <v>51.08</v>
      </c>
      <c r="D767">
        <v>302.61</v>
      </c>
      <c r="E767">
        <v>309.61</v>
      </c>
      <c r="F767">
        <v>42.93</v>
      </c>
      <c r="G767" s="4"/>
      <c r="H767" s="10">
        <f t="shared" si="70"/>
        <v>0</v>
      </c>
      <c r="I767" s="10">
        <f t="shared" si="72"/>
        <v>1.4095691880087413E-2</v>
      </c>
      <c r="J767" s="10">
        <f t="shared" si="73"/>
        <v>3.5874439461883512E-2</v>
      </c>
      <c r="K767" s="10">
        <f t="shared" si="74"/>
        <v>1.0212738188462467E-2</v>
      </c>
      <c r="L767" s="10">
        <f t="shared" si="75"/>
        <v>-2.3239600278875949E-3</v>
      </c>
      <c r="M767" s="10">
        <f t="shared" si="71"/>
        <v>3.3869946525153516E-3</v>
      </c>
      <c r="N767" s="1"/>
      <c r="O767" s="2">
        <v>3946.01</v>
      </c>
      <c r="P767" s="12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 spans="1:31" ht="15" thickBot="1" x14ac:dyDescent="0.35">
      <c r="A768" s="1">
        <v>44817</v>
      </c>
      <c r="B768">
        <v>13.13</v>
      </c>
      <c r="C768">
        <v>50.37</v>
      </c>
      <c r="D768">
        <v>292.13</v>
      </c>
      <c r="E768">
        <v>306.48</v>
      </c>
      <c r="F768">
        <v>43.03</v>
      </c>
      <c r="G768" s="4"/>
      <c r="H768" s="10">
        <f t="shared" si="70"/>
        <v>-9.5106822880771769E-2</v>
      </c>
      <c r="I768" s="10">
        <f t="shared" si="72"/>
        <v>-4.8006048006048019E-2</v>
      </c>
      <c r="J768" s="10">
        <f t="shared" si="73"/>
        <v>-4.0371854674463026E-2</v>
      </c>
      <c r="K768" s="10">
        <f t="shared" si="74"/>
        <v>-2.7726667089651658E-2</v>
      </c>
      <c r="L768" s="10">
        <f t="shared" si="75"/>
        <v>-2.093287827076229E-2</v>
      </c>
      <c r="M768" s="10">
        <f t="shared" si="71"/>
        <v>-4.3236562775976095E-2</v>
      </c>
      <c r="N768" s="1"/>
      <c r="O768" s="2">
        <v>3932.69</v>
      </c>
      <c r="P768" s="12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 spans="1:31" ht="15" thickBot="1" x14ac:dyDescent="0.35">
      <c r="A769" s="1">
        <v>44816</v>
      </c>
      <c r="B769">
        <v>14.51</v>
      </c>
      <c r="C769">
        <v>52.91</v>
      </c>
      <c r="D769">
        <v>304.42</v>
      </c>
      <c r="E769">
        <v>315.22000000000003</v>
      </c>
      <c r="F769">
        <v>43.95</v>
      </c>
      <c r="G769" s="4"/>
      <c r="H769" s="10">
        <f t="shared" si="70"/>
        <v>8.3391243919388458E-3</v>
      </c>
      <c r="I769" s="10">
        <f t="shared" si="72"/>
        <v>1.2825421133231041E-2</v>
      </c>
      <c r="J769" s="10">
        <f t="shared" si="73"/>
        <v>1.5816871329418003E-2</v>
      </c>
      <c r="K769" s="10">
        <f t="shared" si="74"/>
        <v>-7.8061063896757155E-3</v>
      </c>
      <c r="L769" s="10">
        <f t="shared" si="75"/>
        <v>1.8068102849200907E-2</v>
      </c>
      <c r="M769" s="10">
        <f t="shared" si="71"/>
        <v>1.058426104401855E-2</v>
      </c>
      <c r="N769" s="1"/>
      <c r="O769" s="2">
        <v>4110.41</v>
      </c>
      <c r="P769" s="12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 spans="1:31" ht="15" thickBot="1" x14ac:dyDescent="0.35">
      <c r="A770" s="1">
        <v>44813</v>
      </c>
      <c r="B770">
        <v>14.39</v>
      </c>
      <c r="C770">
        <v>52.24</v>
      </c>
      <c r="D770">
        <v>299.68</v>
      </c>
      <c r="E770">
        <v>317.7</v>
      </c>
      <c r="F770">
        <v>43.17</v>
      </c>
      <c r="G770" s="4"/>
      <c r="H770" s="10">
        <f t="shared" si="70"/>
        <v>2.8591851322373074E-2</v>
      </c>
      <c r="I770" s="10">
        <f t="shared" si="72"/>
        <v>2.0511818714592733E-2</v>
      </c>
      <c r="J770" s="10">
        <f t="shared" si="73"/>
        <v>3.6022955126875589E-2</v>
      </c>
      <c r="K770" s="10">
        <f t="shared" si="74"/>
        <v>6.9730586370839731E-3</v>
      </c>
      <c r="L770" s="10">
        <f t="shared" si="75"/>
        <v>1.840056617126673E-2</v>
      </c>
      <c r="M770" s="10">
        <f t="shared" si="71"/>
        <v>1.5271405678227268E-2</v>
      </c>
      <c r="N770" s="1"/>
      <c r="O770" s="2">
        <v>4067.36</v>
      </c>
      <c r="P770" s="12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 spans="1:31" ht="15" thickBot="1" x14ac:dyDescent="0.35">
      <c r="A771" s="1">
        <v>44812</v>
      </c>
      <c r="B771">
        <v>13.99</v>
      </c>
      <c r="C771">
        <v>51.19</v>
      </c>
      <c r="D771">
        <v>289.26</v>
      </c>
      <c r="E771">
        <v>315.5</v>
      </c>
      <c r="F771">
        <v>42.39</v>
      </c>
      <c r="G771" s="4"/>
      <c r="H771" s="10">
        <f t="shared" si="70"/>
        <v>2.0423048869438354E-2</v>
      </c>
      <c r="I771" s="10">
        <f t="shared" si="72"/>
        <v>1.34626806572955E-2</v>
      </c>
      <c r="J771" s="10">
        <f t="shared" si="73"/>
        <v>1.9598167077899298E-2</v>
      </c>
      <c r="K771" s="10">
        <f t="shared" si="74"/>
        <v>1.2516046213093546E-2</v>
      </c>
      <c r="L771" s="10">
        <f t="shared" si="75"/>
        <v>9.4451003541906609E-4</v>
      </c>
      <c r="M771" s="10">
        <f t="shared" si="71"/>
        <v>6.6107686934497867E-3</v>
      </c>
      <c r="N771" s="1"/>
      <c r="O771" s="2">
        <v>4006.18</v>
      </c>
      <c r="P771" s="12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 spans="1:31" ht="15" thickBot="1" x14ac:dyDescent="0.35">
      <c r="A772" s="1">
        <v>44811</v>
      </c>
      <c r="B772">
        <v>13.71</v>
      </c>
      <c r="C772">
        <v>50.51</v>
      </c>
      <c r="D772">
        <v>283.7</v>
      </c>
      <c r="E772">
        <v>311.60000000000002</v>
      </c>
      <c r="F772">
        <v>42.35</v>
      </c>
      <c r="G772" s="4"/>
      <c r="H772" s="10">
        <f t="shared" ref="H772:H835" si="76">(B772/B773)-1</f>
        <v>1.7817371937639104E-2</v>
      </c>
      <c r="I772" s="10">
        <f t="shared" si="72"/>
        <v>1.384985949417894E-2</v>
      </c>
      <c r="J772" s="10">
        <f t="shared" si="73"/>
        <v>3.3816777202827719E-2</v>
      </c>
      <c r="K772" s="10">
        <f t="shared" si="74"/>
        <v>1.5579166938270106E-2</v>
      </c>
      <c r="L772" s="10">
        <f t="shared" si="75"/>
        <v>1.5344042196115959E-2</v>
      </c>
      <c r="M772" s="10">
        <f t="shared" ref="M772:M835" si="77">(O772/O773)-1</f>
        <v>1.8340971140093032E-2</v>
      </c>
      <c r="N772" s="1"/>
      <c r="O772" s="2">
        <v>3979.87</v>
      </c>
      <c r="P772" s="12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 spans="1:31" ht="15" thickBot="1" x14ac:dyDescent="0.35">
      <c r="A773" s="1">
        <v>44810</v>
      </c>
      <c r="B773">
        <v>13.47</v>
      </c>
      <c r="C773">
        <v>49.82</v>
      </c>
      <c r="D773">
        <v>274.42</v>
      </c>
      <c r="E773">
        <v>306.82</v>
      </c>
      <c r="F773">
        <v>41.71</v>
      </c>
      <c r="G773" s="4"/>
      <c r="H773" s="10">
        <f t="shared" si="76"/>
        <v>-1.318681318681314E-2</v>
      </c>
      <c r="I773" s="10">
        <f t="shared" si="72"/>
        <v>-3.9984006397441041E-3</v>
      </c>
      <c r="J773" s="10">
        <f t="shared" si="73"/>
        <v>1.5580474445801462E-2</v>
      </c>
      <c r="K773" s="10">
        <f t="shared" si="74"/>
        <v>1.8219228088806272E-2</v>
      </c>
      <c r="L773" s="10">
        <f t="shared" si="75"/>
        <v>9.5992320614346482E-4</v>
      </c>
      <c r="M773" s="10">
        <f t="shared" si="77"/>
        <v>-4.095039574340209E-3</v>
      </c>
      <c r="N773" s="1"/>
      <c r="O773" s="2">
        <v>3908.19</v>
      </c>
      <c r="P773" s="12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 spans="1:31" ht="15" thickBot="1" x14ac:dyDescent="0.35">
      <c r="A774" s="1">
        <v>44806</v>
      </c>
      <c r="B774">
        <v>13.65</v>
      </c>
      <c r="C774">
        <v>50.02</v>
      </c>
      <c r="D774">
        <v>270.20999999999998</v>
      </c>
      <c r="E774">
        <v>301.33</v>
      </c>
      <c r="F774">
        <v>41.67</v>
      </c>
      <c r="G774" s="4"/>
      <c r="H774" s="10">
        <f t="shared" si="76"/>
        <v>-2.0803443328550886E-2</v>
      </c>
      <c r="I774" s="10">
        <f t="shared" si="72"/>
        <v>1.6666666666666607E-2</v>
      </c>
      <c r="J774" s="10">
        <f t="shared" si="73"/>
        <v>-2.5075768509164598E-2</v>
      </c>
      <c r="K774" s="10">
        <f t="shared" si="74"/>
        <v>-2.5232102998738459E-2</v>
      </c>
      <c r="L774" s="10">
        <f t="shared" si="75"/>
        <v>1.8577364947445663E-2</v>
      </c>
      <c r="M774" s="10">
        <f t="shared" si="77"/>
        <v>-1.0736478566116592E-2</v>
      </c>
      <c r="N774" s="1"/>
      <c r="O774" s="2">
        <v>3924.26</v>
      </c>
      <c r="P774" s="12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 spans="1:31" ht="15" thickBot="1" x14ac:dyDescent="0.35">
      <c r="A775" s="1">
        <v>44805</v>
      </c>
      <c r="B775">
        <v>13.94</v>
      </c>
      <c r="C775">
        <v>49.2</v>
      </c>
      <c r="D775">
        <v>277.16000000000003</v>
      </c>
      <c r="E775">
        <v>309.13</v>
      </c>
      <c r="F775">
        <v>40.909999999999997</v>
      </c>
      <c r="G775" s="4"/>
      <c r="H775" s="10">
        <f t="shared" si="76"/>
        <v>-7.6209410205434036E-2</v>
      </c>
      <c r="I775" s="10">
        <f t="shared" si="72"/>
        <v>-1.4225606090963572E-2</v>
      </c>
      <c r="J775" s="10">
        <f t="shared" si="73"/>
        <v>5.623888828417023E-3</v>
      </c>
      <c r="K775" s="10">
        <f t="shared" si="74"/>
        <v>2.622580752249104E-2</v>
      </c>
      <c r="L775" s="10">
        <f t="shared" si="75"/>
        <v>-1.0880077369439189E-2</v>
      </c>
      <c r="M775" s="10">
        <f t="shared" si="77"/>
        <v>2.9962073324905081E-3</v>
      </c>
      <c r="N775" s="1"/>
      <c r="O775" s="2">
        <v>3966.85</v>
      </c>
      <c r="P775" s="12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 spans="1:31" ht="15" thickBot="1" x14ac:dyDescent="0.35">
      <c r="A776" s="1">
        <v>44804</v>
      </c>
      <c r="B776">
        <v>15.09</v>
      </c>
      <c r="C776">
        <v>49.91</v>
      </c>
      <c r="D776">
        <v>275.61</v>
      </c>
      <c r="E776">
        <v>301.23</v>
      </c>
      <c r="F776">
        <v>41.36</v>
      </c>
      <c r="G776" s="4"/>
      <c r="H776" s="10">
        <f t="shared" si="76"/>
        <v>-2.4563671622495176E-2</v>
      </c>
      <c r="I776" s="10">
        <f t="shared" si="72"/>
        <v>-1.4415481832543486E-2</v>
      </c>
      <c r="J776" s="10">
        <f t="shared" si="73"/>
        <v>-7.5261073100467701E-3</v>
      </c>
      <c r="K776" s="10">
        <f t="shared" si="74"/>
        <v>-1.8922615945805132E-2</v>
      </c>
      <c r="L776" s="10">
        <f t="shared" si="75"/>
        <v>-1.9905213270142275E-2</v>
      </c>
      <c r="M776" s="10">
        <f t="shared" si="77"/>
        <v>-7.8170469825595834E-3</v>
      </c>
      <c r="N776" s="1"/>
      <c r="O776" s="2">
        <v>3955</v>
      </c>
      <c r="P776" s="12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 spans="1:31" ht="15" thickBot="1" x14ac:dyDescent="0.35">
      <c r="A777" s="1">
        <v>44803</v>
      </c>
      <c r="B777">
        <v>15.47</v>
      </c>
      <c r="C777">
        <v>50.64</v>
      </c>
      <c r="D777">
        <v>277.7</v>
      </c>
      <c r="E777">
        <v>307.04000000000002</v>
      </c>
      <c r="F777">
        <v>42.2</v>
      </c>
      <c r="G777" s="4"/>
      <c r="H777" s="10">
        <f t="shared" si="76"/>
        <v>-2.0886075949367089E-2</v>
      </c>
      <c r="I777" s="10">
        <f t="shared" si="72"/>
        <v>-1.5169194865811031E-2</v>
      </c>
      <c r="J777" s="10">
        <f t="shared" si="73"/>
        <v>-2.4998244505301637E-2</v>
      </c>
      <c r="K777" s="10">
        <f t="shared" si="74"/>
        <v>-1.0027406093825464E-2</v>
      </c>
      <c r="L777" s="10">
        <f t="shared" si="75"/>
        <v>-1.4249007241298739E-2</v>
      </c>
      <c r="M777" s="10">
        <f t="shared" si="77"/>
        <v>-1.1028107408059928E-2</v>
      </c>
      <c r="N777" s="1"/>
      <c r="O777" s="2">
        <v>3986.16</v>
      </c>
      <c r="P777" s="12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 spans="1:31" ht="15" thickBot="1" x14ac:dyDescent="0.35">
      <c r="A778" s="1">
        <v>44802</v>
      </c>
      <c r="B778">
        <v>15.8</v>
      </c>
      <c r="C778">
        <v>51.42</v>
      </c>
      <c r="D778">
        <v>284.82</v>
      </c>
      <c r="E778">
        <v>310.14999999999998</v>
      </c>
      <c r="F778">
        <v>42.81</v>
      </c>
      <c r="G778" s="4"/>
      <c r="H778" s="10">
        <f t="shared" si="76"/>
        <v>-2.8290282902829089E-2</v>
      </c>
      <c r="I778" s="10">
        <f t="shared" si="72"/>
        <v>-1.2862353618736888E-2</v>
      </c>
      <c r="J778" s="10">
        <f t="shared" si="73"/>
        <v>-1.1350619598042178E-2</v>
      </c>
      <c r="K778" s="10">
        <f t="shared" si="74"/>
        <v>-1.7144124730637644E-2</v>
      </c>
      <c r="L778" s="10">
        <f t="shared" si="75"/>
        <v>-9.4863489125404099E-3</v>
      </c>
      <c r="M778" s="10">
        <f t="shared" si="77"/>
        <v>-6.6664037893761074E-3</v>
      </c>
      <c r="N778" s="1"/>
      <c r="O778" s="2">
        <v>4030.61</v>
      </c>
      <c r="P778" s="12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 spans="1:31" ht="15" thickBot="1" x14ac:dyDescent="0.35">
      <c r="A779" s="1">
        <v>44799</v>
      </c>
      <c r="B779">
        <v>16.260000000000002</v>
      </c>
      <c r="C779">
        <v>52.09</v>
      </c>
      <c r="D779">
        <v>288.08999999999997</v>
      </c>
      <c r="E779">
        <v>315.56</v>
      </c>
      <c r="F779">
        <v>43.22</v>
      </c>
      <c r="G779" s="4"/>
      <c r="H779" s="10">
        <f t="shared" si="76"/>
        <v>-9.2127303182579445E-2</v>
      </c>
      <c r="I779" s="10">
        <f t="shared" si="72"/>
        <v>-5.308125795309937E-2</v>
      </c>
      <c r="J779" s="10">
        <f t="shared" si="73"/>
        <v>-2.6953085418988776E-2</v>
      </c>
      <c r="K779" s="10">
        <f t="shared" si="74"/>
        <v>-2.3457324998452656E-2</v>
      </c>
      <c r="L779" s="10">
        <f t="shared" si="75"/>
        <v>-4.2534337616304874E-2</v>
      </c>
      <c r="M779" s="10">
        <f t="shared" si="77"/>
        <v>-3.3688010821315006E-2</v>
      </c>
      <c r="N779" s="1"/>
      <c r="O779" s="2">
        <v>4057.66</v>
      </c>
      <c r="P779" s="12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 spans="1:31" ht="15" thickBot="1" x14ac:dyDescent="0.35">
      <c r="A780" s="1">
        <v>44798</v>
      </c>
      <c r="B780">
        <v>17.91</v>
      </c>
      <c r="C780">
        <v>55.01</v>
      </c>
      <c r="D780">
        <v>296.07</v>
      </c>
      <c r="E780">
        <v>323.14</v>
      </c>
      <c r="F780">
        <v>45.14</v>
      </c>
      <c r="G780" s="4"/>
      <c r="H780" s="10">
        <f t="shared" si="76"/>
        <v>4.006968641114983E-2</v>
      </c>
      <c r="I780" s="10">
        <f t="shared" si="72"/>
        <v>3.6360211002260723E-2</v>
      </c>
      <c r="J780" s="10">
        <f t="shared" si="73"/>
        <v>-3.4668461797375816E-3</v>
      </c>
      <c r="K780" s="10">
        <f t="shared" si="74"/>
        <v>1.3391037099758529E-2</v>
      </c>
      <c r="L780" s="10">
        <f t="shared" si="75"/>
        <v>7.5892857142858539E-3</v>
      </c>
      <c r="M780" s="10">
        <f t="shared" si="77"/>
        <v>1.4091582000449021E-2</v>
      </c>
      <c r="N780" s="1"/>
      <c r="O780" s="2">
        <v>4199.12</v>
      </c>
      <c r="P780" s="12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 spans="1:31" ht="15" thickBot="1" x14ac:dyDescent="0.35">
      <c r="A781" s="1">
        <v>44797</v>
      </c>
      <c r="B781">
        <v>17.22</v>
      </c>
      <c r="C781">
        <v>53.08</v>
      </c>
      <c r="D781">
        <v>297.10000000000002</v>
      </c>
      <c r="E781">
        <v>318.87</v>
      </c>
      <c r="F781">
        <v>44.8</v>
      </c>
      <c r="G781" s="4"/>
      <c r="H781" s="10">
        <f t="shared" si="76"/>
        <v>2.3282887077997749E-3</v>
      </c>
      <c r="I781" s="10">
        <f t="shared" si="72"/>
        <v>1.8875047187618677E-3</v>
      </c>
      <c r="J781" s="10">
        <f t="shared" si="73"/>
        <v>2.1926125822231413E-3</v>
      </c>
      <c r="K781" s="10">
        <f t="shared" si="74"/>
        <v>1.1964455728340262E-2</v>
      </c>
      <c r="L781" s="10">
        <f t="shared" si="75"/>
        <v>5.6116722783390305E-3</v>
      </c>
      <c r="M781" s="10">
        <f t="shared" si="77"/>
        <v>2.9161509713642175E-3</v>
      </c>
      <c r="N781" s="1"/>
      <c r="O781" s="2">
        <v>4140.7700000000004</v>
      </c>
      <c r="P781" s="12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 spans="1:31" ht="15" thickBot="1" x14ac:dyDescent="0.35">
      <c r="A782" s="1">
        <v>44796</v>
      </c>
      <c r="B782">
        <v>17.18</v>
      </c>
      <c r="C782">
        <v>52.98</v>
      </c>
      <c r="D782">
        <v>296.45</v>
      </c>
      <c r="E782">
        <v>315.10000000000002</v>
      </c>
      <c r="F782">
        <v>44.55</v>
      </c>
      <c r="G782" s="4"/>
      <c r="H782" s="10">
        <f t="shared" si="76"/>
        <v>8.8079859072225375E-3</v>
      </c>
      <c r="I782" s="10">
        <f t="shared" si="72"/>
        <v>1.8910741301056966E-3</v>
      </c>
      <c r="J782" s="10">
        <f t="shared" si="73"/>
        <v>2.2558725121589296E-2</v>
      </c>
      <c r="K782" s="10">
        <f t="shared" si="74"/>
        <v>-2.4760136180749015E-2</v>
      </c>
      <c r="L782" s="10">
        <f t="shared" si="75"/>
        <v>1.6659059790050224E-2</v>
      </c>
      <c r="M782" s="10">
        <f t="shared" si="77"/>
        <v>-2.2378014446627903E-3</v>
      </c>
      <c r="N782" s="1"/>
      <c r="O782" s="2">
        <v>4128.7299999999996</v>
      </c>
      <c r="P782" s="12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 spans="1:31" ht="15" thickBot="1" x14ac:dyDescent="0.35">
      <c r="A783" s="1">
        <v>44795</v>
      </c>
      <c r="B783">
        <v>17.03</v>
      </c>
      <c r="C783">
        <v>52.88</v>
      </c>
      <c r="D783">
        <v>289.91000000000003</v>
      </c>
      <c r="E783">
        <v>323.10000000000002</v>
      </c>
      <c r="F783">
        <v>43.82</v>
      </c>
      <c r="G783" s="4"/>
      <c r="H783" s="10">
        <f t="shared" si="76"/>
        <v>-4.5938375350140115E-2</v>
      </c>
      <c r="I783" s="10">
        <f t="shared" si="72"/>
        <v>-3.5740335521517119E-2</v>
      </c>
      <c r="J783" s="10">
        <f t="shared" si="73"/>
        <v>-2.2786260828529969E-2</v>
      </c>
      <c r="K783" s="10">
        <f t="shared" si="74"/>
        <v>1.0223998512874921E-3</v>
      </c>
      <c r="L783" s="10">
        <f t="shared" si="75"/>
        <v>6.6620721341603684E-3</v>
      </c>
      <c r="M783" s="10">
        <f t="shared" si="77"/>
        <v>-2.1400124867564707E-2</v>
      </c>
      <c r="N783" s="1"/>
      <c r="O783" s="2">
        <v>4137.99</v>
      </c>
      <c r="P783" s="12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 spans="1:31" ht="15" thickBot="1" x14ac:dyDescent="0.35">
      <c r="A784" s="1">
        <v>44792</v>
      </c>
      <c r="B784">
        <v>17.850000000000001</v>
      </c>
      <c r="C784">
        <v>54.84</v>
      </c>
      <c r="D784">
        <v>296.67</v>
      </c>
      <c r="E784">
        <v>322.77</v>
      </c>
      <c r="F784">
        <v>43.53</v>
      </c>
      <c r="G784" s="4"/>
      <c r="H784" s="10">
        <f t="shared" si="76"/>
        <v>-4.9014384656366428E-2</v>
      </c>
      <c r="I784" s="10">
        <f t="shared" si="72"/>
        <v>-1.8084153983885409E-2</v>
      </c>
      <c r="J784" s="10">
        <f t="shared" si="73"/>
        <v>-2.0470829068577223E-2</v>
      </c>
      <c r="K784" s="10">
        <f t="shared" si="74"/>
        <v>1.9102045971204795E-2</v>
      </c>
      <c r="L784" s="10">
        <f t="shared" si="75"/>
        <v>-2.5083986562150051E-2</v>
      </c>
      <c r="M784" s="10">
        <f t="shared" si="77"/>
        <v>-1.2899942573545653E-2</v>
      </c>
      <c r="N784" s="1"/>
      <c r="O784" s="2">
        <v>4228.4799999999996</v>
      </c>
      <c r="P784" s="12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 spans="1:31" ht="15" thickBot="1" x14ac:dyDescent="0.35">
      <c r="A785" s="1">
        <v>44791</v>
      </c>
      <c r="B785">
        <v>18.77</v>
      </c>
      <c r="C785">
        <v>55.85</v>
      </c>
      <c r="D785">
        <v>302.87</v>
      </c>
      <c r="E785">
        <v>316.72000000000003</v>
      </c>
      <c r="F785">
        <v>44.65</v>
      </c>
      <c r="G785" s="4"/>
      <c r="H785" s="10">
        <f t="shared" si="76"/>
        <v>2.4004364429896397E-2</v>
      </c>
      <c r="I785" s="10">
        <f t="shared" si="72"/>
        <v>3.6947642034905304E-2</v>
      </c>
      <c r="J785" s="10">
        <f t="shared" si="73"/>
        <v>-3.7171052631578272E-3</v>
      </c>
      <c r="K785" s="10">
        <f t="shared" si="74"/>
        <v>-3.1563663910094686E-4</v>
      </c>
      <c r="L785" s="10">
        <f t="shared" si="75"/>
        <v>-5.5679287305122616E-3</v>
      </c>
      <c r="M785" s="10">
        <f t="shared" si="77"/>
        <v>2.2695154935377104E-3</v>
      </c>
      <c r="N785" s="1"/>
      <c r="O785" s="2">
        <v>4283.74</v>
      </c>
      <c r="P785" s="12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 spans="1:31" ht="15" thickBot="1" x14ac:dyDescent="0.35">
      <c r="A786" s="1">
        <v>44790</v>
      </c>
      <c r="B786">
        <v>18.329999999999998</v>
      </c>
      <c r="C786">
        <v>53.86</v>
      </c>
      <c r="D786">
        <v>304</v>
      </c>
      <c r="E786">
        <v>316.82</v>
      </c>
      <c r="F786">
        <v>44.9</v>
      </c>
      <c r="G786" s="4"/>
      <c r="H786" s="10">
        <f t="shared" si="76"/>
        <v>-2.9131355932203395E-2</v>
      </c>
      <c r="I786" s="10">
        <f t="shared" si="72"/>
        <v>-2.3744788834511588E-2</v>
      </c>
      <c r="J786" s="10">
        <f t="shared" si="73"/>
        <v>-8.3507306889353261E-3</v>
      </c>
      <c r="K786" s="10">
        <f t="shared" si="74"/>
        <v>2.0979020979021046E-2</v>
      </c>
      <c r="L786" s="10">
        <f t="shared" si="75"/>
        <v>-2.4972855591748111E-2</v>
      </c>
      <c r="M786" s="10">
        <f t="shared" si="77"/>
        <v>-7.2377589891293725E-3</v>
      </c>
      <c r="N786" s="1"/>
      <c r="O786" s="2">
        <v>4274.04</v>
      </c>
      <c r="P786" s="12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 spans="1:31" ht="15" thickBot="1" x14ac:dyDescent="0.35">
      <c r="A787" s="1">
        <v>44789</v>
      </c>
      <c r="B787">
        <v>18.88</v>
      </c>
      <c r="C787">
        <v>55.17</v>
      </c>
      <c r="D787">
        <v>306.56</v>
      </c>
      <c r="E787">
        <v>310.31</v>
      </c>
      <c r="F787">
        <v>46.05</v>
      </c>
      <c r="G787" s="4"/>
      <c r="H787" s="10">
        <f t="shared" si="76"/>
        <v>-7.8822911192854006E-3</v>
      </c>
      <c r="I787" s="10">
        <f t="shared" ref="I787:I850" si="78">(C787/C788)-1</f>
        <v>-1.3059033989266444E-2</v>
      </c>
      <c r="J787" s="10">
        <f t="shared" ref="J787:J850" si="79">(D787/D788)-1</f>
        <v>-8.9227983964825786E-3</v>
      </c>
      <c r="K787" s="10">
        <f t="shared" ref="K787:K850" si="80">(E787/E788)-1</f>
        <v>-1.1562718990890009E-2</v>
      </c>
      <c r="L787" s="10">
        <f t="shared" ref="L787:L850" si="81">(F787/F788)-1</f>
        <v>2.3944275141489779E-3</v>
      </c>
      <c r="M787" s="10">
        <f t="shared" si="77"/>
        <v>1.8756661407353103E-3</v>
      </c>
      <c r="N787" s="1"/>
      <c r="O787" s="2">
        <v>4305.2</v>
      </c>
      <c r="P787" s="12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 spans="1:31" ht="15" thickBot="1" x14ac:dyDescent="0.35">
      <c r="A788" s="1">
        <v>44788</v>
      </c>
      <c r="B788">
        <v>19.03</v>
      </c>
      <c r="C788">
        <v>55.9</v>
      </c>
      <c r="D788">
        <v>309.32</v>
      </c>
      <c r="E788">
        <v>313.94</v>
      </c>
      <c r="F788">
        <v>45.94</v>
      </c>
      <c r="G788" s="4"/>
      <c r="H788" s="10">
        <f t="shared" si="76"/>
        <v>1.7103153393907E-2</v>
      </c>
      <c r="I788" s="10">
        <f t="shared" si="78"/>
        <v>1.4331780723755294E-3</v>
      </c>
      <c r="J788" s="10">
        <f t="shared" si="79"/>
        <v>3.0963570309635813E-2</v>
      </c>
      <c r="K788" s="10">
        <f t="shared" si="80"/>
        <v>1.9021033497792716E-2</v>
      </c>
      <c r="L788" s="10">
        <f t="shared" si="81"/>
        <v>-1.310418904403865E-2</v>
      </c>
      <c r="M788" s="10">
        <f t="shared" si="77"/>
        <v>3.96948705068767E-3</v>
      </c>
      <c r="N788" s="1"/>
      <c r="O788" s="2">
        <v>4297.1400000000003</v>
      </c>
      <c r="P788" s="12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 spans="1:31" ht="15" thickBot="1" x14ac:dyDescent="0.35">
      <c r="A789" s="1">
        <v>44785</v>
      </c>
      <c r="B789">
        <v>18.71</v>
      </c>
      <c r="C789">
        <v>55.82</v>
      </c>
      <c r="D789">
        <v>300.02999999999997</v>
      </c>
      <c r="E789">
        <v>308.08</v>
      </c>
      <c r="F789">
        <v>46.55</v>
      </c>
      <c r="G789" s="4"/>
      <c r="H789" s="10">
        <f t="shared" si="76"/>
        <v>4.292084726867329E-2</v>
      </c>
      <c r="I789" s="10">
        <f t="shared" si="78"/>
        <v>2.3469013568023556E-2</v>
      </c>
      <c r="J789" s="10">
        <f t="shared" si="79"/>
        <v>4.6750165718870917E-2</v>
      </c>
      <c r="K789" s="10">
        <f t="shared" si="80"/>
        <v>2.2943852309326829E-2</v>
      </c>
      <c r="L789" s="10">
        <f t="shared" si="81"/>
        <v>2.7593818984547491E-2</v>
      </c>
      <c r="M789" s="10">
        <f t="shared" si="77"/>
        <v>1.7322396708554288E-2</v>
      </c>
      <c r="N789" s="1"/>
      <c r="O789" s="2">
        <v>4280.1499999999996</v>
      </c>
      <c r="P789" s="12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 spans="1:31" ht="15" thickBot="1" x14ac:dyDescent="0.35">
      <c r="A790" s="1">
        <v>44784</v>
      </c>
      <c r="B790">
        <v>17.940000000000001</v>
      </c>
      <c r="C790">
        <v>54.54</v>
      </c>
      <c r="D790">
        <v>286.63</v>
      </c>
      <c r="E790">
        <v>301.17</v>
      </c>
      <c r="F790">
        <v>45.3</v>
      </c>
      <c r="G790" s="4"/>
      <c r="H790" s="10">
        <f t="shared" si="76"/>
        <v>-8.8397790055249059E-3</v>
      </c>
      <c r="I790" s="10">
        <f t="shared" si="78"/>
        <v>-9.0843023255814392E-3</v>
      </c>
      <c r="J790" s="10">
        <f t="shared" si="79"/>
        <v>-2.6260361462155268E-2</v>
      </c>
      <c r="K790" s="10">
        <f t="shared" si="80"/>
        <v>-1.1293128918945516E-2</v>
      </c>
      <c r="L790" s="10">
        <f t="shared" si="81"/>
        <v>-9.6195889811981905E-3</v>
      </c>
      <c r="M790" s="10">
        <f t="shared" si="77"/>
        <v>-7.0542296876174859E-4</v>
      </c>
      <c r="N790" s="1"/>
      <c r="O790" s="2">
        <v>4207.2700000000004</v>
      </c>
      <c r="P790" s="12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 spans="1:31" ht="15" thickBot="1" x14ac:dyDescent="0.35">
      <c r="A791" s="1">
        <v>44783</v>
      </c>
      <c r="B791">
        <v>18.100000000000001</v>
      </c>
      <c r="C791">
        <v>55.04</v>
      </c>
      <c r="D791">
        <v>294.36</v>
      </c>
      <c r="E791">
        <v>304.61</v>
      </c>
      <c r="F791">
        <v>45.74</v>
      </c>
      <c r="G791" s="4"/>
      <c r="H791" s="10">
        <f t="shared" si="76"/>
        <v>5.9098888238736214E-2</v>
      </c>
      <c r="I791" s="10">
        <f t="shared" si="78"/>
        <v>3.3033033033033066E-2</v>
      </c>
      <c r="J791" s="10">
        <f t="shared" si="79"/>
        <v>3.8929869763173697E-2</v>
      </c>
      <c r="K791" s="10">
        <f t="shared" si="80"/>
        <v>5.2471784040657443E-3</v>
      </c>
      <c r="L791" s="10">
        <f t="shared" si="81"/>
        <v>9.7130242825607116E-3</v>
      </c>
      <c r="M791" s="10">
        <f t="shared" si="77"/>
        <v>2.1290634013103604E-2</v>
      </c>
      <c r="N791" s="1"/>
      <c r="O791" s="2">
        <v>4210.24</v>
      </c>
      <c r="P791" s="12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 spans="1:31" ht="15" thickBot="1" x14ac:dyDescent="0.35">
      <c r="A792" s="1">
        <v>44782</v>
      </c>
      <c r="B792">
        <v>17.09</v>
      </c>
      <c r="C792">
        <v>53.28</v>
      </c>
      <c r="D792">
        <v>283.33</v>
      </c>
      <c r="E792">
        <v>303.02</v>
      </c>
      <c r="F792">
        <v>45.3</v>
      </c>
      <c r="G792" s="4"/>
      <c r="H792" s="10">
        <f t="shared" si="76"/>
        <v>-3.9347948285553658E-2</v>
      </c>
      <c r="I792" s="10">
        <f t="shared" si="78"/>
        <v>-2.3281393217231772E-2</v>
      </c>
      <c r="J792" s="10">
        <f t="shared" si="79"/>
        <v>-2.4412919220439422E-2</v>
      </c>
      <c r="K792" s="10">
        <f t="shared" si="80"/>
        <v>1.7190082644626958E-3</v>
      </c>
      <c r="L792" s="10">
        <f t="shared" si="81"/>
        <v>1.1612326931665917E-2</v>
      </c>
      <c r="M792" s="10">
        <f t="shared" si="77"/>
        <v>-4.248730694724312E-3</v>
      </c>
      <c r="N792" s="1"/>
      <c r="O792" s="2">
        <v>4122.47</v>
      </c>
      <c r="P792" s="12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 spans="1:31" ht="15" thickBot="1" x14ac:dyDescent="0.35">
      <c r="A793" s="1">
        <v>44781</v>
      </c>
      <c r="B793">
        <v>17.79</v>
      </c>
      <c r="C793">
        <v>54.55</v>
      </c>
      <c r="D793">
        <v>290.42</v>
      </c>
      <c r="E793">
        <v>302.5</v>
      </c>
      <c r="F793">
        <v>44.78</v>
      </c>
      <c r="G793" s="4"/>
      <c r="H793" s="10">
        <f t="shared" si="76"/>
        <v>-6.3191153238546516E-2</v>
      </c>
      <c r="I793" s="10">
        <f t="shared" si="78"/>
        <v>-1.0700036271309443E-2</v>
      </c>
      <c r="J793" s="10">
        <f t="shared" si="79"/>
        <v>7.8078911753478586E-3</v>
      </c>
      <c r="K793" s="10">
        <f t="shared" si="80"/>
        <v>3.9161024824108104E-3</v>
      </c>
      <c r="L793" s="10">
        <f t="shared" si="81"/>
        <v>2.2336385972754336E-4</v>
      </c>
      <c r="M793" s="10">
        <f t="shared" si="77"/>
        <v>-1.2375789770792123E-3</v>
      </c>
      <c r="N793" s="1"/>
      <c r="O793" s="2">
        <v>4140.0600000000004</v>
      </c>
      <c r="P793" s="12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 spans="1:31" ht="15" thickBot="1" x14ac:dyDescent="0.35">
      <c r="A794" s="1">
        <v>44778</v>
      </c>
      <c r="B794">
        <v>18.989999999999998</v>
      </c>
      <c r="C794">
        <v>55.14</v>
      </c>
      <c r="D794">
        <v>288.17</v>
      </c>
      <c r="E794">
        <v>301.32</v>
      </c>
      <c r="F794">
        <v>44.77</v>
      </c>
      <c r="G794" s="4"/>
      <c r="H794" s="10">
        <f t="shared" si="76"/>
        <v>-1.1966701352757569E-2</v>
      </c>
      <c r="I794" s="10">
        <f t="shared" si="78"/>
        <v>-2.5325615050650896E-3</v>
      </c>
      <c r="J794" s="10">
        <f t="shared" si="79"/>
        <v>-6.6292972167319997E-2</v>
      </c>
      <c r="K794" s="10">
        <f t="shared" si="80"/>
        <v>-1.4617875012263415E-2</v>
      </c>
      <c r="L794" s="10">
        <f t="shared" si="81"/>
        <v>-1.1263250883392195E-2</v>
      </c>
      <c r="M794" s="10">
        <f t="shared" si="77"/>
        <v>-1.6257460367924415E-3</v>
      </c>
      <c r="N794" s="1"/>
      <c r="O794" s="2">
        <v>4145.1899999999996</v>
      </c>
      <c r="P794" s="12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 spans="1:31" ht="15" thickBot="1" x14ac:dyDescent="0.35">
      <c r="A795" s="1">
        <v>44777</v>
      </c>
      <c r="B795">
        <v>19.22</v>
      </c>
      <c r="C795">
        <v>55.28</v>
      </c>
      <c r="D795">
        <v>308.63</v>
      </c>
      <c r="E795">
        <v>305.79000000000002</v>
      </c>
      <c r="F795">
        <v>45.28</v>
      </c>
      <c r="G795" s="4"/>
      <c r="H795" s="10">
        <f t="shared" si="76"/>
        <v>1.7469560614081336E-2</v>
      </c>
      <c r="I795" s="10">
        <f t="shared" si="78"/>
        <v>1.1157856228278806E-2</v>
      </c>
      <c r="J795" s="10">
        <f t="shared" si="79"/>
        <v>4.0013012361743705E-3</v>
      </c>
      <c r="K795" s="10">
        <f t="shared" si="80"/>
        <v>-2.5618965682057016E-2</v>
      </c>
      <c r="L795" s="10">
        <f t="shared" si="81"/>
        <v>1.9819819819819839E-2</v>
      </c>
      <c r="M795" s="10">
        <f t="shared" si="77"/>
        <v>-7.7734484990998887E-4</v>
      </c>
      <c r="N795" s="1"/>
      <c r="O795" s="2">
        <v>4151.9399999999996</v>
      </c>
      <c r="P795" s="12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 spans="1:31" ht="15" thickBot="1" x14ac:dyDescent="0.35">
      <c r="A796" s="1">
        <v>44776</v>
      </c>
      <c r="B796">
        <v>18.89</v>
      </c>
      <c r="C796">
        <v>54.67</v>
      </c>
      <c r="D796">
        <v>307.39999999999998</v>
      </c>
      <c r="E796">
        <v>313.83</v>
      </c>
      <c r="F796">
        <v>44.4</v>
      </c>
      <c r="G796" s="4"/>
      <c r="H796" s="10">
        <f t="shared" si="76"/>
        <v>1.9427954668105762E-2</v>
      </c>
      <c r="I796" s="10">
        <f t="shared" si="78"/>
        <v>2.9179216867470048E-2</v>
      </c>
      <c r="J796" s="10">
        <f t="shared" si="79"/>
        <v>2.265544429289057E-2</v>
      </c>
      <c r="K796" s="10">
        <f t="shared" si="80"/>
        <v>-1.9893816364772055E-2</v>
      </c>
      <c r="L796" s="10">
        <f t="shared" si="81"/>
        <v>-9.8126672613738641E-3</v>
      </c>
      <c r="M796" s="10">
        <f t="shared" si="77"/>
        <v>1.5638481713144525E-2</v>
      </c>
      <c r="N796" s="1"/>
      <c r="O796" s="2">
        <v>4155.17</v>
      </c>
      <c r="P796" s="12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 spans="1:31" ht="15" thickBot="1" x14ac:dyDescent="0.35">
      <c r="A797" s="1">
        <v>44775</v>
      </c>
      <c r="B797">
        <v>18.53</v>
      </c>
      <c r="C797">
        <v>53.12</v>
      </c>
      <c r="D797">
        <v>300.58999999999997</v>
      </c>
      <c r="E797">
        <v>320.2</v>
      </c>
      <c r="F797">
        <v>44.84</v>
      </c>
      <c r="G797" s="4"/>
      <c r="H797" s="10">
        <f t="shared" si="76"/>
        <v>4.8806941431669415E-3</v>
      </c>
      <c r="I797" s="10">
        <f t="shared" si="78"/>
        <v>-9.6942580164057768E-3</v>
      </c>
      <c r="J797" s="10">
        <f t="shared" si="79"/>
        <v>1.1134284176533837E-2</v>
      </c>
      <c r="K797" s="10">
        <f t="shared" si="80"/>
        <v>-1.2185716489279574E-2</v>
      </c>
      <c r="L797" s="10">
        <f t="shared" si="81"/>
        <v>-2.2251891410768332E-3</v>
      </c>
      <c r="M797" s="10">
        <f t="shared" si="77"/>
        <v>-6.6624095876541833E-3</v>
      </c>
      <c r="N797" s="1"/>
      <c r="O797" s="2">
        <v>4091.19</v>
      </c>
      <c r="P797" s="12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 spans="1:31" ht="15" thickBot="1" x14ac:dyDescent="0.35">
      <c r="A798" s="1">
        <v>44774</v>
      </c>
      <c r="B798">
        <v>18.440000000000001</v>
      </c>
      <c r="C798">
        <v>53.64</v>
      </c>
      <c r="D798">
        <v>297.27999999999997</v>
      </c>
      <c r="E798">
        <v>324.14999999999998</v>
      </c>
      <c r="F798">
        <v>44.94</v>
      </c>
      <c r="G798" s="4"/>
      <c r="H798" s="10">
        <f t="shared" si="76"/>
        <v>1.5418502202643181E-2</v>
      </c>
      <c r="I798" s="10">
        <f t="shared" si="78"/>
        <v>1.6806722689075571E-3</v>
      </c>
      <c r="J798" s="10">
        <f t="shared" si="79"/>
        <v>4.3748948342581251E-4</v>
      </c>
      <c r="K798" s="10">
        <f t="shared" si="80"/>
        <v>-1.680366404804523E-2</v>
      </c>
      <c r="L798" s="10">
        <f t="shared" si="81"/>
        <v>-7.5088339222615375E-3</v>
      </c>
      <c r="M798" s="10">
        <f t="shared" si="77"/>
        <v>-2.8230463236237346E-3</v>
      </c>
      <c r="N798" s="1"/>
      <c r="O798" s="2">
        <v>4118.63</v>
      </c>
      <c r="P798" s="12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 spans="1:31" ht="15" thickBot="1" x14ac:dyDescent="0.35">
      <c r="A799" s="1">
        <v>44771</v>
      </c>
      <c r="B799">
        <v>18.16</v>
      </c>
      <c r="C799">
        <v>53.55</v>
      </c>
      <c r="D799">
        <v>297.14999999999998</v>
      </c>
      <c r="E799">
        <v>329.69</v>
      </c>
      <c r="F799">
        <v>45.28</v>
      </c>
      <c r="G799" s="4"/>
      <c r="H799" s="10">
        <f t="shared" si="76"/>
        <v>1.0011123470522687E-2</v>
      </c>
      <c r="I799" s="10">
        <f t="shared" si="78"/>
        <v>3.5607196401798991E-3</v>
      </c>
      <c r="J799" s="10">
        <f t="shared" si="79"/>
        <v>5.7849768600925611E-2</v>
      </c>
      <c r="K799" s="10">
        <f t="shared" si="80"/>
        <v>-3.3555018137848558E-3</v>
      </c>
      <c r="L799" s="10">
        <f t="shared" si="81"/>
        <v>-1.1569526304300415E-2</v>
      </c>
      <c r="M799" s="10">
        <f t="shared" si="77"/>
        <v>1.4207733466259809E-2</v>
      </c>
      <c r="N799" s="1"/>
      <c r="O799" s="2">
        <v>4130.29</v>
      </c>
      <c r="P799" s="12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 spans="1:31" ht="15" thickBot="1" x14ac:dyDescent="0.35">
      <c r="A800" s="1">
        <v>44770</v>
      </c>
      <c r="B800">
        <v>17.98</v>
      </c>
      <c r="C800">
        <v>53.36</v>
      </c>
      <c r="D800">
        <v>280.89999999999998</v>
      </c>
      <c r="E800">
        <v>330.8</v>
      </c>
      <c r="F800">
        <v>45.81</v>
      </c>
      <c r="G800" s="4"/>
      <c r="H800" s="10">
        <f t="shared" si="76"/>
        <v>1.0680157391793177E-2</v>
      </c>
      <c r="I800" s="10">
        <f t="shared" si="78"/>
        <v>1.098901098901095E-2</v>
      </c>
      <c r="J800" s="10">
        <f t="shared" si="79"/>
        <v>2.2123571792445951E-2</v>
      </c>
      <c r="K800" s="10">
        <f t="shared" si="80"/>
        <v>5.6545266613972078E-3</v>
      </c>
      <c r="L800" s="10">
        <f t="shared" si="81"/>
        <v>4.3850032887524648E-3</v>
      </c>
      <c r="M800" s="10">
        <f t="shared" si="77"/>
        <v>1.2133382708562568E-2</v>
      </c>
      <c r="N800" s="1"/>
      <c r="O800" s="2">
        <v>4072.43</v>
      </c>
      <c r="P800" s="12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 spans="1:31" ht="15" thickBot="1" x14ac:dyDescent="0.35">
      <c r="A801" s="1">
        <v>44769</v>
      </c>
      <c r="B801">
        <v>17.79</v>
      </c>
      <c r="C801">
        <v>52.78</v>
      </c>
      <c r="D801">
        <v>274.82</v>
      </c>
      <c r="E801">
        <v>328.94</v>
      </c>
      <c r="F801">
        <v>45.61</v>
      </c>
      <c r="G801" s="4"/>
      <c r="H801" s="10">
        <f t="shared" si="76"/>
        <v>7.622504537205077E-2</v>
      </c>
      <c r="I801" s="10">
        <f t="shared" si="78"/>
        <v>3.2674623361377497E-2</v>
      </c>
      <c r="J801" s="10">
        <f t="shared" si="79"/>
        <v>6.1654948620876171E-2</v>
      </c>
      <c r="K801" s="10">
        <f t="shared" si="80"/>
        <v>-7.9020388466642943E-3</v>
      </c>
      <c r="L801" s="10">
        <f t="shared" si="81"/>
        <v>-1.1486779367143485E-2</v>
      </c>
      <c r="M801" s="10">
        <f t="shared" si="77"/>
        <v>2.6156259165274642E-2</v>
      </c>
      <c r="N801" s="1"/>
      <c r="O801" s="2">
        <v>4023.61</v>
      </c>
      <c r="P801" s="12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 spans="1:31" ht="15" thickBot="1" x14ac:dyDescent="0.35">
      <c r="A802" s="1">
        <v>44768</v>
      </c>
      <c r="B802">
        <v>16.53</v>
      </c>
      <c r="C802">
        <v>51.11</v>
      </c>
      <c r="D802">
        <v>258.86</v>
      </c>
      <c r="E802">
        <v>331.56</v>
      </c>
      <c r="F802">
        <v>46.14</v>
      </c>
      <c r="G802" s="4"/>
      <c r="H802" s="10">
        <f t="shared" si="76"/>
        <v>-2.8789659224441766E-2</v>
      </c>
      <c r="I802" s="10">
        <f t="shared" si="78"/>
        <v>-3.8978756577665585E-3</v>
      </c>
      <c r="J802" s="10">
        <f t="shared" si="79"/>
        <v>-3.565175278471111E-2</v>
      </c>
      <c r="K802" s="10">
        <f t="shared" si="80"/>
        <v>3.0161363293590426E-5</v>
      </c>
      <c r="L802" s="10">
        <f t="shared" si="81"/>
        <v>3.4761157210136728E-2</v>
      </c>
      <c r="M802" s="10">
        <f t="shared" si="77"/>
        <v>-1.1543193070554847E-2</v>
      </c>
      <c r="N802" s="1"/>
      <c r="O802" s="2">
        <v>3921.05</v>
      </c>
      <c r="P802" s="12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 spans="1:31" ht="15" thickBot="1" x14ac:dyDescent="0.35">
      <c r="A803" s="1">
        <v>44767</v>
      </c>
      <c r="B803">
        <v>17.02</v>
      </c>
      <c r="C803">
        <v>51.31</v>
      </c>
      <c r="D803">
        <v>268.43</v>
      </c>
      <c r="E803">
        <v>331.55</v>
      </c>
      <c r="F803">
        <v>44.59</v>
      </c>
      <c r="G803" s="4"/>
      <c r="H803" s="10">
        <f t="shared" si="76"/>
        <v>-1.7321016166281789E-2</v>
      </c>
      <c r="I803" s="10">
        <f t="shared" si="78"/>
        <v>1.1707317073170742E-3</v>
      </c>
      <c r="J803" s="10">
        <f t="shared" si="79"/>
        <v>-1.3995004407875378E-2</v>
      </c>
      <c r="K803" s="10">
        <f t="shared" si="80"/>
        <v>8.5171102661596443E-3</v>
      </c>
      <c r="L803" s="10">
        <f t="shared" si="81"/>
        <v>-0.13232146331971195</v>
      </c>
      <c r="M803" s="10">
        <f t="shared" si="77"/>
        <v>1.3151152429682345E-3</v>
      </c>
      <c r="N803" s="1"/>
      <c r="O803" s="2">
        <v>3966.84</v>
      </c>
      <c r="P803" s="12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 spans="1:31" ht="15" thickBot="1" x14ac:dyDescent="0.35">
      <c r="A804" s="1">
        <v>44764</v>
      </c>
      <c r="B804">
        <v>17.32</v>
      </c>
      <c r="C804">
        <v>51.25</v>
      </c>
      <c r="D804">
        <v>272.24</v>
      </c>
      <c r="E804">
        <v>328.75</v>
      </c>
      <c r="F804">
        <v>51.39</v>
      </c>
      <c r="G804" s="4"/>
      <c r="H804" s="10">
        <f t="shared" si="76"/>
        <v>-4.0443213296398883E-2</v>
      </c>
      <c r="I804" s="10">
        <f t="shared" si="78"/>
        <v>-1.0044427274483403E-2</v>
      </c>
      <c r="J804" s="10">
        <f t="shared" si="79"/>
        <v>1.9506091052960972E-3</v>
      </c>
      <c r="K804" s="10">
        <f t="shared" si="80"/>
        <v>5.5976997430564612E-3</v>
      </c>
      <c r="L804" s="10">
        <f t="shared" si="81"/>
        <v>-1.3438279900172878E-2</v>
      </c>
      <c r="M804" s="10">
        <f t="shared" si="77"/>
        <v>-9.3324497680640217E-3</v>
      </c>
      <c r="N804" s="1"/>
      <c r="O804" s="2">
        <v>3961.63</v>
      </c>
      <c r="P804" s="12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 spans="1:31" ht="15" thickBot="1" x14ac:dyDescent="0.35">
      <c r="A805" s="1">
        <v>44763</v>
      </c>
      <c r="B805">
        <v>18.05</v>
      </c>
      <c r="C805">
        <v>51.77</v>
      </c>
      <c r="D805">
        <v>271.70999999999998</v>
      </c>
      <c r="E805">
        <v>326.92</v>
      </c>
      <c r="F805">
        <v>52.09</v>
      </c>
      <c r="G805" s="4"/>
      <c r="H805" s="10">
        <f t="shared" si="76"/>
        <v>1.3475575519371175E-2</v>
      </c>
      <c r="I805" s="10">
        <f t="shared" si="78"/>
        <v>1.1527940601797626E-2</v>
      </c>
      <c r="J805" s="10">
        <f t="shared" si="79"/>
        <v>9.7818181818181804E-2</v>
      </c>
      <c r="K805" s="10">
        <f t="shared" si="80"/>
        <v>1.5184920659566004E-2</v>
      </c>
      <c r="L805" s="10">
        <f t="shared" si="81"/>
        <v>-4.2056968074937195E-3</v>
      </c>
      <c r="M805" s="10">
        <f t="shared" si="77"/>
        <v>9.8613601353569891E-3</v>
      </c>
      <c r="N805" s="1"/>
      <c r="O805" s="2">
        <v>3998.95</v>
      </c>
      <c r="P805" s="12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 spans="1:31" ht="15" thickBot="1" x14ac:dyDescent="0.35">
      <c r="A806" s="1">
        <v>44762</v>
      </c>
      <c r="B806">
        <v>17.809999999999999</v>
      </c>
      <c r="C806">
        <v>51.18</v>
      </c>
      <c r="D806">
        <v>247.5</v>
      </c>
      <c r="E806">
        <v>322.02999999999997</v>
      </c>
      <c r="F806">
        <v>52.31</v>
      </c>
      <c r="G806" s="4"/>
      <c r="H806" s="10">
        <f t="shared" si="76"/>
        <v>4.826368452030616E-2</v>
      </c>
      <c r="I806" s="10">
        <f t="shared" si="78"/>
        <v>5.5009823182712303E-3</v>
      </c>
      <c r="J806" s="10">
        <f t="shared" si="79"/>
        <v>8.0234594550563365E-3</v>
      </c>
      <c r="K806" s="10">
        <f t="shared" si="80"/>
        <v>-1.2783568362967568E-2</v>
      </c>
      <c r="L806" s="10">
        <f t="shared" si="81"/>
        <v>-4.2817932296431827E-2</v>
      </c>
      <c r="M806" s="10">
        <f t="shared" si="77"/>
        <v>5.8958160281861183E-3</v>
      </c>
      <c r="N806" s="1"/>
      <c r="O806" s="2">
        <v>3959.9</v>
      </c>
      <c r="P806" s="12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 spans="1:31" ht="15" thickBot="1" x14ac:dyDescent="0.35">
      <c r="A807" s="1">
        <v>44761</v>
      </c>
      <c r="B807">
        <v>16.989999999999998</v>
      </c>
      <c r="C807">
        <v>50.9</v>
      </c>
      <c r="D807">
        <v>245.53</v>
      </c>
      <c r="E807">
        <v>326.2</v>
      </c>
      <c r="F807">
        <v>54.65</v>
      </c>
      <c r="G807" s="4"/>
      <c r="H807" s="10">
        <f t="shared" si="76"/>
        <v>5.5279503105589933E-2</v>
      </c>
      <c r="I807" s="10">
        <f t="shared" si="78"/>
        <v>3.6448788434127355E-2</v>
      </c>
      <c r="J807" s="10">
        <f t="shared" si="79"/>
        <v>2.0702556641030823E-2</v>
      </c>
      <c r="K807" s="10">
        <f t="shared" si="80"/>
        <v>1.3767597973707968E-2</v>
      </c>
      <c r="L807" s="10">
        <f t="shared" si="81"/>
        <v>-2.9191753329684822E-3</v>
      </c>
      <c r="M807" s="10">
        <f t="shared" si="77"/>
        <v>2.7628333137554417E-2</v>
      </c>
      <c r="N807" s="1"/>
      <c r="O807" s="2">
        <v>3936.69</v>
      </c>
      <c r="P807" s="12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 spans="1:31" ht="15" thickBot="1" x14ac:dyDescent="0.35">
      <c r="A808" s="1">
        <v>44760</v>
      </c>
      <c r="B808">
        <v>16.100000000000001</v>
      </c>
      <c r="C808">
        <v>49.11</v>
      </c>
      <c r="D808">
        <v>240.55</v>
      </c>
      <c r="E808">
        <v>321.77</v>
      </c>
      <c r="F808">
        <v>54.81</v>
      </c>
      <c r="G808" s="4"/>
      <c r="H808" s="10">
        <f t="shared" si="76"/>
        <v>2.1573604060913798E-2</v>
      </c>
      <c r="I808" s="10">
        <f t="shared" si="78"/>
        <v>-6.8756319514662323E-3</v>
      </c>
      <c r="J808" s="10">
        <f t="shared" si="79"/>
        <v>1.9994168367560849E-3</v>
      </c>
      <c r="K808" s="10">
        <f t="shared" si="80"/>
        <v>-2.9644149577804702E-2</v>
      </c>
      <c r="L808" s="10">
        <f t="shared" si="81"/>
        <v>1.4617211766856375E-3</v>
      </c>
      <c r="M808" s="10">
        <f t="shared" si="77"/>
        <v>-8.3636194203708936E-3</v>
      </c>
      <c r="N808" s="1"/>
      <c r="O808" s="2">
        <v>3830.85</v>
      </c>
      <c r="P808" s="12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 spans="1:31" ht="15" thickBot="1" x14ac:dyDescent="0.35">
      <c r="A809" s="1">
        <v>44757</v>
      </c>
      <c r="B809">
        <v>15.76</v>
      </c>
      <c r="C809">
        <v>49.45</v>
      </c>
      <c r="D809">
        <v>240.07</v>
      </c>
      <c r="E809">
        <v>331.6</v>
      </c>
      <c r="F809">
        <v>54.73</v>
      </c>
      <c r="G809" s="4"/>
      <c r="H809" s="10">
        <f t="shared" si="76"/>
        <v>2.5374105400130187E-2</v>
      </c>
      <c r="I809" s="10">
        <f t="shared" si="78"/>
        <v>2.0429219975237389E-2</v>
      </c>
      <c r="J809" s="10">
        <f t="shared" si="79"/>
        <v>7.3853384247408727E-3</v>
      </c>
      <c r="K809" s="10">
        <f t="shared" si="80"/>
        <v>1.440851662638809E-2</v>
      </c>
      <c r="L809" s="10">
        <f t="shared" si="81"/>
        <v>-4.7281323877069736E-3</v>
      </c>
      <c r="M809" s="10">
        <f t="shared" si="77"/>
        <v>1.9201241036518768E-2</v>
      </c>
      <c r="N809" s="1"/>
      <c r="O809" s="2">
        <v>3863.16</v>
      </c>
      <c r="P809" s="12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 spans="1:31" ht="15" thickBot="1" x14ac:dyDescent="0.35">
      <c r="A810" s="1">
        <v>44756</v>
      </c>
      <c r="B810">
        <v>15.37</v>
      </c>
      <c r="C810">
        <v>48.46</v>
      </c>
      <c r="D810">
        <v>238.31</v>
      </c>
      <c r="E810">
        <v>326.89</v>
      </c>
      <c r="F810">
        <v>54.99</v>
      </c>
      <c r="G810" s="4"/>
      <c r="H810" s="10">
        <f t="shared" si="76"/>
        <v>1.385224274406327E-2</v>
      </c>
      <c r="I810" s="10">
        <f t="shared" si="78"/>
        <v>6.0203446128295202E-3</v>
      </c>
      <c r="J810" s="10">
        <f t="shared" si="79"/>
        <v>5.3577455281810238E-3</v>
      </c>
      <c r="K810" s="10">
        <f t="shared" si="80"/>
        <v>1.3738138063635885E-2</v>
      </c>
      <c r="L810" s="10">
        <f t="shared" si="81"/>
        <v>-5.4992266712493465E-2</v>
      </c>
      <c r="M810" s="10">
        <f t="shared" si="77"/>
        <v>-2.99859539478875E-3</v>
      </c>
      <c r="N810" s="1"/>
      <c r="O810" s="2">
        <v>3790.38</v>
      </c>
      <c r="P810" s="12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 spans="1:31" ht="15" thickBot="1" x14ac:dyDescent="0.35">
      <c r="A811" s="1">
        <v>44755</v>
      </c>
      <c r="B811">
        <v>15.16</v>
      </c>
      <c r="C811">
        <v>48.17</v>
      </c>
      <c r="D811">
        <v>237.04</v>
      </c>
      <c r="E811">
        <v>322.45999999999998</v>
      </c>
      <c r="F811">
        <v>58.19</v>
      </c>
      <c r="G811" s="4"/>
      <c r="H811" s="10">
        <f t="shared" si="76"/>
        <v>5.3050397877985045E-3</v>
      </c>
      <c r="I811" s="10">
        <f t="shared" si="78"/>
        <v>6.2318238471137377E-4</v>
      </c>
      <c r="J811" s="10">
        <f t="shared" si="79"/>
        <v>1.7033509246149325E-2</v>
      </c>
      <c r="K811" s="10">
        <f t="shared" si="80"/>
        <v>-3.4920733026360118E-3</v>
      </c>
      <c r="L811" s="10">
        <f t="shared" si="81"/>
        <v>4.314808422505978E-3</v>
      </c>
      <c r="M811" s="10">
        <f t="shared" si="77"/>
        <v>-4.4568974546977946E-3</v>
      </c>
      <c r="N811" s="1"/>
      <c r="O811" s="2">
        <v>3801.78</v>
      </c>
      <c r="P811" s="12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 spans="1:31" ht="15" thickBot="1" x14ac:dyDescent="0.35">
      <c r="A812" s="1">
        <v>44754</v>
      </c>
      <c r="B812">
        <v>15.08</v>
      </c>
      <c r="C812">
        <v>48.14</v>
      </c>
      <c r="D812">
        <v>233.07</v>
      </c>
      <c r="E812">
        <v>323.58999999999997</v>
      </c>
      <c r="F812">
        <v>57.94</v>
      </c>
      <c r="G812" s="4"/>
      <c r="H812" s="10">
        <f t="shared" si="76"/>
        <v>-4.6204620462045876E-3</v>
      </c>
      <c r="I812" s="10">
        <f t="shared" si="78"/>
        <v>-3.1062331745702609E-3</v>
      </c>
      <c r="J812" s="10">
        <f t="shared" si="79"/>
        <v>-5.4194759750789689E-3</v>
      </c>
      <c r="K812" s="10">
        <f t="shared" si="80"/>
        <v>-2.2593409248799379E-2</v>
      </c>
      <c r="L812" s="10">
        <f t="shared" si="81"/>
        <v>-1.4458241197482624E-2</v>
      </c>
      <c r="M812" s="10">
        <f t="shared" si="77"/>
        <v>-9.2439089567069033E-3</v>
      </c>
      <c r="N812" s="1"/>
      <c r="O812" s="2">
        <v>3818.8</v>
      </c>
      <c r="P812" s="12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 spans="1:31" ht="15" thickBot="1" x14ac:dyDescent="0.35">
      <c r="A813" s="1">
        <v>44753</v>
      </c>
      <c r="B813">
        <v>15.15</v>
      </c>
      <c r="C813">
        <v>48.29</v>
      </c>
      <c r="D813">
        <v>234.34</v>
      </c>
      <c r="E813">
        <v>331.07</v>
      </c>
      <c r="F813">
        <v>58.79</v>
      </c>
      <c r="G813" s="4"/>
      <c r="H813" s="10">
        <f t="shared" si="76"/>
        <v>-4.3560606060606077E-2</v>
      </c>
      <c r="I813" s="10">
        <f t="shared" si="78"/>
        <v>-3.1682374172849359E-2</v>
      </c>
      <c r="J813" s="10">
        <f t="shared" si="79"/>
        <v>-6.5480937948636075E-2</v>
      </c>
      <c r="K813" s="10">
        <f t="shared" si="80"/>
        <v>1.8155959693768597E-3</v>
      </c>
      <c r="L813" s="10">
        <f t="shared" si="81"/>
        <v>-9.6024258760107895E-3</v>
      </c>
      <c r="M813" s="10">
        <f t="shared" si="77"/>
        <v>-1.1527473598367033E-2</v>
      </c>
      <c r="N813" s="1"/>
      <c r="O813" s="2">
        <v>3854.43</v>
      </c>
      <c r="P813" s="12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 spans="1:31" ht="15" thickBot="1" x14ac:dyDescent="0.35">
      <c r="A814" s="1">
        <v>44750</v>
      </c>
      <c r="B814">
        <v>15.84</v>
      </c>
      <c r="C814">
        <v>49.87</v>
      </c>
      <c r="D814">
        <v>250.76</v>
      </c>
      <c r="E814">
        <v>330.47</v>
      </c>
      <c r="F814">
        <v>59.36</v>
      </c>
      <c r="G814" s="4"/>
      <c r="H814" s="10">
        <f t="shared" si="76"/>
        <v>-1.2610340479192184E-3</v>
      </c>
      <c r="I814" s="10">
        <f t="shared" si="78"/>
        <v>4.0120361083251233E-4</v>
      </c>
      <c r="J814" s="10">
        <f t="shared" si="79"/>
        <v>2.5435511572748926E-2</v>
      </c>
      <c r="K814" s="10">
        <f t="shared" si="80"/>
        <v>7.6840981856991508E-3</v>
      </c>
      <c r="L814" s="10">
        <f t="shared" si="81"/>
        <v>-8.5184566560881914E-3</v>
      </c>
      <c r="M814" s="10">
        <f t="shared" si="77"/>
        <v>-8.3021149894169088E-4</v>
      </c>
      <c r="N814" s="1"/>
      <c r="O814" s="2">
        <v>3899.38</v>
      </c>
      <c r="P814" s="12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 spans="1:31" ht="15" thickBot="1" x14ac:dyDescent="0.35">
      <c r="A815" s="1">
        <v>44749</v>
      </c>
      <c r="B815">
        <v>15.86</v>
      </c>
      <c r="C815">
        <v>49.85</v>
      </c>
      <c r="D815">
        <v>244.54</v>
      </c>
      <c r="E815">
        <v>327.95</v>
      </c>
      <c r="F815">
        <v>59.87</v>
      </c>
      <c r="G815" s="4"/>
      <c r="H815" s="10">
        <f t="shared" si="76"/>
        <v>4.8248512888301232E-2</v>
      </c>
      <c r="I815" s="10">
        <f t="shared" si="78"/>
        <v>3.2946539577289657E-2</v>
      </c>
      <c r="J815" s="10">
        <f t="shared" si="79"/>
        <v>5.5279851551374382E-2</v>
      </c>
      <c r="K815" s="10">
        <f t="shared" si="80"/>
        <v>-6.6636377404210023E-3</v>
      </c>
      <c r="L815" s="10">
        <f t="shared" si="81"/>
        <v>7.0647603027753636E-3</v>
      </c>
      <c r="M815" s="10">
        <f t="shared" si="77"/>
        <v>1.4964578110208349E-2</v>
      </c>
      <c r="N815" s="1"/>
      <c r="O815" s="2">
        <v>3902.62</v>
      </c>
      <c r="P815" s="12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 spans="1:31" ht="15" thickBot="1" x14ac:dyDescent="0.35">
      <c r="A816" s="1">
        <v>44748</v>
      </c>
      <c r="B816">
        <v>15.13</v>
      </c>
      <c r="C816">
        <v>48.26</v>
      </c>
      <c r="D816">
        <v>231.73</v>
      </c>
      <c r="E816">
        <v>330.15</v>
      </c>
      <c r="F816">
        <v>59.45</v>
      </c>
      <c r="G816" s="4"/>
      <c r="H816" s="10">
        <f t="shared" si="76"/>
        <v>1.1363636363636465E-2</v>
      </c>
      <c r="I816" s="10">
        <f t="shared" si="78"/>
        <v>1.3226957799705952E-2</v>
      </c>
      <c r="J816" s="10">
        <f t="shared" si="79"/>
        <v>-5.7493456901360762E-3</v>
      </c>
      <c r="K816" s="10">
        <f t="shared" si="80"/>
        <v>9.0775719787272724E-3</v>
      </c>
      <c r="L816" s="10">
        <f t="shared" si="81"/>
        <v>-4.3543795009211017E-3</v>
      </c>
      <c r="M816" s="10">
        <f t="shared" si="77"/>
        <v>3.5731157621645693E-3</v>
      </c>
      <c r="N816" s="1"/>
      <c r="O816" s="2">
        <v>3845.08</v>
      </c>
      <c r="P816" s="12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 spans="1:31" ht="15" thickBot="1" x14ac:dyDescent="0.35">
      <c r="A817" s="1">
        <v>44747</v>
      </c>
      <c r="B817">
        <v>14.96</v>
      </c>
      <c r="C817">
        <v>47.63</v>
      </c>
      <c r="D817">
        <v>233.07</v>
      </c>
      <c r="E817">
        <v>327.18</v>
      </c>
      <c r="F817">
        <v>59.71</v>
      </c>
      <c r="G817" s="4"/>
      <c r="H817" s="10">
        <f t="shared" si="76"/>
        <v>3.0303030303030498E-2</v>
      </c>
      <c r="I817" s="10">
        <f t="shared" si="78"/>
        <v>-3.1393888656341407E-3</v>
      </c>
      <c r="J817" s="10">
        <f t="shared" si="79"/>
        <v>2.5565431664173133E-2</v>
      </c>
      <c r="K817" s="10">
        <f t="shared" si="80"/>
        <v>7.6067875950849295E-3</v>
      </c>
      <c r="L817" s="10">
        <f t="shared" si="81"/>
        <v>-2.3867909105770857E-2</v>
      </c>
      <c r="M817" s="10">
        <f t="shared" si="77"/>
        <v>1.5841770513915776E-3</v>
      </c>
      <c r="N817" s="1"/>
      <c r="O817" s="2">
        <v>3831.39</v>
      </c>
      <c r="P817" s="12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 spans="1:31" ht="15" thickBot="1" x14ac:dyDescent="0.35">
      <c r="A818" s="1">
        <v>44743</v>
      </c>
      <c r="B818">
        <v>14.52</v>
      </c>
      <c r="C818">
        <v>47.78</v>
      </c>
      <c r="D818">
        <v>227.26</v>
      </c>
      <c r="E818">
        <v>324.70999999999998</v>
      </c>
      <c r="F818">
        <v>61.17</v>
      </c>
      <c r="G818" s="4"/>
      <c r="H818" s="10">
        <f t="shared" si="76"/>
        <v>-4.2216358839050172E-2</v>
      </c>
      <c r="I818" s="10">
        <f t="shared" si="78"/>
        <v>-1.6467682173733955E-2</v>
      </c>
      <c r="J818" s="10">
        <f t="shared" si="79"/>
        <v>1.2429277854501652E-2</v>
      </c>
      <c r="K818" s="10">
        <f t="shared" si="80"/>
        <v>1.4804305585540689E-3</v>
      </c>
      <c r="L818" s="10">
        <f t="shared" si="81"/>
        <v>2.513826043237799E-2</v>
      </c>
      <c r="M818" s="10">
        <f t="shared" si="77"/>
        <v>1.0553762105785847E-2</v>
      </c>
      <c r="N818" s="1"/>
      <c r="O818" s="2">
        <v>3825.33</v>
      </c>
      <c r="P818" s="12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 spans="1:31" ht="15" thickBot="1" x14ac:dyDescent="0.35">
      <c r="A819" s="1">
        <v>44742</v>
      </c>
      <c r="B819">
        <v>15.16</v>
      </c>
      <c r="C819">
        <v>48.58</v>
      </c>
      <c r="D819">
        <v>224.47</v>
      </c>
      <c r="E819">
        <v>324.23</v>
      </c>
      <c r="F819">
        <v>59.67</v>
      </c>
      <c r="G819" s="4"/>
      <c r="H819" s="10">
        <f t="shared" si="76"/>
        <v>-2.4453024453024441E-2</v>
      </c>
      <c r="I819" s="10">
        <f t="shared" si="78"/>
        <v>-9.3800978792822898E-3</v>
      </c>
      <c r="J819" s="10">
        <f t="shared" si="79"/>
        <v>-1.7593767779771619E-2</v>
      </c>
      <c r="K819" s="10">
        <f t="shared" si="80"/>
        <v>3.8080495356038746E-3</v>
      </c>
      <c r="L819" s="10">
        <f t="shared" si="81"/>
        <v>-3.7425391192127733E-2</v>
      </c>
      <c r="M819" s="10">
        <f t="shared" si="77"/>
        <v>-8.7592273026031453E-3</v>
      </c>
      <c r="N819" s="1"/>
      <c r="O819" s="2">
        <v>3785.38</v>
      </c>
      <c r="P819" s="12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 spans="1:31" ht="15" thickBot="1" x14ac:dyDescent="0.35">
      <c r="A820" s="1">
        <v>44741</v>
      </c>
      <c r="B820">
        <v>15.54</v>
      </c>
      <c r="C820">
        <v>49.04</v>
      </c>
      <c r="D820">
        <v>228.49</v>
      </c>
      <c r="E820">
        <v>323</v>
      </c>
      <c r="F820">
        <v>61.99</v>
      </c>
      <c r="G820" s="4"/>
      <c r="H820" s="10">
        <f t="shared" si="76"/>
        <v>-2.7534418022528206E-2</v>
      </c>
      <c r="I820" s="10">
        <f t="shared" si="78"/>
        <v>-1.6248746238716194E-2</v>
      </c>
      <c r="J820" s="10">
        <f t="shared" si="79"/>
        <v>-1.7923149660448723E-2</v>
      </c>
      <c r="K820" s="10">
        <f t="shared" si="80"/>
        <v>1.6938479944587748E-2</v>
      </c>
      <c r="L820" s="10">
        <f t="shared" si="81"/>
        <v>-1.5406607369758518E-2</v>
      </c>
      <c r="M820" s="10">
        <f t="shared" si="77"/>
        <v>-7.1175308448145902E-4</v>
      </c>
      <c r="N820" s="1"/>
      <c r="O820" s="2">
        <v>3818.83</v>
      </c>
      <c r="P820" s="12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 spans="1:31" ht="15" thickBot="1" x14ac:dyDescent="0.35">
      <c r="A821" s="1">
        <v>44740</v>
      </c>
      <c r="B821">
        <v>15.98</v>
      </c>
      <c r="C821">
        <v>49.85</v>
      </c>
      <c r="D821">
        <v>232.66</v>
      </c>
      <c r="E821">
        <v>317.62</v>
      </c>
      <c r="F821">
        <v>62.96</v>
      </c>
      <c r="G821" s="4"/>
      <c r="H821" s="10">
        <f t="shared" si="76"/>
        <v>-5.2756372258446982E-2</v>
      </c>
      <c r="I821" s="10">
        <f t="shared" si="78"/>
        <v>-1.4237690330235253E-2</v>
      </c>
      <c r="J821" s="10">
        <f t="shared" si="79"/>
        <v>-5.005716152212969E-2</v>
      </c>
      <c r="K821" s="10">
        <f t="shared" si="80"/>
        <v>-2.9486356830751292E-2</v>
      </c>
      <c r="L821" s="10">
        <f t="shared" si="81"/>
        <v>-1.3629954566818037E-2</v>
      </c>
      <c r="M821" s="10">
        <f t="shared" si="77"/>
        <v>-2.0143021607082812E-2</v>
      </c>
      <c r="N821" s="1"/>
      <c r="O821" s="2">
        <v>3821.55</v>
      </c>
      <c r="P821" s="12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 spans="1:31" ht="15" thickBot="1" x14ac:dyDescent="0.35">
      <c r="A822" s="1">
        <v>44739</v>
      </c>
      <c r="B822">
        <v>16.87</v>
      </c>
      <c r="C822">
        <v>50.57</v>
      </c>
      <c r="D822">
        <v>244.92</v>
      </c>
      <c r="E822">
        <v>327.27</v>
      </c>
      <c r="F822">
        <v>63.83</v>
      </c>
      <c r="G822" s="4"/>
      <c r="H822" s="10">
        <f t="shared" si="76"/>
        <v>-1.5178050204319837E-2</v>
      </c>
      <c r="I822" s="10">
        <f t="shared" si="78"/>
        <v>-6.6784521704968958E-3</v>
      </c>
      <c r="J822" s="10">
        <f t="shared" si="79"/>
        <v>-3.2151723576574476E-3</v>
      </c>
      <c r="K822" s="10">
        <f t="shared" si="80"/>
        <v>5.067256311037438E-3</v>
      </c>
      <c r="L822" s="10">
        <f t="shared" si="81"/>
        <v>-5.4534122779683614E-3</v>
      </c>
      <c r="M822" s="10">
        <f t="shared" si="77"/>
        <v>-2.973101484249896E-3</v>
      </c>
      <c r="N822" s="1"/>
      <c r="O822" s="2">
        <v>3900.11</v>
      </c>
      <c r="P822" s="12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 spans="1:31" ht="15" thickBot="1" x14ac:dyDescent="0.35">
      <c r="A823" s="1">
        <v>44736</v>
      </c>
      <c r="B823">
        <v>17.13</v>
      </c>
      <c r="C823">
        <v>50.91</v>
      </c>
      <c r="D823">
        <v>245.71</v>
      </c>
      <c r="E823">
        <v>325.62</v>
      </c>
      <c r="F823">
        <v>64.180000000000007</v>
      </c>
      <c r="G823" s="4"/>
      <c r="H823" s="10">
        <f t="shared" si="76"/>
        <v>5.5452865064694823E-2</v>
      </c>
      <c r="I823" s="10">
        <f t="shared" si="78"/>
        <v>2.5171163914619488E-2</v>
      </c>
      <c r="J823" s="10">
        <f t="shared" si="79"/>
        <v>4.5263113115242337E-2</v>
      </c>
      <c r="K823" s="10">
        <f t="shared" si="80"/>
        <v>4.1250959324635295E-2</v>
      </c>
      <c r="L823" s="10">
        <f t="shared" si="81"/>
        <v>2.0999045497932078E-2</v>
      </c>
      <c r="M823" s="10">
        <f t="shared" si="77"/>
        <v>3.0563290855777359E-2</v>
      </c>
      <c r="N823" s="1"/>
      <c r="O823" s="2">
        <v>3911.74</v>
      </c>
      <c r="P823" s="12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 spans="1:31" ht="15" thickBot="1" x14ac:dyDescent="0.35">
      <c r="A824" s="1">
        <v>44735</v>
      </c>
      <c r="B824">
        <v>16.23</v>
      </c>
      <c r="C824">
        <v>49.66</v>
      </c>
      <c r="D824">
        <v>235.07</v>
      </c>
      <c r="E824">
        <v>312.72000000000003</v>
      </c>
      <c r="F824">
        <v>62.86</v>
      </c>
      <c r="G824" s="4"/>
      <c r="H824" s="10">
        <f t="shared" si="76"/>
        <v>-7.9462102689485947E-3</v>
      </c>
      <c r="I824" s="10">
        <f t="shared" si="78"/>
        <v>1.0078613182824547E-3</v>
      </c>
      <c r="J824" s="10">
        <f t="shared" si="79"/>
        <v>-4.3203862933627324E-3</v>
      </c>
      <c r="K824" s="10">
        <f t="shared" si="80"/>
        <v>1.9661547490951836E-2</v>
      </c>
      <c r="L824" s="10">
        <f t="shared" si="81"/>
        <v>-2.66336327036234E-2</v>
      </c>
      <c r="M824" s="10">
        <f t="shared" si="77"/>
        <v>9.5321937609877949E-3</v>
      </c>
      <c r="N824" s="1"/>
      <c r="O824" s="2">
        <v>3795.73</v>
      </c>
      <c r="P824" s="12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 spans="1:31" ht="15" thickBot="1" x14ac:dyDescent="0.35">
      <c r="A825" s="1">
        <v>44734</v>
      </c>
      <c r="B825">
        <v>16.36</v>
      </c>
      <c r="C825">
        <v>49.61</v>
      </c>
      <c r="D825">
        <v>236.09</v>
      </c>
      <c r="E825">
        <v>306.69</v>
      </c>
      <c r="F825">
        <v>64.58</v>
      </c>
      <c r="G825" s="4"/>
      <c r="H825" s="10">
        <f t="shared" si="76"/>
        <v>-1.2673506336753237E-2</v>
      </c>
      <c r="I825" s="10">
        <f t="shared" si="78"/>
        <v>-1.5283842794759916E-2</v>
      </c>
      <c r="J825" s="10">
        <f t="shared" si="79"/>
        <v>-4.007762402969961E-3</v>
      </c>
      <c r="K825" s="10">
        <f t="shared" si="80"/>
        <v>3.1445483285128306E-2</v>
      </c>
      <c r="L825" s="10">
        <f t="shared" si="81"/>
        <v>-9.0532453582937711E-3</v>
      </c>
      <c r="M825" s="10">
        <f t="shared" si="77"/>
        <v>-1.3015334188627437E-3</v>
      </c>
      <c r="N825" s="1"/>
      <c r="O825" s="2">
        <v>3759.89</v>
      </c>
      <c r="P825" s="12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 spans="1:31" ht="15" thickBot="1" x14ac:dyDescent="0.35">
      <c r="A826" s="1">
        <v>44733</v>
      </c>
      <c r="B826">
        <v>16.57</v>
      </c>
      <c r="C826">
        <v>50.38</v>
      </c>
      <c r="D826">
        <v>237.04</v>
      </c>
      <c r="E826">
        <v>297.33999999999997</v>
      </c>
      <c r="F826">
        <v>65.17</v>
      </c>
      <c r="G826" s="4"/>
      <c r="H826" s="10">
        <f t="shared" si="76"/>
        <v>4.3450881612090653E-2</v>
      </c>
      <c r="I826" s="10">
        <f t="shared" si="78"/>
        <v>1.0226589131742569E-2</v>
      </c>
      <c r="J826" s="10">
        <f t="shared" si="79"/>
        <v>9.3559697361136784E-2</v>
      </c>
      <c r="K826" s="10">
        <f t="shared" si="80"/>
        <v>2.2138191818494413E-2</v>
      </c>
      <c r="L826" s="10">
        <f t="shared" si="81"/>
        <v>2.2114178168130438E-2</v>
      </c>
      <c r="M826" s="10">
        <f t="shared" si="77"/>
        <v>2.447725615264873E-2</v>
      </c>
      <c r="N826" s="1"/>
      <c r="O826" s="2">
        <v>3764.79</v>
      </c>
      <c r="P826" s="12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 spans="1:31" ht="15" thickBot="1" x14ac:dyDescent="0.35">
      <c r="A827" s="1">
        <v>44729</v>
      </c>
      <c r="B827">
        <v>15.88</v>
      </c>
      <c r="C827">
        <v>49.87</v>
      </c>
      <c r="D827">
        <v>216.76</v>
      </c>
      <c r="E827">
        <v>290.89999999999998</v>
      </c>
      <c r="F827">
        <v>63.76</v>
      </c>
      <c r="G827" s="4"/>
      <c r="H827" s="10">
        <f t="shared" si="76"/>
        <v>1.7948717948718107E-2</v>
      </c>
      <c r="I827" s="10">
        <f t="shared" si="78"/>
        <v>3.016894609815024E-3</v>
      </c>
      <c r="J827" s="10">
        <f t="shared" si="79"/>
        <v>1.717503519474417E-2</v>
      </c>
      <c r="K827" s="10">
        <f t="shared" si="80"/>
        <v>9.8240011108410297E-3</v>
      </c>
      <c r="L827" s="10">
        <f t="shared" si="81"/>
        <v>-1.4680883943749001E-2</v>
      </c>
      <c r="M827" s="10">
        <f t="shared" si="77"/>
        <v>2.2008470670371594E-3</v>
      </c>
      <c r="N827" s="1"/>
      <c r="O827" s="2">
        <v>3674.84</v>
      </c>
      <c r="P827" s="12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 spans="1:31" ht="15" thickBot="1" x14ac:dyDescent="0.35">
      <c r="A828" s="1">
        <v>44728</v>
      </c>
      <c r="B828">
        <v>15.6</v>
      </c>
      <c r="C828">
        <v>49.72</v>
      </c>
      <c r="D828">
        <v>213.1</v>
      </c>
      <c r="E828">
        <v>288.07</v>
      </c>
      <c r="F828">
        <v>64.709999999999994</v>
      </c>
      <c r="G828" s="4"/>
      <c r="H828" s="10">
        <f t="shared" si="76"/>
        <v>-5.6261343012704246E-2</v>
      </c>
      <c r="I828" s="10">
        <f t="shared" si="78"/>
        <v>-5.6009113347256556E-2</v>
      </c>
      <c r="J828" s="10">
        <f t="shared" si="79"/>
        <v>-8.540772532188845E-2</v>
      </c>
      <c r="K828" s="10">
        <f t="shared" si="80"/>
        <v>-1.6792381992559502E-2</v>
      </c>
      <c r="L828" s="10">
        <f t="shared" si="81"/>
        <v>3.2386726228461837E-2</v>
      </c>
      <c r="M828" s="10">
        <f t="shared" si="77"/>
        <v>-3.2511959134456814E-2</v>
      </c>
      <c r="N828" s="1"/>
      <c r="O828" s="2">
        <v>3666.77</v>
      </c>
      <c r="P828" s="12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 spans="1:31" ht="15" thickBot="1" x14ac:dyDescent="0.35">
      <c r="A829" s="1">
        <v>44727</v>
      </c>
      <c r="B829">
        <v>16.53</v>
      </c>
      <c r="C829">
        <v>52.67</v>
      </c>
      <c r="D829">
        <v>233</v>
      </c>
      <c r="E829">
        <v>292.99</v>
      </c>
      <c r="F829">
        <v>62.68</v>
      </c>
      <c r="G829" s="4"/>
      <c r="H829" s="10">
        <f t="shared" si="76"/>
        <v>4.3560606060606188E-2</v>
      </c>
      <c r="I829" s="10">
        <f t="shared" si="78"/>
        <v>1.2495194156093792E-2</v>
      </c>
      <c r="J829" s="10">
        <f t="shared" si="79"/>
        <v>5.4823667888994621E-2</v>
      </c>
      <c r="K829" s="10">
        <f t="shared" si="80"/>
        <v>7.5655971663399768E-3</v>
      </c>
      <c r="L829" s="10">
        <f t="shared" si="81"/>
        <v>-6.4986527183389375E-3</v>
      </c>
      <c r="M829" s="10">
        <f t="shared" si="77"/>
        <v>1.4592502168395916E-2</v>
      </c>
      <c r="N829" s="1"/>
      <c r="O829" s="2">
        <v>3789.99</v>
      </c>
      <c r="P829" s="12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 spans="1:31" ht="15" thickBot="1" x14ac:dyDescent="0.35">
      <c r="A830" s="1">
        <v>44726</v>
      </c>
      <c r="B830">
        <v>15.84</v>
      </c>
      <c r="C830">
        <v>52.02</v>
      </c>
      <c r="D830">
        <v>220.89</v>
      </c>
      <c r="E830">
        <v>290.79000000000002</v>
      </c>
      <c r="F830">
        <v>63.09</v>
      </c>
      <c r="G830" s="4"/>
      <c r="H830" s="10">
        <f t="shared" si="76"/>
        <v>1.2140575079872207E-2</v>
      </c>
      <c r="I830" s="10">
        <f t="shared" si="78"/>
        <v>5.0231839258114697E-3</v>
      </c>
      <c r="J830" s="10">
        <f t="shared" si="79"/>
        <v>2.3871326596829334E-2</v>
      </c>
      <c r="K830" s="10">
        <f t="shared" si="80"/>
        <v>-1.682230156550224E-3</v>
      </c>
      <c r="L830" s="10">
        <f t="shared" si="81"/>
        <v>-2.4129930394431565E-2</v>
      </c>
      <c r="M830" s="10">
        <f t="shared" si="77"/>
        <v>-3.7737056722930706E-3</v>
      </c>
      <c r="N830" s="1"/>
      <c r="O830" s="2">
        <v>3735.48</v>
      </c>
      <c r="P830" s="12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 spans="1:31" ht="15" thickBot="1" x14ac:dyDescent="0.35">
      <c r="A831" s="1">
        <v>44725</v>
      </c>
      <c r="B831">
        <v>15.65</v>
      </c>
      <c r="C831">
        <v>51.76</v>
      </c>
      <c r="D831">
        <v>215.74</v>
      </c>
      <c r="E831">
        <v>291.27999999999997</v>
      </c>
      <c r="F831">
        <v>64.650000000000006</v>
      </c>
      <c r="G831" s="4"/>
      <c r="H831" s="10">
        <f t="shared" si="76"/>
        <v>-7.7784325279905642E-2</v>
      </c>
      <c r="I831" s="10">
        <f t="shared" si="78"/>
        <v>-4.3783484204692469E-2</v>
      </c>
      <c r="J831" s="10">
        <f t="shared" si="79"/>
        <v>-7.1007191146707949E-2</v>
      </c>
      <c r="K831" s="10">
        <f t="shared" si="80"/>
        <v>-1.9292279721221606E-2</v>
      </c>
      <c r="L831" s="10">
        <f t="shared" si="81"/>
        <v>-3.2909498878085142E-2</v>
      </c>
      <c r="M831" s="10">
        <f t="shared" si="77"/>
        <v>-3.8768374153391849E-2</v>
      </c>
      <c r="N831" s="1"/>
      <c r="O831" s="2">
        <v>3749.63</v>
      </c>
      <c r="P831" s="12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 spans="1:31" ht="15" thickBot="1" x14ac:dyDescent="0.35">
      <c r="A832" s="1">
        <v>44722</v>
      </c>
      <c r="B832">
        <v>16.97</v>
      </c>
      <c r="C832">
        <v>54.13</v>
      </c>
      <c r="D832">
        <v>232.23</v>
      </c>
      <c r="E832">
        <v>297.01</v>
      </c>
      <c r="F832">
        <v>66.849999999999994</v>
      </c>
      <c r="G832" s="4"/>
      <c r="H832" s="10">
        <f t="shared" si="76"/>
        <v>-5.9833795013850555E-2</v>
      </c>
      <c r="I832" s="10">
        <f t="shared" si="78"/>
        <v>-2.6788924847177209E-2</v>
      </c>
      <c r="J832" s="10">
        <f t="shared" si="79"/>
        <v>-3.1204371949438925E-2</v>
      </c>
      <c r="K832" s="10">
        <f t="shared" si="80"/>
        <v>-2.0577081615828607E-2</v>
      </c>
      <c r="L832" s="10">
        <f t="shared" si="81"/>
        <v>3.5150201300712336E-2</v>
      </c>
      <c r="M832" s="10">
        <f t="shared" si="77"/>
        <v>-2.9110313553120881E-2</v>
      </c>
      <c r="N832" s="1"/>
      <c r="O832" s="2">
        <v>3900.86</v>
      </c>
      <c r="P832" s="12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 spans="1:31" ht="15" thickBot="1" x14ac:dyDescent="0.35">
      <c r="A833" s="1">
        <v>44721</v>
      </c>
      <c r="B833">
        <v>18.05</v>
      </c>
      <c r="C833">
        <v>55.62</v>
      </c>
      <c r="D833">
        <v>239.71</v>
      </c>
      <c r="E833">
        <v>303.25</v>
      </c>
      <c r="F833">
        <v>64.58</v>
      </c>
      <c r="G833" s="4"/>
      <c r="H833" s="10">
        <f t="shared" si="76"/>
        <v>-3.2171581769436908E-2</v>
      </c>
      <c r="I833" s="10">
        <f t="shared" si="78"/>
        <v>-1.6271666077113611E-2</v>
      </c>
      <c r="J833" s="10">
        <f t="shared" si="79"/>
        <v>-8.9304171662463183E-3</v>
      </c>
      <c r="K833" s="10">
        <f t="shared" si="80"/>
        <v>-3.2664518804427556E-2</v>
      </c>
      <c r="L833" s="10">
        <f t="shared" si="81"/>
        <v>-3.8558880452583044E-2</v>
      </c>
      <c r="M833" s="10">
        <f t="shared" si="77"/>
        <v>-2.3798705952956634E-2</v>
      </c>
      <c r="N833" s="1"/>
      <c r="O833" s="2">
        <v>4017.82</v>
      </c>
      <c r="P833" s="12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 spans="1:31" ht="15" thickBot="1" x14ac:dyDescent="0.35">
      <c r="A834" s="1">
        <v>44720</v>
      </c>
      <c r="B834">
        <v>18.649999999999999</v>
      </c>
      <c r="C834">
        <v>56.54</v>
      </c>
      <c r="D834">
        <v>241.87</v>
      </c>
      <c r="E834">
        <v>313.49</v>
      </c>
      <c r="F834">
        <v>67.17</v>
      </c>
      <c r="G834" s="4"/>
      <c r="H834" s="10">
        <f t="shared" si="76"/>
        <v>-1.4791336502905539E-2</v>
      </c>
      <c r="I834" s="10">
        <f t="shared" si="78"/>
        <v>-1.3263525305410084E-2</v>
      </c>
      <c r="J834" s="10">
        <f t="shared" si="79"/>
        <v>1.2474360584369348E-2</v>
      </c>
      <c r="K834" s="10">
        <f t="shared" si="80"/>
        <v>4.453700736943178E-3</v>
      </c>
      <c r="L834" s="10">
        <f t="shared" si="81"/>
        <v>-1.7695232524129745E-2</v>
      </c>
      <c r="M834" s="10">
        <f t="shared" si="77"/>
        <v>-1.0793908688002896E-2</v>
      </c>
      <c r="N834" s="1"/>
      <c r="O834" s="2">
        <v>4115.7700000000004</v>
      </c>
      <c r="P834" s="12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 spans="1:31" ht="15" thickBot="1" x14ac:dyDescent="0.35">
      <c r="A835" s="1">
        <v>44719</v>
      </c>
      <c r="B835">
        <v>18.93</v>
      </c>
      <c r="C835">
        <v>57.3</v>
      </c>
      <c r="D835">
        <v>238.89</v>
      </c>
      <c r="E835">
        <v>312.10000000000002</v>
      </c>
      <c r="F835">
        <v>68.38</v>
      </c>
      <c r="G835" s="4"/>
      <c r="H835" s="10">
        <f t="shared" si="76"/>
        <v>7.4507716870675367E-3</v>
      </c>
      <c r="I835" s="10">
        <f t="shared" si="78"/>
        <v>2.102637205987179E-2</v>
      </c>
      <c r="J835" s="10">
        <f t="shared" si="79"/>
        <v>2.5600134295786781E-3</v>
      </c>
      <c r="K835" s="10">
        <f t="shared" si="80"/>
        <v>2.8810654008438741E-2</v>
      </c>
      <c r="L835" s="10">
        <f t="shared" si="81"/>
        <v>7.6628352490419882E-3</v>
      </c>
      <c r="M835" s="10">
        <f t="shared" si="77"/>
        <v>9.5233935794130087E-3</v>
      </c>
      <c r="N835" s="1"/>
      <c r="O835" s="2">
        <v>4160.68</v>
      </c>
      <c r="P835" s="12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 spans="1:31" ht="15" thickBot="1" x14ac:dyDescent="0.35">
      <c r="A836" s="1">
        <v>44718</v>
      </c>
      <c r="B836">
        <v>18.79</v>
      </c>
      <c r="C836">
        <v>56.12</v>
      </c>
      <c r="D836">
        <v>238.28</v>
      </c>
      <c r="E836">
        <v>303.36</v>
      </c>
      <c r="F836">
        <v>67.86</v>
      </c>
      <c r="G836" s="4"/>
      <c r="H836" s="10">
        <f t="shared" ref="H836:H899" si="82">(B836/B837)-1</f>
        <v>3.739316239316226E-3</v>
      </c>
      <c r="I836" s="10">
        <f t="shared" si="78"/>
        <v>-3.7280312444523123E-3</v>
      </c>
      <c r="J836" s="10">
        <f t="shared" si="79"/>
        <v>1.6032747740064801E-2</v>
      </c>
      <c r="K836" s="10">
        <f t="shared" si="80"/>
        <v>5.6688214818498839E-3</v>
      </c>
      <c r="L836" s="10">
        <f t="shared" si="81"/>
        <v>5.8979652020063611E-4</v>
      </c>
      <c r="M836" s="10">
        <f t="shared" ref="M836:M899" si="83">(O836/O837)-1</f>
        <v>3.1373675320187644E-3</v>
      </c>
      <c r="N836" s="1"/>
      <c r="O836" s="2">
        <v>4121.43</v>
      </c>
      <c r="P836" s="12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 spans="1:31" ht="15" thickBot="1" x14ac:dyDescent="0.35">
      <c r="A837" s="1">
        <v>44715</v>
      </c>
      <c r="B837">
        <v>18.72</v>
      </c>
      <c r="C837">
        <v>56.33</v>
      </c>
      <c r="D837">
        <v>234.52</v>
      </c>
      <c r="E837">
        <v>301.64999999999998</v>
      </c>
      <c r="F837">
        <v>67.819999999999993</v>
      </c>
      <c r="G837" s="4"/>
      <c r="H837" s="10">
        <f t="shared" si="82"/>
        <v>-4.44104134762634E-2</v>
      </c>
      <c r="I837" s="10">
        <f t="shared" si="78"/>
        <v>-2.323565111843251E-2</v>
      </c>
      <c r="J837" s="10">
        <f t="shared" si="79"/>
        <v>-9.2168931212015526E-2</v>
      </c>
      <c r="K837" s="10">
        <f t="shared" si="80"/>
        <v>-2.5791092153557571E-3</v>
      </c>
      <c r="L837" s="10">
        <f t="shared" si="81"/>
        <v>-1.4100886756796216E-2</v>
      </c>
      <c r="M837" s="10">
        <f t="shared" si="83"/>
        <v>-1.6347364741597592E-2</v>
      </c>
      <c r="N837" s="1"/>
      <c r="O837" s="2">
        <v>4108.54</v>
      </c>
      <c r="P837" s="12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 spans="1:31" ht="15" thickBot="1" x14ac:dyDescent="0.35">
      <c r="A838" s="1">
        <v>44714</v>
      </c>
      <c r="B838">
        <v>19.59</v>
      </c>
      <c r="C838">
        <v>57.67</v>
      </c>
      <c r="D838">
        <v>258.33</v>
      </c>
      <c r="E838">
        <v>302.43</v>
      </c>
      <c r="F838">
        <v>68.790000000000006</v>
      </c>
      <c r="G838" s="4"/>
      <c r="H838" s="10">
        <f t="shared" si="82"/>
        <v>6.9323144104803447E-2</v>
      </c>
      <c r="I838" s="10">
        <f t="shared" si="78"/>
        <v>5.4044630404463945E-3</v>
      </c>
      <c r="J838" s="10">
        <f t="shared" si="79"/>
        <v>4.6760403581992849E-2</v>
      </c>
      <c r="K838" s="10">
        <f t="shared" si="80"/>
        <v>-2.7806352063777684E-2</v>
      </c>
      <c r="L838" s="10">
        <f t="shared" si="81"/>
        <v>2.2595510628809379E-2</v>
      </c>
      <c r="M838" s="10">
        <f t="shared" si="83"/>
        <v>1.8431056049039052E-2</v>
      </c>
      <c r="N838" s="1"/>
      <c r="O838" s="2">
        <v>4176.82</v>
      </c>
      <c r="P838" s="12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 spans="1:31" ht="15" thickBot="1" x14ac:dyDescent="0.35">
      <c r="A839" s="1">
        <v>44713</v>
      </c>
      <c r="B839">
        <v>18.32</v>
      </c>
      <c r="C839">
        <v>57.36</v>
      </c>
      <c r="D839">
        <v>246.79</v>
      </c>
      <c r="E839">
        <v>311.08</v>
      </c>
      <c r="F839">
        <v>67.27</v>
      </c>
      <c r="G839" s="4"/>
      <c r="H839" s="10">
        <f t="shared" si="82"/>
        <v>-1.8746652383503037E-2</v>
      </c>
      <c r="I839" s="10">
        <f t="shared" si="78"/>
        <v>-1.1204964661265304E-2</v>
      </c>
      <c r="J839" s="10">
        <f t="shared" si="79"/>
        <v>-2.3580613254203797E-2</v>
      </c>
      <c r="K839" s="10">
        <f t="shared" si="80"/>
        <v>-7.529351710056198E-3</v>
      </c>
      <c r="L839" s="10">
        <f t="shared" si="81"/>
        <v>-8.5482682387619802E-3</v>
      </c>
      <c r="M839" s="10">
        <f t="shared" si="83"/>
        <v>-7.4827874109120174E-3</v>
      </c>
      <c r="N839" s="1"/>
      <c r="O839" s="2">
        <v>4101.2299999999996</v>
      </c>
      <c r="P839" s="12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 spans="1:31" ht="15" thickBot="1" x14ac:dyDescent="0.35">
      <c r="A840" s="1">
        <v>44712</v>
      </c>
      <c r="B840">
        <v>18.670000000000002</v>
      </c>
      <c r="C840">
        <v>58.01</v>
      </c>
      <c r="D840">
        <v>252.75</v>
      </c>
      <c r="E840">
        <v>313.44</v>
      </c>
      <c r="F840">
        <v>67.849999999999994</v>
      </c>
      <c r="G840" s="4"/>
      <c r="H840" s="10">
        <f t="shared" si="82"/>
        <v>-7.4428495481125845E-3</v>
      </c>
      <c r="I840" s="10">
        <f t="shared" si="78"/>
        <v>-5.4860277730156559E-3</v>
      </c>
      <c r="J840" s="10">
        <f t="shared" si="79"/>
        <v>-1.8166739070337723E-3</v>
      </c>
      <c r="K840" s="10">
        <f t="shared" si="80"/>
        <v>-3.1037467540497188E-2</v>
      </c>
      <c r="L840" s="10">
        <f t="shared" si="81"/>
        <v>-1.2516373162567263E-2</v>
      </c>
      <c r="M840" s="10">
        <f t="shared" si="83"/>
        <v>-6.2742891223209751E-3</v>
      </c>
      <c r="N840" s="1"/>
      <c r="O840" s="2">
        <v>4132.1499999999996</v>
      </c>
      <c r="P840" s="12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 spans="1:31" ht="15" thickBot="1" x14ac:dyDescent="0.35">
      <c r="A841" s="1">
        <v>44708</v>
      </c>
      <c r="B841">
        <v>18.809999999999999</v>
      </c>
      <c r="C841">
        <v>58.33</v>
      </c>
      <c r="D841">
        <v>253.21</v>
      </c>
      <c r="E841">
        <v>323.48</v>
      </c>
      <c r="F841">
        <v>68.709999999999994</v>
      </c>
      <c r="G841" s="4"/>
      <c r="H841" s="10">
        <f t="shared" si="82"/>
        <v>5.3781512605041826E-2</v>
      </c>
      <c r="I841" s="10">
        <f t="shared" si="78"/>
        <v>5.9197385146177561E-2</v>
      </c>
      <c r="J841" s="10">
        <f t="shared" si="79"/>
        <v>7.3333050739688987E-2</v>
      </c>
      <c r="K841" s="10">
        <f t="shared" si="80"/>
        <v>3.196580105914637E-2</v>
      </c>
      <c r="L841" s="10">
        <f t="shared" si="81"/>
        <v>0</v>
      </c>
      <c r="M841" s="10">
        <f t="shared" si="83"/>
        <v>2.4742227391912897E-2</v>
      </c>
      <c r="N841" s="1"/>
      <c r="O841" s="2">
        <v>4158.24</v>
      </c>
      <c r="P841" s="12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 spans="1:31" ht="15" thickBot="1" x14ac:dyDescent="0.35">
      <c r="A842" s="1">
        <v>44707</v>
      </c>
      <c r="B842">
        <v>17.850000000000001</v>
      </c>
      <c r="C842">
        <v>55.07</v>
      </c>
      <c r="D842">
        <v>235.91</v>
      </c>
      <c r="E842">
        <v>313.45999999999998</v>
      </c>
      <c r="F842">
        <v>68.709999999999994</v>
      </c>
      <c r="G842" s="4"/>
      <c r="H842" s="10">
        <f t="shared" si="82"/>
        <v>5.1236749116607916E-2</v>
      </c>
      <c r="I842" s="10">
        <f t="shared" si="78"/>
        <v>3.5929270127915691E-2</v>
      </c>
      <c r="J842" s="10">
        <f t="shared" si="79"/>
        <v>7.4271402550091015E-2</v>
      </c>
      <c r="K842" s="10">
        <f t="shared" si="80"/>
        <v>2.1009087651868041E-2</v>
      </c>
      <c r="L842" s="10">
        <f t="shared" si="81"/>
        <v>-1.1935576646534551E-2</v>
      </c>
      <c r="M842" s="10">
        <f t="shared" si="83"/>
        <v>1.988322907058282E-2</v>
      </c>
      <c r="N842" s="1"/>
      <c r="O842" s="2">
        <v>4057.84</v>
      </c>
      <c r="P842" s="12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 spans="1:31" ht="15" thickBot="1" x14ac:dyDescent="0.35">
      <c r="A843" s="1">
        <v>44706</v>
      </c>
      <c r="B843">
        <v>16.98</v>
      </c>
      <c r="C843">
        <v>53.16</v>
      </c>
      <c r="D843">
        <v>219.6</v>
      </c>
      <c r="E843">
        <v>307.01</v>
      </c>
      <c r="F843">
        <v>69.540000000000006</v>
      </c>
      <c r="G843" s="4"/>
      <c r="H843" s="10">
        <f t="shared" si="82"/>
        <v>5.139318885448918E-2</v>
      </c>
      <c r="I843" s="10">
        <f t="shared" si="78"/>
        <v>1.411674933231577E-2</v>
      </c>
      <c r="J843" s="10">
        <f t="shared" si="79"/>
        <v>4.8760685801614301E-2</v>
      </c>
      <c r="K843" s="10">
        <f t="shared" si="80"/>
        <v>3.4318211530919296E-3</v>
      </c>
      <c r="L843" s="10">
        <f t="shared" si="81"/>
        <v>7.5340481019996464E-3</v>
      </c>
      <c r="M843" s="10">
        <f t="shared" si="83"/>
        <v>9.4507646873762674E-3</v>
      </c>
      <c r="N843" s="1"/>
      <c r="O843" s="2">
        <v>3978.73</v>
      </c>
      <c r="P843" s="12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 spans="1:31" ht="15" thickBot="1" x14ac:dyDescent="0.35">
      <c r="A844" s="1">
        <v>44705</v>
      </c>
      <c r="B844">
        <v>16.149999999999999</v>
      </c>
      <c r="C844">
        <v>52.42</v>
      </c>
      <c r="D844">
        <v>209.39</v>
      </c>
      <c r="E844">
        <v>305.95999999999998</v>
      </c>
      <c r="F844">
        <v>69.02</v>
      </c>
      <c r="G844" s="4"/>
      <c r="H844" s="10">
        <f t="shared" si="82"/>
        <v>-4.4378698224852076E-2</v>
      </c>
      <c r="I844" s="10">
        <f t="shared" si="78"/>
        <v>-4.1793313069908855E-3</v>
      </c>
      <c r="J844" s="10">
        <f t="shared" si="79"/>
        <v>-6.9253678268213603E-2</v>
      </c>
      <c r="K844" s="10">
        <f t="shared" si="80"/>
        <v>1.1103767349636362E-2</v>
      </c>
      <c r="L844" s="10">
        <f t="shared" si="81"/>
        <v>2.35800088981164E-2</v>
      </c>
      <c r="M844" s="10">
        <f t="shared" si="83"/>
        <v>-8.1207927021075266E-3</v>
      </c>
      <c r="N844" s="1"/>
      <c r="O844" s="2">
        <v>3941.48</v>
      </c>
      <c r="P844" s="12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 spans="1:31" ht="15" thickBot="1" x14ac:dyDescent="0.35">
      <c r="A845" s="1">
        <v>44704</v>
      </c>
      <c r="B845">
        <v>16.899999999999999</v>
      </c>
      <c r="C845">
        <v>52.64</v>
      </c>
      <c r="D845">
        <v>224.97</v>
      </c>
      <c r="E845">
        <v>302.60000000000002</v>
      </c>
      <c r="F845">
        <v>67.430000000000007</v>
      </c>
      <c r="G845" s="4"/>
      <c r="H845" s="10">
        <f t="shared" si="82"/>
        <v>1.2582384661473878E-2</v>
      </c>
      <c r="I845" s="10">
        <f t="shared" si="78"/>
        <v>-3.0927835051546393E-2</v>
      </c>
      <c r="J845" s="10">
        <f t="shared" si="79"/>
        <v>1.6583822864889131E-2</v>
      </c>
      <c r="K845" s="10">
        <f t="shared" si="80"/>
        <v>1.2548101054040472E-2</v>
      </c>
      <c r="L845" s="10">
        <f t="shared" si="81"/>
        <v>3.5719601131121159E-3</v>
      </c>
      <c r="M845" s="10">
        <f t="shared" si="83"/>
        <v>1.8555067976295359E-2</v>
      </c>
      <c r="N845" s="1"/>
      <c r="O845" s="2">
        <v>3973.75</v>
      </c>
      <c r="P845" s="12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 spans="1:31" ht="15" thickBot="1" x14ac:dyDescent="0.35">
      <c r="A846" s="1">
        <v>44701</v>
      </c>
      <c r="B846">
        <v>16.690000000000001</v>
      </c>
      <c r="C846">
        <v>54.32</v>
      </c>
      <c r="D846">
        <v>221.3</v>
      </c>
      <c r="E846">
        <v>298.85000000000002</v>
      </c>
      <c r="F846">
        <v>67.19</v>
      </c>
      <c r="G846" s="4"/>
      <c r="H846" s="10">
        <f t="shared" si="82"/>
        <v>-2.5116822429906538E-2</v>
      </c>
      <c r="I846" s="10">
        <f t="shared" si="78"/>
        <v>-5.492493592090808E-3</v>
      </c>
      <c r="J846" s="10">
        <f t="shared" si="79"/>
        <v>-6.4151900875375256E-2</v>
      </c>
      <c r="K846" s="10">
        <f t="shared" si="80"/>
        <v>4.3944527893247765E-2</v>
      </c>
      <c r="L846" s="10">
        <f t="shared" si="81"/>
        <v>1.6336409015277553E-2</v>
      </c>
      <c r="M846" s="10">
        <f t="shared" si="83"/>
        <v>1.4612424662696633E-4</v>
      </c>
      <c r="N846" s="1"/>
      <c r="O846" s="2">
        <v>3901.36</v>
      </c>
      <c r="P846" s="12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 spans="1:31" ht="15" thickBot="1" x14ac:dyDescent="0.35">
      <c r="A847" s="1">
        <v>44700</v>
      </c>
      <c r="B847">
        <v>17.12</v>
      </c>
      <c r="C847">
        <v>54.62</v>
      </c>
      <c r="D847">
        <v>236.47</v>
      </c>
      <c r="E847">
        <v>286.27</v>
      </c>
      <c r="F847">
        <v>66.11</v>
      </c>
      <c r="G847" s="4"/>
      <c r="H847" s="10">
        <f t="shared" si="82"/>
        <v>1.0625737898465104E-2</v>
      </c>
      <c r="I847" s="10">
        <f t="shared" si="78"/>
        <v>-4.2762004907115347E-2</v>
      </c>
      <c r="J847" s="10">
        <f t="shared" si="79"/>
        <v>-5.494505494505475E-4</v>
      </c>
      <c r="K847" s="10">
        <f t="shared" si="80"/>
        <v>-3.0217825807107301E-2</v>
      </c>
      <c r="L847" s="10">
        <f t="shared" si="81"/>
        <v>3.4909204758923007E-2</v>
      </c>
      <c r="M847" s="10">
        <f t="shared" si="83"/>
        <v>-5.8338090771927753E-3</v>
      </c>
      <c r="N847" s="1"/>
      <c r="O847" s="2">
        <v>3900.79</v>
      </c>
      <c r="P847" s="12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 spans="1:31" ht="15" thickBot="1" x14ac:dyDescent="0.35">
      <c r="A848" s="1">
        <v>44699</v>
      </c>
      <c r="B848">
        <v>16.940000000000001</v>
      </c>
      <c r="C848">
        <v>57.06</v>
      </c>
      <c r="D848">
        <v>236.6</v>
      </c>
      <c r="E848">
        <v>295.19</v>
      </c>
      <c r="F848">
        <v>63.88</v>
      </c>
      <c r="G848" s="4"/>
      <c r="H848" s="10">
        <f t="shared" si="82"/>
        <v>-6.820682068206807E-2</v>
      </c>
      <c r="I848" s="10">
        <f t="shared" si="78"/>
        <v>-6.1667488899851963E-2</v>
      </c>
      <c r="J848" s="10">
        <f t="shared" si="79"/>
        <v>-6.802694292354361E-2</v>
      </c>
      <c r="K848" s="10">
        <f t="shared" si="80"/>
        <v>-2.0603848706038375E-2</v>
      </c>
      <c r="L848" s="10">
        <f t="shared" si="81"/>
        <v>-2.4732824427480926E-2</v>
      </c>
      <c r="M848" s="10">
        <f t="shared" si="83"/>
        <v>-4.0395221150201222E-2</v>
      </c>
      <c r="N848" s="1"/>
      <c r="O848" s="2">
        <v>3923.68</v>
      </c>
      <c r="P848" s="12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 spans="1:31" ht="15" thickBot="1" x14ac:dyDescent="0.35">
      <c r="A849" s="1">
        <v>44698</v>
      </c>
      <c r="B849">
        <v>18.18</v>
      </c>
      <c r="C849">
        <v>60.81</v>
      </c>
      <c r="D849">
        <v>253.87</v>
      </c>
      <c r="E849">
        <v>301.39999999999998</v>
      </c>
      <c r="F849">
        <v>65.5</v>
      </c>
      <c r="G849" s="4"/>
      <c r="H849" s="10">
        <f t="shared" si="82"/>
        <v>5.330243337195828E-2</v>
      </c>
      <c r="I849" s="10">
        <f t="shared" si="78"/>
        <v>4.3590183627938872E-2</v>
      </c>
      <c r="J849" s="10">
        <f t="shared" si="79"/>
        <v>5.1395676302493198E-2</v>
      </c>
      <c r="K849" s="10">
        <f t="shared" si="80"/>
        <v>6.7472777072616896E-3</v>
      </c>
      <c r="L849" s="10">
        <f t="shared" si="81"/>
        <v>7.6394194041240482E-4</v>
      </c>
      <c r="M849" s="10">
        <f t="shared" si="83"/>
        <v>2.0169610355263545E-2</v>
      </c>
      <c r="N849" s="1"/>
      <c r="O849" s="2">
        <v>4088.85</v>
      </c>
      <c r="P849" s="12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 spans="1:31" ht="15" thickBot="1" x14ac:dyDescent="0.35">
      <c r="A850" s="1">
        <v>44697</v>
      </c>
      <c r="B850">
        <v>17.260000000000002</v>
      </c>
      <c r="C850">
        <v>58.27</v>
      </c>
      <c r="D850">
        <v>241.46</v>
      </c>
      <c r="E850">
        <v>299.38</v>
      </c>
      <c r="F850">
        <v>65.45</v>
      </c>
      <c r="G850" s="4"/>
      <c r="H850" s="10">
        <f t="shared" si="82"/>
        <v>-2.5409373235460109E-2</v>
      </c>
      <c r="I850" s="10">
        <f t="shared" si="78"/>
        <v>-9.3505610336619416E-3</v>
      </c>
      <c r="J850" s="10">
        <f t="shared" si="79"/>
        <v>-5.8745565820761625E-2</v>
      </c>
      <c r="K850" s="10">
        <f t="shared" si="80"/>
        <v>2.6574769399581699E-2</v>
      </c>
      <c r="L850" s="10">
        <f t="shared" si="81"/>
        <v>3.0651340996168397E-3</v>
      </c>
      <c r="M850" s="10">
        <f t="shared" si="83"/>
        <v>-3.9464299471405617E-3</v>
      </c>
      <c r="N850" s="1"/>
      <c r="O850" s="2">
        <v>4008.01</v>
      </c>
      <c r="P850" s="12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 spans="1:31" ht="15" thickBot="1" x14ac:dyDescent="0.35">
      <c r="A851" s="1">
        <v>44694</v>
      </c>
      <c r="B851">
        <v>17.71</v>
      </c>
      <c r="C851">
        <v>58.82</v>
      </c>
      <c r="D851">
        <v>256.52999999999997</v>
      </c>
      <c r="E851">
        <v>291.63</v>
      </c>
      <c r="F851">
        <v>65.25</v>
      </c>
      <c r="G851" s="4"/>
      <c r="H851" s="10">
        <f t="shared" si="82"/>
        <v>9.4561186650185425E-2</v>
      </c>
      <c r="I851" s="10">
        <f t="shared" ref="I851:I914" si="84">(C851/C852)-1</f>
        <v>2.9041287613716049E-2</v>
      </c>
      <c r="J851" s="10">
        <f t="shared" ref="J851:J914" si="85">(D851/D852)-1</f>
        <v>5.7114600074174682E-2</v>
      </c>
      <c r="K851" s="10">
        <f t="shared" ref="K851:K914" si="86">(E851/E852)-1</f>
        <v>-5.8259081562717085E-4</v>
      </c>
      <c r="L851" s="10">
        <f t="shared" ref="L851:L914" si="87">(F851/F852)-1</f>
        <v>-1.5302218821727775E-3</v>
      </c>
      <c r="M851" s="10">
        <f t="shared" si="83"/>
        <v>2.386974310955492E-2</v>
      </c>
      <c r="N851" s="1"/>
      <c r="O851" s="2">
        <v>4023.89</v>
      </c>
      <c r="P851" s="12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 spans="1:31" ht="15" thickBot="1" x14ac:dyDescent="0.35">
      <c r="A852" s="1">
        <v>44693</v>
      </c>
      <c r="B852">
        <v>16.18</v>
      </c>
      <c r="C852">
        <v>57.16</v>
      </c>
      <c r="D852">
        <v>242.67</v>
      </c>
      <c r="E852">
        <v>291.8</v>
      </c>
      <c r="F852">
        <v>65.349999999999994</v>
      </c>
      <c r="G852" s="4"/>
      <c r="H852" s="10">
        <f t="shared" si="82"/>
        <v>-2.7059530968129852E-2</v>
      </c>
      <c r="I852" s="10">
        <f t="shared" si="84"/>
        <v>7.9351084464820421E-3</v>
      </c>
      <c r="J852" s="10">
        <f t="shared" si="85"/>
        <v>-8.1742755548289692E-3</v>
      </c>
      <c r="K852" s="10">
        <f t="shared" si="86"/>
        <v>1.7824130594021437E-2</v>
      </c>
      <c r="L852" s="10">
        <f t="shared" si="87"/>
        <v>-4.4869921075708974E-2</v>
      </c>
      <c r="M852" s="10">
        <f t="shared" si="83"/>
        <v>-1.2960017076728558E-3</v>
      </c>
      <c r="N852" s="1"/>
      <c r="O852" s="2">
        <v>3930.08</v>
      </c>
      <c r="P852" s="12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 spans="1:31" ht="15" thickBot="1" x14ac:dyDescent="0.35">
      <c r="A853" s="1">
        <v>44692</v>
      </c>
      <c r="B853">
        <v>16.63</v>
      </c>
      <c r="C853">
        <v>56.71</v>
      </c>
      <c r="D853">
        <v>244.67</v>
      </c>
      <c r="E853">
        <v>286.69</v>
      </c>
      <c r="F853">
        <v>68.42</v>
      </c>
      <c r="G853" s="4"/>
      <c r="H853" s="10">
        <f t="shared" si="82"/>
        <v>-5.4576463899943195E-2</v>
      </c>
      <c r="I853" s="10">
        <f t="shared" si="84"/>
        <v>-2.4595803233574132E-2</v>
      </c>
      <c r="J853" s="10">
        <f t="shared" si="85"/>
        <v>-8.2533373331333482E-2</v>
      </c>
      <c r="K853" s="10">
        <f t="shared" si="86"/>
        <v>3.4651732586630235E-3</v>
      </c>
      <c r="L853" s="10">
        <f t="shared" si="87"/>
        <v>2.1971583418778362E-3</v>
      </c>
      <c r="M853" s="10">
        <f t="shared" si="83"/>
        <v>-1.6463178415666024E-2</v>
      </c>
      <c r="N853" s="1"/>
      <c r="O853" s="2">
        <v>3935.18</v>
      </c>
      <c r="P853" s="12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 spans="1:31" ht="15" thickBot="1" x14ac:dyDescent="0.35">
      <c r="A854" s="1">
        <v>44691</v>
      </c>
      <c r="B854">
        <v>17.59</v>
      </c>
      <c r="C854">
        <v>58.14</v>
      </c>
      <c r="D854">
        <v>266.68</v>
      </c>
      <c r="E854">
        <v>285.7</v>
      </c>
      <c r="F854">
        <v>68.27</v>
      </c>
      <c r="G854" s="4"/>
      <c r="H854" s="10">
        <f t="shared" si="82"/>
        <v>3.775811209439528E-2</v>
      </c>
      <c r="I854" s="10">
        <f t="shared" si="84"/>
        <v>3.2865517853970516E-2</v>
      </c>
      <c r="J854" s="10">
        <f t="shared" si="85"/>
        <v>1.6427182985859767E-2</v>
      </c>
      <c r="K854" s="10">
        <f t="shared" si="86"/>
        <v>-1.2204819693669489E-2</v>
      </c>
      <c r="L854" s="10">
        <f t="shared" si="87"/>
        <v>-9.4312246082415285E-3</v>
      </c>
      <c r="M854" s="10">
        <f t="shared" si="83"/>
        <v>2.4578827632515399E-3</v>
      </c>
      <c r="N854" s="1"/>
      <c r="O854" s="2">
        <v>4001.05</v>
      </c>
      <c r="P854" s="12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 spans="1:31" ht="15" thickBot="1" x14ac:dyDescent="0.35">
      <c r="A855" s="1">
        <v>44690</v>
      </c>
      <c r="B855">
        <v>16.95</v>
      </c>
      <c r="C855">
        <v>56.29</v>
      </c>
      <c r="D855">
        <v>262.37</v>
      </c>
      <c r="E855">
        <v>289.23</v>
      </c>
      <c r="F855">
        <v>68.92</v>
      </c>
      <c r="G855" s="4"/>
      <c r="H855" s="10">
        <f t="shared" si="82"/>
        <v>-9.2612419700214166E-2</v>
      </c>
      <c r="I855" s="10">
        <f t="shared" si="84"/>
        <v>-2.9650060334425077E-2</v>
      </c>
      <c r="J855" s="10">
        <f t="shared" si="85"/>
        <v>-9.0729509617050841E-2</v>
      </c>
      <c r="K855" s="10">
        <f t="shared" si="86"/>
        <v>-2.5833614011451567E-2</v>
      </c>
      <c r="L855" s="10">
        <f t="shared" si="87"/>
        <v>-5.4206120488541232E-2</v>
      </c>
      <c r="M855" s="10">
        <f t="shared" si="83"/>
        <v>-3.2037134944001844E-2</v>
      </c>
      <c r="N855" s="1"/>
      <c r="O855" s="2">
        <v>3991.24</v>
      </c>
      <c r="P855" s="12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 spans="1:31" ht="15" thickBot="1" x14ac:dyDescent="0.35">
      <c r="A856" s="1">
        <v>44687</v>
      </c>
      <c r="B856">
        <v>18.68</v>
      </c>
      <c r="C856">
        <v>58.01</v>
      </c>
      <c r="D856">
        <v>288.55</v>
      </c>
      <c r="E856">
        <v>296.89999999999998</v>
      </c>
      <c r="F856">
        <v>72.87</v>
      </c>
      <c r="G856" s="4"/>
      <c r="H856" s="10">
        <f t="shared" si="82"/>
        <v>-8.4925690021231404E-3</v>
      </c>
      <c r="I856" s="10">
        <f t="shared" si="84"/>
        <v>1.7241379310339866E-4</v>
      </c>
      <c r="J856" s="10">
        <f t="shared" si="85"/>
        <v>-8.7258236284309953E-3</v>
      </c>
      <c r="K856" s="10">
        <f t="shared" si="86"/>
        <v>1.549406573861889E-2</v>
      </c>
      <c r="L856" s="10">
        <f t="shared" si="87"/>
        <v>7.3265136853746249E-3</v>
      </c>
      <c r="M856" s="10">
        <f t="shared" si="83"/>
        <v>-5.6741590645473794E-3</v>
      </c>
      <c r="N856" s="1"/>
      <c r="O856" s="2">
        <v>4123.34</v>
      </c>
      <c r="P856" s="12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 spans="1:31" ht="15" thickBot="1" x14ac:dyDescent="0.35">
      <c r="A857" s="1">
        <v>44686</v>
      </c>
      <c r="B857">
        <v>18.84</v>
      </c>
      <c r="C857">
        <v>58</v>
      </c>
      <c r="D857">
        <v>291.08999999999997</v>
      </c>
      <c r="E857">
        <v>292.37</v>
      </c>
      <c r="F857">
        <v>72.34</v>
      </c>
      <c r="G857" s="4"/>
      <c r="H857" s="10">
        <f t="shared" si="82"/>
        <v>-7.3290703393998902E-2</v>
      </c>
      <c r="I857" s="10">
        <f t="shared" si="84"/>
        <v>-3.9257909557727344E-2</v>
      </c>
      <c r="J857" s="10">
        <f t="shared" si="85"/>
        <v>-8.3296592555268778E-2</v>
      </c>
      <c r="K857" s="10">
        <f t="shared" si="86"/>
        <v>-8.5791793828415841E-3</v>
      </c>
      <c r="L857" s="10">
        <f t="shared" si="87"/>
        <v>-1.4307126311486562E-2</v>
      </c>
      <c r="M857" s="10">
        <f t="shared" si="83"/>
        <v>-3.5649753381843063E-2</v>
      </c>
      <c r="N857" s="1"/>
      <c r="O857" s="2">
        <v>4146.87</v>
      </c>
      <c r="P857" s="12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 spans="1:31" ht="15" thickBot="1" x14ac:dyDescent="0.35">
      <c r="A858" s="1">
        <v>44685</v>
      </c>
      <c r="B858">
        <v>20.329999999999998</v>
      </c>
      <c r="C858">
        <v>60.37</v>
      </c>
      <c r="D858">
        <v>317.54000000000002</v>
      </c>
      <c r="E858">
        <v>294.89999999999998</v>
      </c>
      <c r="F858">
        <v>73.39</v>
      </c>
      <c r="G858" s="4"/>
      <c r="H858" s="10">
        <f t="shared" si="82"/>
        <v>3.7244897959183509E-2</v>
      </c>
      <c r="I858" s="10">
        <f t="shared" si="84"/>
        <v>3.8713007570543745E-2</v>
      </c>
      <c r="J858" s="10">
        <f t="shared" si="85"/>
        <v>4.7710175531213039E-2</v>
      </c>
      <c r="K858" s="10">
        <f t="shared" si="86"/>
        <v>2.3709515048425667E-2</v>
      </c>
      <c r="L858" s="10">
        <f t="shared" si="87"/>
        <v>1.5919158361018981E-2</v>
      </c>
      <c r="M858" s="10">
        <f t="shared" si="83"/>
        <v>2.9862434977535601E-2</v>
      </c>
      <c r="N858" s="1"/>
      <c r="O858" s="2">
        <v>4300.17</v>
      </c>
      <c r="P858" s="12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 spans="1:31" ht="15" thickBot="1" x14ac:dyDescent="0.35">
      <c r="A859" s="1">
        <v>44684</v>
      </c>
      <c r="B859">
        <v>19.600000000000001</v>
      </c>
      <c r="C859">
        <v>58.12</v>
      </c>
      <c r="D859">
        <v>303.08</v>
      </c>
      <c r="E859">
        <v>288.07</v>
      </c>
      <c r="F859">
        <v>72.239999999999995</v>
      </c>
      <c r="G859" s="4"/>
      <c r="H859" s="10">
        <f t="shared" si="82"/>
        <v>3.5842293906809264E-3</v>
      </c>
      <c r="I859" s="10">
        <f t="shared" si="84"/>
        <v>8.5025160506679853E-3</v>
      </c>
      <c r="J859" s="10">
        <f t="shared" si="85"/>
        <v>6.9772077878926808E-3</v>
      </c>
      <c r="K859" s="10">
        <f t="shared" si="86"/>
        <v>-5.145738361652219E-3</v>
      </c>
      <c r="L859" s="10">
        <f t="shared" si="87"/>
        <v>-9.6805421103596245E-4</v>
      </c>
      <c r="M859" s="10">
        <f t="shared" si="83"/>
        <v>4.8371027439124692E-3</v>
      </c>
      <c r="N859" s="1"/>
      <c r="O859" s="2">
        <v>4175.4799999999996</v>
      </c>
      <c r="P859" s="12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 spans="1:31" ht="15" thickBot="1" x14ac:dyDescent="0.35">
      <c r="A860" s="1">
        <v>44683</v>
      </c>
      <c r="B860">
        <v>19.53</v>
      </c>
      <c r="C860">
        <v>57.63</v>
      </c>
      <c r="D860">
        <v>300.98</v>
      </c>
      <c r="E860">
        <v>289.56</v>
      </c>
      <c r="F860">
        <v>72.31</v>
      </c>
      <c r="G860" s="4"/>
      <c r="H860" s="10">
        <f t="shared" si="82"/>
        <v>5.2830188679245271E-2</v>
      </c>
      <c r="I860" s="10">
        <f t="shared" si="84"/>
        <v>3.9502164502164483E-2</v>
      </c>
      <c r="J860" s="10">
        <f t="shared" si="85"/>
        <v>3.6968130921619435E-2</v>
      </c>
      <c r="K860" s="10">
        <f t="shared" si="86"/>
        <v>-8.7974531886488849E-3</v>
      </c>
      <c r="L860" s="10">
        <f t="shared" si="87"/>
        <v>-7.4124914207274184E-3</v>
      </c>
      <c r="M860" s="10">
        <f t="shared" si="83"/>
        <v>5.6753139573999523E-3</v>
      </c>
      <c r="N860" s="1"/>
      <c r="O860" s="2">
        <v>4155.38</v>
      </c>
      <c r="P860" s="12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 spans="1:31" ht="15" thickBot="1" x14ac:dyDescent="0.35">
      <c r="A861" s="1">
        <v>44680</v>
      </c>
      <c r="B861">
        <v>18.55</v>
      </c>
      <c r="C861">
        <v>55.44</v>
      </c>
      <c r="D861">
        <v>290.25</v>
      </c>
      <c r="E861">
        <v>292.13</v>
      </c>
      <c r="F861">
        <v>72.849999999999994</v>
      </c>
      <c r="G861" s="4"/>
      <c r="H861" s="10">
        <f t="shared" si="82"/>
        <v>-6.2184024266936366E-2</v>
      </c>
      <c r="I861" s="10">
        <f t="shared" si="84"/>
        <v>-4.2321644498186317E-2</v>
      </c>
      <c r="J861" s="10">
        <f t="shared" si="85"/>
        <v>-7.692307692307665E-3</v>
      </c>
      <c r="K861" s="10">
        <f t="shared" si="86"/>
        <v>-1.7290678507753898E-2</v>
      </c>
      <c r="L861" s="10">
        <f t="shared" si="87"/>
        <v>-5.8679039301311464E-3</v>
      </c>
      <c r="M861" s="10">
        <f t="shared" si="83"/>
        <v>-3.6284548104956182E-2</v>
      </c>
      <c r="N861" s="1"/>
      <c r="O861" s="2">
        <v>4131.93</v>
      </c>
      <c r="P861" s="12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 spans="1:31" ht="15" thickBot="1" x14ac:dyDescent="0.35">
      <c r="A862" s="1">
        <v>44679</v>
      </c>
      <c r="B862">
        <v>19.78</v>
      </c>
      <c r="C862">
        <v>57.89</v>
      </c>
      <c r="D862">
        <v>292.5</v>
      </c>
      <c r="E862">
        <v>297.27</v>
      </c>
      <c r="F862">
        <v>73.28</v>
      </c>
      <c r="G862" s="4"/>
      <c r="H862" s="10">
        <f t="shared" si="82"/>
        <v>7.4416078218359605E-2</v>
      </c>
      <c r="I862" s="10">
        <f t="shared" si="84"/>
        <v>3.4673815907059868E-2</v>
      </c>
      <c r="J862" s="10">
        <f t="shared" si="85"/>
        <v>-4.5603049278517549E-3</v>
      </c>
      <c r="K862" s="10">
        <f t="shared" si="86"/>
        <v>4.2723350520888159E-2</v>
      </c>
      <c r="L862" s="10">
        <f t="shared" si="87"/>
        <v>1.5943435463745992E-2</v>
      </c>
      <c r="M862" s="10">
        <f t="shared" si="83"/>
        <v>2.474689050564538E-2</v>
      </c>
      <c r="N862" s="1"/>
      <c r="O862" s="2">
        <v>4287.5</v>
      </c>
      <c r="P862" s="12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 spans="1:31" ht="15" thickBot="1" x14ac:dyDescent="0.35">
      <c r="A863" s="1">
        <v>44678</v>
      </c>
      <c r="B863">
        <v>18.41</v>
      </c>
      <c r="C863">
        <v>55.95</v>
      </c>
      <c r="D863">
        <v>293.83999999999997</v>
      </c>
      <c r="E863">
        <v>285.08999999999997</v>
      </c>
      <c r="F863">
        <v>72.13</v>
      </c>
      <c r="G863" s="4"/>
      <c r="H863" s="10">
        <f t="shared" si="82"/>
        <v>-2.0223523150611933E-2</v>
      </c>
      <c r="I863" s="10">
        <f t="shared" si="84"/>
        <v>-1.0712372790572244E-3</v>
      </c>
      <c r="J863" s="10">
        <f t="shared" si="85"/>
        <v>5.8191278154309245E-3</v>
      </c>
      <c r="K863" s="10">
        <f t="shared" si="86"/>
        <v>7.990665770957861E-3</v>
      </c>
      <c r="L863" s="10">
        <f t="shared" si="87"/>
        <v>0</v>
      </c>
      <c r="M863" s="10">
        <f t="shared" si="83"/>
        <v>2.0981030848821192E-3</v>
      </c>
      <c r="N863" s="1"/>
      <c r="O863" s="2">
        <v>4183.96</v>
      </c>
      <c r="P863" s="12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 spans="1:31" ht="15" thickBot="1" x14ac:dyDescent="0.35">
      <c r="A864" s="1">
        <v>44677</v>
      </c>
      <c r="B864">
        <v>18.79</v>
      </c>
      <c r="C864">
        <v>56.01</v>
      </c>
      <c r="D864">
        <v>292.14</v>
      </c>
      <c r="E864">
        <v>282.83</v>
      </c>
      <c r="F864">
        <v>72.13</v>
      </c>
      <c r="G864" s="4"/>
      <c r="H864" s="10">
        <f t="shared" si="82"/>
        <v>-5.577889447236184E-2</v>
      </c>
      <c r="I864" s="10">
        <f t="shared" si="84"/>
        <v>-4.7286953563531187E-2</v>
      </c>
      <c r="J864" s="10">
        <f t="shared" si="85"/>
        <v>-0.12183244656867176</v>
      </c>
      <c r="K864" s="10">
        <f t="shared" si="86"/>
        <v>-8.3099579242637001E-3</v>
      </c>
      <c r="L864" s="10">
        <f t="shared" si="87"/>
        <v>-6.6106596887481883E-3</v>
      </c>
      <c r="M864" s="10">
        <f t="shared" si="83"/>
        <v>-2.8146327383778869E-2</v>
      </c>
      <c r="N864" s="1"/>
      <c r="O864" s="2">
        <v>4175.2</v>
      </c>
      <c r="P864" s="12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 spans="1:31" ht="15" thickBot="1" x14ac:dyDescent="0.35">
      <c r="A865" s="1">
        <v>44676</v>
      </c>
      <c r="B865">
        <v>19.899999999999999</v>
      </c>
      <c r="C865">
        <v>58.79</v>
      </c>
      <c r="D865">
        <v>332.67</v>
      </c>
      <c r="E865">
        <v>285.2</v>
      </c>
      <c r="F865">
        <v>72.61</v>
      </c>
      <c r="G865" s="4"/>
      <c r="H865" s="10">
        <f t="shared" si="82"/>
        <v>1.9467213114753967E-2</v>
      </c>
      <c r="I865" s="10">
        <f t="shared" si="84"/>
        <v>1.5332197614990051E-3</v>
      </c>
      <c r="J865" s="10">
        <f t="shared" si="85"/>
        <v>-7.0145065966209508E-3</v>
      </c>
      <c r="K865" s="10">
        <f t="shared" si="86"/>
        <v>2.3212427797510093E-2</v>
      </c>
      <c r="L865" s="10">
        <f t="shared" si="87"/>
        <v>-2.5630703166935054E-2</v>
      </c>
      <c r="M865" s="10">
        <f t="shared" si="83"/>
        <v>5.6978589721381478E-3</v>
      </c>
      <c r="N865" s="1"/>
      <c r="O865" s="2">
        <v>4296.12</v>
      </c>
      <c r="P865" s="12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 spans="1:31" ht="15" thickBot="1" x14ac:dyDescent="0.35">
      <c r="A866" s="1">
        <v>44673</v>
      </c>
      <c r="B866">
        <v>19.52</v>
      </c>
      <c r="C866">
        <v>58.7</v>
      </c>
      <c r="D866">
        <v>335.02</v>
      </c>
      <c r="E866">
        <v>278.73</v>
      </c>
      <c r="F866">
        <v>74.52</v>
      </c>
      <c r="G866" s="4"/>
      <c r="H866" s="10">
        <f t="shared" si="82"/>
        <v>-3.2705649157581784E-2</v>
      </c>
      <c r="I866" s="10">
        <f t="shared" si="84"/>
        <v>-9.6170069174962292E-3</v>
      </c>
      <c r="J866" s="10">
        <f t="shared" si="85"/>
        <v>-3.6876226729316564E-3</v>
      </c>
      <c r="K866" s="10">
        <f t="shared" si="86"/>
        <v>-3.7567763544076538E-2</v>
      </c>
      <c r="L866" s="10">
        <f t="shared" si="87"/>
        <v>-3.2961328834674397E-2</v>
      </c>
      <c r="M866" s="10">
        <f t="shared" si="83"/>
        <v>-2.773997077607282E-2</v>
      </c>
      <c r="N866" s="1"/>
      <c r="O866" s="2">
        <v>4271.78</v>
      </c>
      <c r="P866" s="12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 spans="1:31" ht="15" thickBot="1" x14ac:dyDescent="0.35">
      <c r="A867" s="1">
        <v>44672</v>
      </c>
      <c r="B867">
        <v>20.18</v>
      </c>
      <c r="C867">
        <v>59.27</v>
      </c>
      <c r="D867">
        <v>336.26</v>
      </c>
      <c r="E867">
        <v>289.61</v>
      </c>
      <c r="F867">
        <v>77.06</v>
      </c>
      <c r="G867" s="4"/>
      <c r="H867" s="10">
        <f t="shared" si="82"/>
        <v>-6.0521415270018641E-2</v>
      </c>
      <c r="I867" s="10">
        <f t="shared" si="84"/>
        <v>-8.3654007026936483E-3</v>
      </c>
      <c r="J867" s="10">
        <f t="shared" si="85"/>
        <v>3.2327387713750655E-2</v>
      </c>
      <c r="K867" s="10">
        <f t="shared" si="86"/>
        <v>-1.1300013655605623E-2</v>
      </c>
      <c r="L867" s="10">
        <f t="shared" si="87"/>
        <v>-6.6957258748032489E-2</v>
      </c>
      <c r="M867" s="10">
        <f t="shared" si="83"/>
        <v>-1.475294038502506E-2</v>
      </c>
      <c r="N867" s="1"/>
      <c r="O867" s="2">
        <v>4393.66</v>
      </c>
      <c r="P867" s="12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 spans="1:31" ht="15" thickBot="1" x14ac:dyDescent="0.35">
      <c r="A868" s="1">
        <v>44671</v>
      </c>
      <c r="B868">
        <v>21.48</v>
      </c>
      <c r="C868">
        <v>59.77</v>
      </c>
      <c r="D868">
        <v>325.73</v>
      </c>
      <c r="E868">
        <v>292.92</v>
      </c>
      <c r="F868">
        <v>82.59</v>
      </c>
      <c r="G868" s="4"/>
      <c r="H868" s="10">
        <f t="shared" si="82"/>
        <v>-3.2432432432432434E-2</v>
      </c>
      <c r="I868" s="10">
        <f t="shared" si="84"/>
        <v>1.6733601070950677E-4</v>
      </c>
      <c r="J868" s="10">
        <f t="shared" si="85"/>
        <v>-4.9573996265172782E-2</v>
      </c>
      <c r="K868" s="10">
        <f t="shared" si="86"/>
        <v>-1.3770580115147535E-2</v>
      </c>
      <c r="L868" s="10">
        <f t="shared" si="87"/>
        <v>-3.2585083272990145E-3</v>
      </c>
      <c r="M868" s="10">
        <f t="shared" si="83"/>
        <v>-6.1852759058855789E-4</v>
      </c>
      <c r="N868" s="1"/>
      <c r="O868" s="2">
        <v>4459.45</v>
      </c>
      <c r="P868" s="12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 spans="1:31" ht="15" thickBot="1" x14ac:dyDescent="0.35">
      <c r="A869" s="1">
        <v>44670</v>
      </c>
      <c r="B869">
        <v>22.2</v>
      </c>
      <c r="C869">
        <v>59.76</v>
      </c>
      <c r="D869">
        <v>342.72</v>
      </c>
      <c r="E869">
        <v>297.01</v>
      </c>
      <c r="F869">
        <v>82.86</v>
      </c>
      <c r="G869" s="4"/>
      <c r="H869" s="10">
        <f t="shared" si="82"/>
        <v>1.9283746556473691E-2</v>
      </c>
      <c r="I869" s="10">
        <f t="shared" si="84"/>
        <v>1.892583120204594E-2</v>
      </c>
      <c r="J869" s="10">
        <f t="shared" si="85"/>
        <v>2.3778229179113541E-2</v>
      </c>
      <c r="K869" s="10">
        <f t="shared" si="86"/>
        <v>-6.0571581554113019E-3</v>
      </c>
      <c r="L869" s="10">
        <f t="shared" si="87"/>
        <v>-2.9969562163427832E-2</v>
      </c>
      <c r="M869" s="10">
        <f t="shared" si="83"/>
        <v>1.6057599693967584E-2</v>
      </c>
      <c r="N869" s="1"/>
      <c r="O869" s="2">
        <v>4462.21</v>
      </c>
      <c r="P869" s="12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 spans="1:31" ht="15" thickBot="1" x14ac:dyDescent="0.35">
      <c r="A870" s="1">
        <v>44669</v>
      </c>
      <c r="B870">
        <v>21.78</v>
      </c>
      <c r="C870">
        <v>58.65</v>
      </c>
      <c r="D870">
        <v>334.76</v>
      </c>
      <c r="E870">
        <v>298.82</v>
      </c>
      <c r="F870">
        <v>85.42</v>
      </c>
      <c r="G870" s="4"/>
      <c r="H870" s="10">
        <f t="shared" si="82"/>
        <v>2.4459078080903085E-2</v>
      </c>
      <c r="I870" s="10">
        <f t="shared" si="84"/>
        <v>2.2133147438131662E-2</v>
      </c>
      <c r="J870" s="10">
        <f t="shared" si="85"/>
        <v>1.9583955167057576E-2</v>
      </c>
      <c r="K870" s="10">
        <f t="shared" si="86"/>
        <v>-1.0070893791824131E-2</v>
      </c>
      <c r="L870" s="10">
        <f t="shared" si="87"/>
        <v>7.667807007196048E-3</v>
      </c>
      <c r="M870" s="10">
        <f t="shared" si="83"/>
        <v>-2.0489050878880199E-4</v>
      </c>
      <c r="N870" s="1"/>
      <c r="O870" s="2">
        <v>4391.6899999999996</v>
      </c>
      <c r="P870" s="12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 spans="1:31" ht="15" thickBot="1" x14ac:dyDescent="0.35">
      <c r="A871" s="1">
        <v>44665</v>
      </c>
      <c r="B871">
        <v>21.26</v>
      </c>
      <c r="C871">
        <v>57.38</v>
      </c>
      <c r="D871">
        <v>328.33</v>
      </c>
      <c r="E871">
        <v>301.86</v>
      </c>
      <c r="F871">
        <v>84.77</v>
      </c>
      <c r="G871" s="4"/>
      <c r="H871" s="10">
        <f t="shared" si="82"/>
        <v>-4.2342342342342243E-2</v>
      </c>
      <c r="I871" s="10">
        <f t="shared" si="84"/>
        <v>-3.1561181434599073E-2</v>
      </c>
      <c r="J871" s="10">
        <f t="shared" si="85"/>
        <v>-3.6562105695589819E-2</v>
      </c>
      <c r="K871" s="10">
        <f t="shared" si="86"/>
        <v>-2.67618198037467E-3</v>
      </c>
      <c r="L871" s="10">
        <f t="shared" si="87"/>
        <v>5.5753262158955152E-3</v>
      </c>
      <c r="M871" s="10">
        <f t="shared" si="83"/>
        <v>-1.2144137417661627E-2</v>
      </c>
      <c r="N871" s="1"/>
      <c r="O871" s="2">
        <v>4392.59</v>
      </c>
      <c r="P871" s="12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 spans="1:31" ht="15" thickBot="1" x14ac:dyDescent="0.35">
      <c r="A872" s="1">
        <v>44664</v>
      </c>
      <c r="B872">
        <v>22.2</v>
      </c>
      <c r="C872">
        <v>59.25</v>
      </c>
      <c r="D872">
        <v>340.79</v>
      </c>
      <c r="E872">
        <v>302.67</v>
      </c>
      <c r="F872">
        <v>84.3</v>
      </c>
      <c r="G872" s="4"/>
      <c r="H872" s="10">
        <f t="shared" si="82"/>
        <v>3.2558139534883734E-2</v>
      </c>
      <c r="I872" s="10">
        <f t="shared" si="84"/>
        <v>1.2647410699025752E-2</v>
      </c>
      <c r="J872" s="10">
        <f t="shared" si="85"/>
        <v>3.5898838835187519E-2</v>
      </c>
      <c r="K872" s="10">
        <f t="shared" si="86"/>
        <v>-1.7560373928849571E-2</v>
      </c>
      <c r="L872" s="10">
        <f t="shared" si="87"/>
        <v>2.1818181818181737E-2</v>
      </c>
      <c r="M872" s="10">
        <f t="shared" si="83"/>
        <v>1.1174658040455254E-2</v>
      </c>
      <c r="N872" s="1"/>
      <c r="O872" s="2">
        <v>4446.59</v>
      </c>
      <c r="P872" s="12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 spans="1:31" ht="15" thickBot="1" x14ac:dyDescent="0.35">
      <c r="A873" s="1">
        <v>44663</v>
      </c>
      <c r="B873">
        <v>21.5</v>
      </c>
      <c r="C873">
        <v>58.51</v>
      </c>
      <c r="D873">
        <v>328.98</v>
      </c>
      <c r="E873">
        <v>308.08</v>
      </c>
      <c r="F873">
        <v>82.5</v>
      </c>
      <c r="G873" s="4"/>
      <c r="H873" s="10">
        <f t="shared" si="82"/>
        <v>-1.9160583941605913E-2</v>
      </c>
      <c r="I873" s="10">
        <f t="shared" si="84"/>
        <v>7.7506028246641101E-3</v>
      </c>
      <c r="J873" s="10">
        <f t="shared" si="85"/>
        <v>1.1281546832252465E-2</v>
      </c>
      <c r="K873" s="10">
        <f t="shared" si="86"/>
        <v>-2.8482651475919551E-3</v>
      </c>
      <c r="L873" s="10">
        <f t="shared" si="87"/>
        <v>1.4261126137201874E-2</v>
      </c>
      <c r="M873" s="10">
        <f t="shared" si="83"/>
        <v>-3.4175405039739148E-3</v>
      </c>
      <c r="N873" s="1"/>
      <c r="O873" s="2">
        <v>4397.45</v>
      </c>
      <c r="P873" s="12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 spans="1:31" ht="15" thickBot="1" x14ac:dyDescent="0.35">
      <c r="A874" s="1">
        <v>44662</v>
      </c>
      <c r="B874">
        <v>21.92</v>
      </c>
      <c r="C874">
        <v>58.06</v>
      </c>
      <c r="D874">
        <v>325.31</v>
      </c>
      <c r="E874">
        <v>308.95999999999998</v>
      </c>
      <c r="F874">
        <v>81.34</v>
      </c>
      <c r="G874" s="4"/>
      <c r="H874" s="10">
        <f t="shared" si="82"/>
        <v>-5.1903114186851229E-2</v>
      </c>
      <c r="I874" s="10">
        <f t="shared" si="84"/>
        <v>-1.0902896081771751E-2</v>
      </c>
      <c r="J874" s="10">
        <f t="shared" si="85"/>
        <v>-4.8328116315127345E-2</v>
      </c>
      <c r="K874" s="10">
        <f t="shared" si="86"/>
        <v>-8.7587025570278199E-3</v>
      </c>
      <c r="L874" s="10">
        <f t="shared" si="87"/>
        <v>-9.4982951777886626E-3</v>
      </c>
      <c r="M874" s="10">
        <f t="shared" si="83"/>
        <v>-1.6877289295676778E-2</v>
      </c>
      <c r="N874" s="1"/>
      <c r="O874" s="2">
        <v>4412.53</v>
      </c>
      <c r="P874" s="12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 spans="1:31" ht="15" thickBot="1" x14ac:dyDescent="0.35">
      <c r="A875" s="1">
        <v>44659</v>
      </c>
      <c r="B875">
        <v>23.12</v>
      </c>
      <c r="C875">
        <v>58.7</v>
      </c>
      <c r="D875">
        <v>341.83</v>
      </c>
      <c r="E875">
        <v>311.69</v>
      </c>
      <c r="F875">
        <v>82.12</v>
      </c>
      <c r="G875" s="4"/>
      <c r="H875" s="10">
        <f t="shared" si="82"/>
        <v>-4.5022717885171426E-2</v>
      </c>
      <c r="I875" s="10">
        <f t="shared" si="84"/>
        <v>-2.6533996683250294E-2</v>
      </c>
      <c r="J875" s="10">
        <f t="shared" si="85"/>
        <v>-3.0049372907326566E-2</v>
      </c>
      <c r="K875" s="10">
        <f t="shared" si="86"/>
        <v>1.0569659241967289E-2</v>
      </c>
      <c r="L875" s="10">
        <f t="shared" si="87"/>
        <v>1.3451807972356011E-2</v>
      </c>
      <c r="M875" s="10">
        <f t="shared" si="83"/>
        <v>-2.6509873983658894E-3</v>
      </c>
      <c r="N875" s="1"/>
      <c r="O875" s="2">
        <v>4488.28</v>
      </c>
      <c r="P875" s="12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 spans="1:31" ht="15" thickBot="1" x14ac:dyDescent="0.35">
      <c r="A876" s="1">
        <v>44658</v>
      </c>
      <c r="B876">
        <v>24.21</v>
      </c>
      <c r="C876">
        <v>60.3</v>
      </c>
      <c r="D876">
        <v>352.42</v>
      </c>
      <c r="E876">
        <v>308.43</v>
      </c>
      <c r="F876">
        <v>81.03</v>
      </c>
      <c r="G876" s="4"/>
      <c r="H876" s="10">
        <f t="shared" si="82"/>
        <v>-8.1933633756656743E-3</v>
      </c>
      <c r="I876" s="10">
        <f t="shared" si="84"/>
        <v>1.6611295681061566E-3</v>
      </c>
      <c r="J876" s="10">
        <f t="shared" si="85"/>
        <v>1.098711953871323E-2</v>
      </c>
      <c r="K876" s="10">
        <f t="shared" si="86"/>
        <v>8.4684802511116875E-3</v>
      </c>
      <c r="L876" s="10">
        <f t="shared" si="87"/>
        <v>1.8732713100326759E-2</v>
      </c>
      <c r="M876" s="10">
        <f t="shared" si="83"/>
        <v>4.2533724601945266E-3</v>
      </c>
      <c r="N876" s="1"/>
      <c r="O876" s="2">
        <v>4500.21</v>
      </c>
      <c r="P876" s="12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 spans="1:31" ht="15" thickBot="1" x14ac:dyDescent="0.35">
      <c r="A877" s="1">
        <v>44657</v>
      </c>
      <c r="B877">
        <v>24.41</v>
      </c>
      <c r="C877">
        <v>60.2</v>
      </c>
      <c r="D877">
        <v>348.59</v>
      </c>
      <c r="E877">
        <v>305.83999999999997</v>
      </c>
      <c r="F877">
        <v>79.540000000000006</v>
      </c>
      <c r="G877" s="4"/>
      <c r="H877" s="10">
        <f t="shared" si="82"/>
        <v>-5.8619359814886196E-2</v>
      </c>
      <c r="I877" s="10">
        <f t="shared" si="84"/>
        <v>-1.9703631330402094E-2</v>
      </c>
      <c r="J877" s="10">
        <f t="shared" si="85"/>
        <v>-4.1676975945017292E-2</v>
      </c>
      <c r="K877" s="10">
        <f t="shared" si="86"/>
        <v>4.5642586071318547E-2</v>
      </c>
      <c r="L877" s="10">
        <f t="shared" si="87"/>
        <v>-4.0070122714750411E-3</v>
      </c>
      <c r="M877" s="10">
        <f t="shared" si="83"/>
        <v>-9.7168693868892042E-3</v>
      </c>
      <c r="N877" s="1"/>
      <c r="O877" s="2">
        <v>4481.1499999999996</v>
      </c>
      <c r="P877" s="12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 spans="1:31" ht="15" thickBot="1" x14ac:dyDescent="0.35">
      <c r="A878" s="1">
        <v>44656</v>
      </c>
      <c r="B878">
        <v>25.93</v>
      </c>
      <c r="C878">
        <v>61.41</v>
      </c>
      <c r="D878">
        <v>363.75</v>
      </c>
      <c r="E878">
        <v>292.49</v>
      </c>
      <c r="F878">
        <v>79.86</v>
      </c>
      <c r="G878" s="4"/>
      <c r="H878" s="10">
        <f t="shared" si="82"/>
        <v>-5.2266081871345071E-2</v>
      </c>
      <c r="I878" s="10">
        <f t="shared" si="84"/>
        <v>-3.2608695652173947E-2</v>
      </c>
      <c r="J878" s="10">
        <f t="shared" si="85"/>
        <v>-4.7325965114451862E-2</v>
      </c>
      <c r="K878" s="10">
        <f t="shared" si="86"/>
        <v>3.6716766179396565E-3</v>
      </c>
      <c r="L878" s="10">
        <f t="shared" si="87"/>
        <v>-1.7107692307692268E-2</v>
      </c>
      <c r="M878" s="10">
        <f t="shared" si="83"/>
        <v>-1.2551716914267819E-2</v>
      </c>
      <c r="N878" s="1"/>
      <c r="O878" s="2">
        <v>4525.12</v>
      </c>
      <c r="P878" s="12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 spans="1:31" ht="15" thickBot="1" x14ac:dyDescent="0.35">
      <c r="A879" s="1">
        <v>44655</v>
      </c>
      <c r="B879">
        <v>27.36</v>
      </c>
      <c r="C879">
        <v>63.48</v>
      </c>
      <c r="D879">
        <v>381.82</v>
      </c>
      <c r="E879">
        <v>291.42</v>
      </c>
      <c r="F879">
        <v>81.25</v>
      </c>
      <c r="G879" s="4"/>
      <c r="H879" s="10">
        <f t="shared" si="82"/>
        <v>2.433545488581057E-2</v>
      </c>
      <c r="I879" s="10">
        <f t="shared" si="84"/>
        <v>1.2440191387559807E-2</v>
      </c>
      <c r="J879" s="10">
        <f t="shared" si="85"/>
        <v>5.6122590103172776E-2</v>
      </c>
      <c r="K879" s="10">
        <f t="shared" si="86"/>
        <v>-4.2710219701370677E-3</v>
      </c>
      <c r="L879" s="10">
        <f t="shared" si="87"/>
        <v>-1.8482725295965174E-2</v>
      </c>
      <c r="M879" s="10">
        <f t="shared" si="83"/>
        <v>8.0908782936564005E-3</v>
      </c>
      <c r="N879" s="1"/>
      <c r="O879" s="2">
        <v>4582.6400000000003</v>
      </c>
      <c r="P879" s="12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 spans="1:31" ht="15" thickBot="1" x14ac:dyDescent="0.35">
      <c r="A880" s="1">
        <v>44652</v>
      </c>
      <c r="B880">
        <v>26.71</v>
      </c>
      <c r="C880">
        <v>62.7</v>
      </c>
      <c r="D880">
        <v>361.53</v>
      </c>
      <c r="E880">
        <v>292.67</v>
      </c>
      <c r="F880">
        <v>82.78</v>
      </c>
      <c r="G880" s="4"/>
      <c r="H880" s="10">
        <f t="shared" si="82"/>
        <v>-2.125320630267491E-2</v>
      </c>
      <c r="I880" s="10">
        <f t="shared" si="84"/>
        <v>-4.2877560743210807E-3</v>
      </c>
      <c r="J880" s="10">
        <f t="shared" si="85"/>
        <v>6.4866369710467886E-3</v>
      </c>
      <c r="K880" s="10">
        <f t="shared" si="86"/>
        <v>2.1999511121975068E-2</v>
      </c>
      <c r="L880" s="10">
        <f t="shared" si="87"/>
        <v>4.1913152926368769E-2</v>
      </c>
      <c r="M880" s="10">
        <f t="shared" si="83"/>
        <v>3.4102873691344016E-3</v>
      </c>
      <c r="N880" s="1"/>
      <c r="O880" s="2">
        <v>4545.8599999999997</v>
      </c>
      <c r="P880" s="12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 spans="1:31" ht="15" thickBot="1" x14ac:dyDescent="0.35">
      <c r="A881" s="1">
        <v>44651</v>
      </c>
      <c r="B881">
        <v>27.29</v>
      </c>
      <c r="C881">
        <v>62.97</v>
      </c>
      <c r="D881">
        <v>359.2</v>
      </c>
      <c r="E881">
        <v>286.37</v>
      </c>
      <c r="F881">
        <v>79.45</v>
      </c>
      <c r="G881" s="4"/>
      <c r="H881" s="10">
        <f t="shared" si="82"/>
        <v>-1.4445648248465282E-2</v>
      </c>
      <c r="I881" s="10">
        <f t="shared" si="84"/>
        <v>-2.2183489145936042E-3</v>
      </c>
      <c r="J881" s="10">
        <f t="shared" si="85"/>
        <v>-1.4972851423243672E-2</v>
      </c>
      <c r="K881" s="10">
        <f t="shared" si="86"/>
        <v>-1.2142536824312655E-2</v>
      </c>
      <c r="L881" s="10">
        <f t="shared" si="87"/>
        <v>-6.3781890945471265E-3</v>
      </c>
      <c r="M881" s="10">
        <f t="shared" si="83"/>
        <v>-1.5652532890091164E-2</v>
      </c>
      <c r="N881" s="1"/>
      <c r="O881" s="2">
        <v>4530.41</v>
      </c>
      <c r="P881" s="12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 spans="1:31" ht="15" thickBot="1" x14ac:dyDescent="0.35">
      <c r="A882" s="1">
        <v>44650</v>
      </c>
      <c r="B882">
        <v>27.69</v>
      </c>
      <c r="C882">
        <v>63.11</v>
      </c>
      <c r="D882">
        <v>364.66</v>
      </c>
      <c r="E882">
        <v>289.89</v>
      </c>
      <c r="F882">
        <v>79.959999999999994</v>
      </c>
      <c r="G882" s="4"/>
      <c r="H882" s="10">
        <f t="shared" si="82"/>
        <v>-3.3845080251221127E-2</v>
      </c>
      <c r="I882" s="10">
        <f t="shared" si="84"/>
        <v>-1.6212003117692997E-2</v>
      </c>
      <c r="J882" s="10">
        <f t="shared" si="85"/>
        <v>-5.0747571755973553E-3</v>
      </c>
      <c r="K882" s="10">
        <f t="shared" si="86"/>
        <v>5.2012899199000984E-3</v>
      </c>
      <c r="L882" s="10">
        <f t="shared" si="87"/>
        <v>1.7950350095480516E-2</v>
      </c>
      <c r="M882" s="10">
        <f t="shared" si="83"/>
        <v>-6.2937213921756552E-3</v>
      </c>
      <c r="N882" s="1"/>
      <c r="O882" s="2">
        <v>4602.45</v>
      </c>
      <c r="P882" s="12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 spans="1:31" ht="15" thickBot="1" x14ac:dyDescent="0.35">
      <c r="A883" s="1">
        <v>44649</v>
      </c>
      <c r="B883">
        <v>28.66</v>
      </c>
      <c r="C883">
        <v>64.150000000000006</v>
      </c>
      <c r="D883">
        <v>366.52</v>
      </c>
      <c r="E883">
        <v>288.39</v>
      </c>
      <c r="F883">
        <v>78.55</v>
      </c>
      <c r="G883" s="4"/>
      <c r="H883" s="10">
        <f t="shared" si="82"/>
        <v>1.5591778880226892E-2</v>
      </c>
      <c r="I883" s="10">
        <f t="shared" si="84"/>
        <v>1.3588244588402798E-2</v>
      </c>
      <c r="J883" s="10">
        <f t="shared" si="85"/>
        <v>7.0614095342766969E-3</v>
      </c>
      <c r="K883" s="10">
        <f t="shared" si="86"/>
        <v>-1.121168483851076E-2</v>
      </c>
      <c r="L883" s="10">
        <f t="shared" si="87"/>
        <v>5.2469925774250026E-3</v>
      </c>
      <c r="M883" s="10">
        <f t="shared" si="83"/>
        <v>1.2256530405287291E-2</v>
      </c>
      <c r="N883" s="1"/>
      <c r="O883" s="2">
        <v>4631.6000000000004</v>
      </c>
      <c r="P883" s="12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 spans="1:31" ht="15" thickBot="1" x14ac:dyDescent="0.35">
      <c r="A884" s="1">
        <v>44648</v>
      </c>
      <c r="B884">
        <v>28.22</v>
      </c>
      <c r="C884">
        <v>63.29</v>
      </c>
      <c r="D884">
        <v>363.95</v>
      </c>
      <c r="E884">
        <v>291.66000000000003</v>
      </c>
      <c r="F884">
        <v>78.14</v>
      </c>
      <c r="G884" s="4"/>
      <c r="H884" s="10">
        <f t="shared" si="82"/>
        <v>1.914048392921619E-2</v>
      </c>
      <c r="I884" s="10">
        <f t="shared" si="84"/>
        <v>6.360311655271067E-3</v>
      </c>
      <c r="J884" s="10">
        <f t="shared" si="85"/>
        <v>8.0355022559962075E-2</v>
      </c>
      <c r="K884" s="10">
        <f t="shared" si="86"/>
        <v>9.1343159642933713E-3</v>
      </c>
      <c r="L884" s="10">
        <f t="shared" si="87"/>
        <v>-1.0259658011399608E-2</v>
      </c>
      <c r="M884" s="10">
        <f t="shared" si="83"/>
        <v>7.1449639670178033E-3</v>
      </c>
      <c r="N884" s="1"/>
      <c r="O884" s="2">
        <v>4575.5200000000004</v>
      </c>
      <c r="P884" s="12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 spans="1:31" ht="15" thickBot="1" x14ac:dyDescent="0.35">
      <c r="A885" s="1">
        <v>44645</v>
      </c>
      <c r="B885">
        <v>27.69</v>
      </c>
      <c r="C885">
        <v>62.89</v>
      </c>
      <c r="D885">
        <v>336.88</v>
      </c>
      <c r="E885">
        <v>289.02</v>
      </c>
      <c r="F885">
        <v>78.95</v>
      </c>
      <c r="G885" s="4"/>
      <c r="H885" s="10">
        <f t="shared" si="82"/>
        <v>-1.63410301953818E-2</v>
      </c>
      <c r="I885" s="10">
        <f t="shared" si="84"/>
        <v>3.9910600255428363E-3</v>
      </c>
      <c r="J885" s="10">
        <f t="shared" si="85"/>
        <v>-3.2251383258870003E-3</v>
      </c>
      <c r="K885" s="10">
        <f t="shared" si="86"/>
        <v>4.6230317355486772E-3</v>
      </c>
      <c r="L885" s="10">
        <f t="shared" si="87"/>
        <v>9.2036303208486991E-3</v>
      </c>
      <c r="M885" s="10">
        <f t="shared" si="83"/>
        <v>5.0661923471737591E-3</v>
      </c>
      <c r="N885" s="1"/>
      <c r="O885" s="2">
        <v>4543.0600000000004</v>
      </c>
      <c r="P885" s="12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 spans="1:31" ht="15" thickBot="1" x14ac:dyDescent="0.35">
      <c r="A886" s="1">
        <v>44644</v>
      </c>
      <c r="B886">
        <v>28.15</v>
      </c>
      <c r="C886">
        <v>62.64</v>
      </c>
      <c r="D886">
        <v>337.97</v>
      </c>
      <c r="E886">
        <v>287.69</v>
      </c>
      <c r="F886">
        <v>78.23</v>
      </c>
      <c r="G886" s="4"/>
      <c r="H886" s="10">
        <f t="shared" si="82"/>
        <v>9.8322278579789257E-2</v>
      </c>
      <c r="I886" s="10">
        <f t="shared" si="84"/>
        <v>4.5045045045045029E-2</v>
      </c>
      <c r="J886" s="10">
        <f t="shared" si="85"/>
        <v>1.4803026663463781E-2</v>
      </c>
      <c r="K886" s="10">
        <f t="shared" si="86"/>
        <v>1.2315704282346296E-2</v>
      </c>
      <c r="L886" s="10">
        <f t="shared" si="87"/>
        <v>-8.6174122417943533E-3</v>
      </c>
      <c r="M886" s="10">
        <f t="shared" si="83"/>
        <v>1.4343931206577842E-2</v>
      </c>
      <c r="N886" s="1"/>
      <c r="O886" s="2">
        <v>4520.16</v>
      </c>
      <c r="P886" s="12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 spans="1:31" ht="15" thickBot="1" x14ac:dyDescent="0.35">
      <c r="A887" s="1">
        <v>44643</v>
      </c>
      <c r="B887">
        <v>25.63</v>
      </c>
      <c r="C887">
        <v>59.94</v>
      </c>
      <c r="D887">
        <v>333.04</v>
      </c>
      <c r="E887">
        <v>284.19</v>
      </c>
      <c r="F887">
        <v>78.91</v>
      </c>
      <c r="G887" s="4"/>
      <c r="H887" s="10">
        <f t="shared" si="82"/>
        <v>-3.3559577677224728E-2</v>
      </c>
      <c r="I887" s="10">
        <f t="shared" si="84"/>
        <v>-1.946671028954694E-2</v>
      </c>
      <c r="J887" s="10">
        <f t="shared" si="85"/>
        <v>5.1610177164760351E-3</v>
      </c>
      <c r="K887" s="10">
        <f t="shared" si="86"/>
        <v>-2.9120763455195986E-3</v>
      </c>
      <c r="L887" s="10">
        <f t="shared" si="87"/>
        <v>3.7879784295672625E-2</v>
      </c>
      <c r="M887" s="10">
        <f t="shared" si="83"/>
        <v>-1.2272780670315009E-2</v>
      </c>
      <c r="N887" s="1"/>
      <c r="O887" s="2">
        <v>4456.24</v>
      </c>
      <c r="P887" s="12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 spans="1:31" ht="15" thickBot="1" x14ac:dyDescent="0.35">
      <c r="A888" s="1">
        <v>44642</v>
      </c>
      <c r="B888">
        <v>26.52</v>
      </c>
      <c r="C888">
        <v>61.13</v>
      </c>
      <c r="D888">
        <v>331.33</v>
      </c>
      <c r="E888">
        <v>285.02</v>
      </c>
      <c r="F888">
        <v>76.03</v>
      </c>
      <c r="G888" s="4"/>
      <c r="H888" s="10">
        <f t="shared" si="82"/>
        <v>-7.8563411896745983E-3</v>
      </c>
      <c r="I888" s="10">
        <f t="shared" si="84"/>
        <v>1.6630633627141123E-2</v>
      </c>
      <c r="J888" s="10">
        <f t="shared" si="85"/>
        <v>7.9075069206969495E-2</v>
      </c>
      <c r="K888" s="10">
        <f t="shared" si="86"/>
        <v>-1.5950835519955797E-2</v>
      </c>
      <c r="L888" s="10">
        <f t="shared" si="87"/>
        <v>-3.5386631716906036E-3</v>
      </c>
      <c r="M888" s="10">
        <f t="shared" si="83"/>
        <v>1.1304184094790948E-2</v>
      </c>
      <c r="N888" s="1"/>
      <c r="O888" s="2">
        <v>4511.6099999999997</v>
      </c>
      <c r="P888" s="12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 spans="1:31" ht="15" thickBot="1" x14ac:dyDescent="0.35">
      <c r="A889" s="1">
        <v>44641</v>
      </c>
      <c r="B889">
        <v>26.73</v>
      </c>
      <c r="C889">
        <v>60.13</v>
      </c>
      <c r="D889">
        <v>307.05</v>
      </c>
      <c r="E889">
        <v>289.64</v>
      </c>
      <c r="F889">
        <v>76.3</v>
      </c>
      <c r="G889" s="4"/>
      <c r="H889" s="10">
        <f t="shared" si="82"/>
        <v>1.0586011342154977E-2</v>
      </c>
      <c r="I889" s="10">
        <f t="shared" si="84"/>
        <v>-1.4908256880733939E-2</v>
      </c>
      <c r="J889" s="10">
        <f t="shared" si="85"/>
        <v>1.7395626242544759E-2</v>
      </c>
      <c r="K889" s="10">
        <f t="shared" si="86"/>
        <v>6.9531358642747065E-3</v>
      </c>
      <c r="L889" s="10">
        <f t="shared" si="87"/>
        <v>3.1638723634397126E-2</v>
      </c>
      <c r="M889" s="10">
        <f t="shared" si="83"/>
        <v>-4.3467350194470455E-4</v>
      </c>
      <c r="N889" s="1"/>
      <c r="O889" s="2">
        <v>4461.18</v>
      </c>
      <c r="P889" s="12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 spans="1:31" ht="15" thickBot="1" x14ac:dyDescent="0.35">
      <c r="A890" s="1">
        <v>44638</v>
      </c>
      <c r="B890">
        <v>26.45</v>
      </c>
      <c r="C890">
        <v>61.04</v>
      </c>
      <c r="D890">
        <v>301.8</v>
      </c>
      <c r="E890">
        <v>287.64</v>
      </c>
      <c r="F890">
        <v>73.959999999999994</v>
      </c>
      <c r="G890" s="4"/>
      <c r="H890" s="10">
        <f t="shared" si="82"/>
        <v>6.7823980621719793E-2</v>
      </c>
      <c r="I890" s="10">
        <f t="shared" si="84"/>
        <v>1.2775842044134622E-2</v>
      </c>
      <c r="J890" s="10">
        <f t="shared" si="85"/>
        <v>3.8791174749595703E-2</v>
      </c>
      <c r="K890" s="10">
        <f t="shared" si="86"/>
        <v>7.4603341389092304E-3</v>
      </c>
      <c r="L890" s="10">
        <f t="shared" si="87"/>
        <v>8.8664575092074482E-3</v>
      </c>
      <c r="M890" s="10">
        <f t="shared" si="83"/>
        <v>1.1662250349640857E-2</v>
      </c>
      <c r="N890" s="1"/>
      <c r="O890" s="2">
        <v>4463.12</v>
      </c>
      <c r="P890" s="12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 spans="1:31" ht="15" thickBot="1" x14ac:dyDescent="0.35">
      <c r="A891" s="1">
        <v>44637</v>
      </c>
      <c r="B891">
        <v>24.77</v>
      </c>
      <c r="C891">
        <v>60.27</v>
      </c>
      <c r="D891">
        <v>290.52999999999997</v>
      </c>
      <c r="E891">
        <v>285.51</v>
      </c>
      <c r="F891">
        <v>73.31</v>
      </c>
      <c r="G891" s="4"/>
      <c r="H891" s="10">
        <f t="shared" si="82"/>
        <v>1.1020408163265216E-2</v>
      </c>
      <c r="I891" s="10">
        <f t="shared" si="84"/>
        <v>-7.2475704167352939E-3</v>
      </c>
      <c r="J891" s="10">
        <f t="shared" si="85"/>
        <v>3.7310768351899393E-2</v>
      </c>
      <c r="K891" s="10">
        <f t="shared" si="86"/>
        <v>3.2810013022717355E-2</v>
      </c>
      <c r="L891" s="10">
        <f t="shared" si="87"/>
        <v>9.6405453794243812E-3</v>
      </c>
      <c r="M891" s="10">
        <f t="shared" si="83"/>
        <v>1.2347803738532281E-2</v>
      </c>
      <c r="N891" s="1"/>
      <c r="O891" s="2">
        <v>4411.67</v>
      </c>
      <c r="P891" s="12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 spans="1:31" ht="15" thickBot="1" x14ac:dyDescent="0.35">
      <c r="A892" s="1">
        <v>44636</v>
      </c>
      <c r="B892">
        <v>24.5</v>
      </c>
      <c r="C892">
        <v>60.71</v>
      </c>
      <c r="D892">
        <v>280.08</v>
      </c>
      <c r="E892">
        <v>276.44</v>
      </c>
      <c r="F892">
        <v>72.61</v>
      </c>
      <c r="G892" s="4"/>
      <c r="H892" s="10">
        <f t="shared" si="82"/>
        <v>6.6608619939050984E-2</v>
      </c>
      <c r="I892" s="10">
        <f t="shared" si="84"/>
        <v>2.4122807017543879E-2</v>
      </c>
      <c r="J892" s="10">
        <f t="shared" si="85"/>
        <v>4.7811447811447749E-2</v>
      </c>
      <c r="K892" s="10">
        <f t="shared" si="86"/>
        <v>3.5576853263632469E-3</v>
      </c>
      <c r="L892" s="10">
        <f t="shared" si="87"/>
        <v>-1.0358457135068888E-2</v>
      </c>
      <c r="M892" s="10">
        <f t="shared" si="83"/>
        <v>2.2383840279651235E-2</v>
      </c>
      <c r="N892" s="1"/>
      <c r="O892" s="2">
        <v>4357.8599999999997</v>
      </c>
      <c r="P892" s="12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 spans="1:31" ht="15" thickBot="1" x14ac:dyDescent="0.35">
      <c r="A893" s="1">
        <v>44635</v>
      </c>
      <c r="B893">
        <v>22.97</v>
      </c>
      <c r="C893">
        <v>59.28</v>
      </c>
      <c r="D893">
        <v>267.3</v>
      </c>
      <c r="E893">
        <v>275.45999999999998</v>
      </c>
      <c r="F893">
        <v>73.37</v>
      </c>
      <c r="G893" s="4"/>
      <c r="H893" s="10">
        <f t="shared" si="82"/>
        <v>7.6887013595874354E-2</v>
      </c>
      <c r="I893" s="10">
        <f t="shared" si="84"/>
        <v>4.4029587883057442E-2</v>
      </c>
      <c r="J893" s="10">
        <f t="shared" si="85"/>
        <v>4.6347764816409676E-2</v>
      </c>
      <c r="K893" s="10">
        <f t="shared" si="86"/>
        <v>2.4014869888475676E-2</v>
      </c>
      <c r="L893" s="10">
        <f t="shared" si="87"/>
        <v>-5.017629509085797E-3</v>
      </c>
      <c r="M893" s="10">
        <f t="shared" si="83"/>
        <v>2.1408493905025416E-2</v>
      </c>
      <c r="N893" s="1"/>
      <c r="O893" s="2">
        <v>4262.45</v>
      </c>
      <c r="P893" s="12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 spans="1:31" ht="15" thickBot="1" x14ac:dyDescent="0.35">
      <c r="A894" s="1">
        <v>44634</v>
      </c>
      <c r="B894">
        <v>21.33</v>
      </c>
      <c r="C894">
        <v>56.78</v>
      </c>
      <c r="D894">
        <v>255.46</v>
      </c>
      <c r="E894">
        <v>269</v>
      </c>
      <c r="F894">
        <v>73.739999999999995</v>
      </c>
      <c r="G894" s="4"/>
      <c r="H894" s="10">
        <f t="shared" si="82"/>
        <v>-3.4841628959276116E-2</v>
      </c>
      <c r="I894" s="10">
        <f t="shared" si="84"/>
        <v>-1.7307026652821023E-2</v>
      </c>
      <c r="J894" s="10">
        <f t="shared" si="85"/>
        <v>-3.6436330718165322E-2</v>
      </c>
      <c r="K894" s="10">
        <f t="shared" si="86"/>
        <v>1.0138941043935423E-2</v>
      </c>
      <c r="L894" s="10">
        <f t="shared" si="87"/>
        <v>-4.0967616074912283E-2</v>
      </c>
      <c r="M894" s="10">
        <f t="shared" si="83"/>
        <v>-7.4209561140831104E-3</v>
      </c>
      <c r="N894" s="1"/>
      <c r="O894" s="2">
        <v>4173.1099999999997</v>
      </c>
      <c r="P894" s="12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 spans="1:31" ht="15" thickBot="1" x14ac:dyDescent="0.35">
      <c r="A895" s="1">
        <v>44631</v>
      </c>
      <c r="B895">
        <v>22.1</v>
      </c>
      <c r="C895">
        <v>57.78</v>
      </c>
      <c r="D895">
        <v>265.12</v>
      </c>
      <c r="E895">
        <v>266.3</v>
      </c>
      <c r="F895">
        <v>76.89</v>
      </c>
      <c r="G895" s="4"/>
      <c r="H895" s="10">
        <f t="shared" si="82"/>
        <v>-2.4713150926743088E-2</v>
      </c>
      <c r="I895" s="10">
        <f t="shared" si="84"/>
        <v>-1.6845329249617236E-2</v>
      </c>
      <c r="J895" s="10">
        <f t="shared" si="85"/>
        <v>-5.1211394624771867E-2</v>
      </c>
      <c r="K895" s="10">
        <f t="shared" si="86"/>
        <v>1.0525524396662878E-3</v>
      </c>
      <c r="L895" s="10">
        <f t="shared" si="87"/>
        <v>-5.0465838509317074E-3</v>
      </c>
      <c r="M895" s="10">
        <f t="shared" si="83"/>
        <v>-1.2961554353542182E-2</v>
      </c>
      <c r="N895" s="1"/>
      <c r="O895" s="2">
        <v>4204.3100000000004</v>
      </c>
      <c r="P895" s="12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 spans="1:31" ht="15" thickBot="1" x14ac:dyDescent="0.35">
      <c r="A896" s="1">
        <v>44630</v>
      </c>
      <c r="B896">
        <v>22.66</v>
      </c>
      <c r="C896">
        <v>58.77</v>
      </c>
      <c r="D896">
        <v>279.43</v>
      </c>
      <c r="E896">
        <v>266.02</v>
      </c>
      <c r="F896">
        <v>77.28</v>
      </c>
      <c r="G896" s="4"/>
      <c r="H896" s="10">
        <f t="shared" si="82"/>
        <v>-1.521077792264236E-2</v>
      </c>
      <c r="I896" s="10">
        <f t="shared" si="84"/>
        <v>-1.5577889447236148E-2</v>
      </c>
      <c r="J896" s="10">
        <f t="shared" si="85"/>
        <v>-2.4063984353171253E-2</v>
      </c>
      <c r="K896" s="10">
        <f t="shared" si="86"/>
        <v>1.2291183073937173E-2</v>
      </c>
      <c r="L896" s="10">
        <f t="shared" si="87"/>
        <v>1.7243648808740408E-2</v>
      </c>
      <c r="M896" s="10">
        <f t="shared" si="83"/>
        <v>-4.2918454935622075E-3</v>
      </c>
      <c r="N896" s="1"/>
      <c r="O896" s="2">
        <v>4259.5200000000004</v>
      </c>
      <c r="P896" s="12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 spans="1:31" ht="15" thickBot="1" x14ac:dyDescent="0.35">
      <c r="A897" s="1">
        <v>44629</v>
      </c>
      <c r="B897">
        <v>23.01</v>
      </c>
      <c r="C897">
        <v>59.7</v>
      </c>
      <c r="D897">
        <v>286.32</v>
      </c>
      <c r="E897">
        <v>262.79000000000002</v>
      </c>
      <c r="F897">
        <v>75.97</v>
      </c>
      <c r="G897" s="4"/>
      <c r="H897" s="10">
        <f t="shared" si="82"/>
        <v>6.9735006973500768E-2</v>
      </c>
      <c r="I897" s="10">
        <f t="shared" si="84"/>
        <v>3.6638305261330162E-2</v>
      </c>
      <c r="J897" s="10">
        <f t="shared" si="85"/>
        <v>4.1921397379912628E-2</v>
      </c>
      <c r="K897" s="10">
        <f t="shared" si="86"/>
        <v>1.10029623360135E-2</v>
      </c>
      <c r="L897" s="10">
        <f t="shared" si="87"/>
        <v>-2.1131297513207081E-2</v>
      </c>
      <c r="M897" s="10">
        <f t="shared" si="83"/>
        <v>2.5698324022346508E-2</v>
      </c>
      <c r="N897" s="1"/>
      <c r="O897" s="2">
        <v>4277.88</v>
      </c>
      <c r="P897" s="12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 spans="1:31" ht="15" thickBot="1" x14ac:dyDescent="0.35">
      <c r="A898" s="1">
        <v>44628</v>
      </c>
      <c r="B898">
        <v>21.51</v>
      </c>
      <c r="C898">
        <v>57.59</v>
      </c>
      <c r="D898">
        <v>274.8</v>
      </c>
      <c r="E898">
        <v>259.93</v>
      </c>
      <c r="F898">
        <v>77.61</v>
      </c>
      <c r="G898" s="4"/>
      <c r="H898" s="10">
        <f t="shared" si="82"/>
        <v>7.494145199063329E-3</v>
      </c>
      <c r="I898" s="10">
        <f t="shared" si="84"/>
        <v>9.1116173120728838E-3</v>
      </c>
      <c r="J898" s="10">
        <f t="shared" si="85"/>
        <v>2.4646705693724735E-2</v>
      </c>
      <c r="K898" s="10">
        <f t="shared" si="86"/>
        <v>-6.5356979055190001E-3</v>
      </c>
      <c r="L898" s="10">
        <f t="shared" si="87"/>
        <v>-3.082851637764894E-3</v>
      </c>
      <c r="M898" s="10">
        <f t="shared" si="83"/>
        <v>-7.2338369327961116E-3</v>
      </c>
      <c r="N898" s="1"/>
      <c r="O898" s="2">
        <v>4170.7</v>
      </c>
      <c r="P898" s="12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 spans="1:31" ht="15" thickBot="1" x14ac:dyDescent="0.35">
      <c r="A899" s="1">
        <v>44627</v>
      </c>
      <c r="B899">
        <v>21.35</v>
      </c>
      <c r="C899">
        <v>57.07</v>
      </c>
      <c r="D899">
        <v>268.19</v>
      </c>
      <c r="E899">
        <v>261.64</v>
      </c>
      <c r="F899">
        <v>77.849999999999994</v>
      </c>
      <c r="G899" s="4"/>
      <c r="H899" s="10">
        <f t="shared" si="82"/>
        <v>-6.9311246730601517E-2</v>
      </c>
      <c r="I899" s="10">
        <f t="shared" si="84"/>
        <v>-4.2449664429530243E-2</v>
      </c>
      <c r="J899" s="10">
        <f t="shared" si="85"/>
        <v>-4.0224743227284199E-2</v>
      </c>
      <c r="K899" s="10">
        <f t="shared" si="86"/>
        <v>-4.6791189561380397E-3</v>
      </c>
      <c r="L899" s="10">
        <f t="shared" si="87"/>
        <v>4.8061389337641369E-2</v>
      </c>
      <c r="M899" s="10">
        <f t="shared" si="83"/>
        <v>-2.9518095946517109E-2</v>
      </c>
      <c r="N899" s="1"/>
      <c r="O899" s="2">
        <v>4201.09</v>
      </c>
      <c r="P899" s="12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 spans="1:31" ht="15" thickBot="1" x14ac:dyDescent="0.35">
      <c r="A900" s="1">
        <v>44624</v>
      </c>
      <c r="B900">
        <v>22.94</v>
      </c>
      <c r="C900">
        <v>59.6</v>
      </c>
      <c r="D900">
        <v>279.43</v>
      </c>
      <c r="E900">
        <v>262.87</v>
      </c>
      <c r="F900">
        <v>74.28</v>
      </c>
      <c r="G900" s="4"/>
      <c r="H900" s="10">
        <f t="shared" ref="H900:H963" si="88">(B900/B901)-1</f>
        <v>-3.2475748629270385E-2</v>
      </c>
      <c r="I900" s="10">
        <f t="shared" si="84"/>
        <v>3.007258900795029E-2</v>
      </c>
      <c r="J900" s="10">
        <f t="shared" si="85"/>
        <v>-1.1795824992850701E-3</v>
      </c>
      <c r="K900" s="10">
        <f t="shared" si="86"/>
        <v>1.6354778843179707E-2</v>
      </c>
      <c r="L900" s="10">
        <f t="shared" si="87"/>
        <v>5.0933786078098287E-2</v>
      </c>
      <c r="M900" s="10">
        <f t="shared" ref="M900:M963" si="89">(O900/O901)-1</f>
        <v>-7.93401612012401E-3</v>
      </c>
      <c r="N900" s="1"/>
      <c r="O900" s="2">
        <v>4328.87</v>
      </c>
      <c r="P900" s="12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 spans="1:31" ht="15" thickBot="1" x14ac:dyDescent="0.35">
      <c r="A901" s="1">
        <v>44623</v>
      </c>
      <c r="B901">
        <v>23.71</v>
      </c>
      <c r="C901">
        <v>57.86</v>
      </c>
      <c r="D901">
        <v>279.76</v>
      </c>
      <c r="E901">
        <v>258.64</v>
      </c>
      <c r="F901">
        <v>70.680000000000007</v>
      </c>
      <c r="G901" s="4"/>
      <c r="H901" s="10">
        <f t="shared" si="88"/>
        <v>-2.1056977704376423E-2</v>
      </c>
      <c r="I901" s="10">
        <f t="shared" si="84"/>
        <v>-1.2290884260839907E-2</v>
      </c>
      <c r="J901" s="10">
        <f t="shared" si="85"/>
        <v>-4.6164336856461041E-2</v>
      </c>
      <c r="K901" s="10">
        <f t="shared" si="86"/>
        <v>1.7586654601251084E-2</v>
      </c>
      <c r="L901" s="10">
        <f t="shared" si="87"/>
        <v>1.2752543344318745E-2</v>
      </c>
      <c r="M901" s="10">
        <f t="shared" si="89"/>
        <v>-5.2547110022934662E-3</v>
      </c>
      <c r="N901" s="1"/>
      <c r="O901" s="2">
        <v>4363.49</v>
      </c>
      <c r="P901" s="12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 spans="1:31" ht="15" thickBot="1" x14ac:dyDescent="0.35">
      <c r="A902" s="1">
        <v>44622</v>
      </c>
      <c r="B902">
        <v>24.22</v>
      </c>
      <c r="C902">
        <v>58.58</v>
      </c>
      <c r="D902">
        <v>293.3</v>
      </c>
      <c r="E902">
        <v>254.17</v>
      </c>
      <c r="F902">
        <v>69.790000000000006</v>
      </c>
      <c r="G902" s="4"/>
      <c r="H902" s="10">
        <f t="shared" si="88"/>
        <v>3.1516183986371349E-2</v>
      </c>
      <c r="I902" s="10">
        <f t="shared" si="84"/>
        <v>2.7539028240659569E-2</v>
      </c>
      <c r="J902" s="10">
        <f t="shared" si="85"/>
        <v>1.7978620019436287E-2</v>
      </c>
      <c r="K902" s="10">
        <f t="shared" si="86"/>
        <v>1.8717434869739424E-2</v>
      </c>
      <c r="L902" s="10">
        <f t="shared" si="87"/>
        <v>1.1302709752209816E-2</v>
      </c>
      <c r="M902" s="10">
        <f t="shared" si="89"/>
        <v>1.8642627244987553E-2</v>
      </c>
      <c r="N902" s="1"/>
      <c r="O902" s="2">
        <v>4386.54</v>
      </c>
      <c r="P902" s="12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 spans="1:31" ht="15" thickBot="1" x14ac:dyDescent="0.35">
      <c r="A903" s="1">
        <v>44621</v>
      </c>
      <c r="B903">
        <v>23.48</v>
      </c>
      <c r="C903">
        <v>57.01</v>
      </c>
      <c r="D903">
        <v>288.12</v>
      </c>
      <c r="E903">
        <v>249.5</v>
      </c>
      <c r="F903">
        <v>69.010000000000005</v>
      </c>
      <c r="G903" s="4"/>
      <c r="H903" s="10">
        <f t="shared" si="88"/>
        <v>-3.7310373103731087E-2</v>
      </c>
      <c r="I903" s="10">
        <f t="shared" si="84"/>
        <v>-2.945182158665316E-2</v>
      </c>
      <c r="J903" s="10">
        <f t="shared" si="85"/>
        <v>-6.9621562004549276E-3</v>
      </c>
      <c r="K903" s="10">
        <f t="shared" si="86"/>
        <v>-1.8003600720143398E-3</v>
      </c>
      <c r="L903" s="10">
        <f t="shared" si="87"/>
        <v>4.2447129909365611E-2</v>
      </c>
      <c r="M903" s="10">
        <f t="shared" si="89"/>
        <v>-1.5473463284818578E-2</v>
      </c>
      <c r="N903" s="1"/>
      <c r="O903" s="2">
        <v>4306.26</v>
      </c>
      <c r="P903" s="12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 spans="1:31" ht="15" thickBot="1" x14ac:dyDescent="0.35">
      <c r="A904" s="1">
        <v>44620</v>
      </c>
      <c r="B904">
        <v>24.39</v>
      </c>
      <c r="C904">
        <v>58.74</v>
      </c>
      <c r="D904">
        <v>290.14</v>
      </c>
      <c r="E904">
        <v>249.95</v>
      </c>
      <c r="F904">
        <v>66.2</v>
      </c>
      <c r="G904" s="4"/>
      <c r="H904" s="10">
        <f t="shared" si="88"/>
        <v>9.5198675496688256E-3</v>
      </c>
      <c r="I904" s="10">
        <f t="shared" si="84"/>
        <v>-1.0204081632652073E-3</v>
      </c>
      <c r="J904" s="10">
        <f t="shared" si="85"/>
        <v>7.4751815083716089E-2</v>
      </c>
      <c r="K904" s="10">
        <f t="shared" si="86"/>
        <v>-3.5878014749850529E-3</v>
      </c>
      <c r="L904" s="10">
        <f t="shared" si="87"/>
        <v>-2.5036818851251863E-2</v>
      </c>
      <c r="M904" s="10">
        <f t="shared" si="89"/>
        <v>-2.4426122951660689E-3</v>
      </c>
      <c r="N904" s="1"/>
      <c r="O904" s="2">
        <v>4373.9399999999996</v>
      </c>
      <c r="P904" s="12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 spans="1:31" ht="15" thickBot="1" x14ac:dyDescent="0.35">
      <c r="A905" s="1">
        <v>44617</v>
      </c>
      <c r="B905">
        <v>24.16</v>
      </c>
      <c r="C905">
        <v>58.8</v>
      </c>
      <c r="D905">
        <v>269.95999999999998</v>
      </c>
      <c r="E905">
        <v>250.85</v>
      </c>
      <c r="F905">
        <v>67.900000000000006</v>
      </c>
      <c r="G905" s="4"/>
      <c r="H905" s="10">
        <f t="shared" si="88"/>
        <v>1.7263157894736869E-2</v>
      </c>
      <c r="I905" s="10">
        <f t="shared" si="84"/>
        <v>1.379310344827589E-2</v>
      </c>
      <c r="J905" s="10">
        <f t="shared" si="85"/>
        <v>1.1389180278735145E-2</v>
      </c>
      <c r="K905" s="10">
        <f t="shared" si="86"/>
        <v>3.1964785255882866E-2</v>
      </c>
      <c r="L905" s="10">
        <f t="shared" si="87"/>
        <v>1.7685851318944845E-2</v>
      </c>
      <c r="M905" s="10">
        <f t="shared" si="89"/>
        <v>2.2372746986266234E-2</v>
      </c>
      <c r="N905" s="1"/>
      <c r="O905" s="2">
        <v>4384.6499999999996</v>
      </c>
      <c r="P905" s="12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 spans="1:31" ht="15" thickBot="1" x14ac:dyDescent="0.35">
      <c r="A906" s="1">
        <v>44616</v>
      </c>
      <c r="B906">
        <v>23.75</v>
      </c>
      <c r="C906">
        <v>58</v>
      </c>
      <c r="D906">
        <v>266.92</v>
      </c>
      <c r="E906">
        <v>243.08</v>
      </c>
      <c r="F906">
        <v>66.72</v>
      </c>
      <c r="G906" s="4"/>
      <c r="H906" s="10">
        <f t="shared" si="88"/>
        <v>6.0741402411790935E-2</v>
      </c>
      <c r="I906" s="10">
        <f t="shared" si="84"/>
        <v>2.6185421089879535E-2</v>
      </c>
      <c r="J906" s="10">
        <f t="shared" si="85"/>
        <v>4.8060310978482734E-2</v>
      </c>
      <c r="K906" s="10">
        <f t="shared" si="86"/>
        <v>2.0015945617053443E-2</v>
      </c>
      <c r="L906" s="10">
        <f t="shared" si="87"/>
        <v>-2.2417582417582405E-2</v>
      </c>
      <c r="M906" s="10">
        <f t="shared" si="89"/>
        <v>1.4956809844988816E-2</v>
      </c>
      <c r="N906" s="1"/>
      <c r="O906" s="2">
        <v>4288.7</v>
      </c>
      <c r="P906" s="12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 spans="1:31" ht="15" thickBot="1" x14ac:dyDescent="0.35">
      <c r="A907" s="1">
        <v>44615</v>
      </c>
      <c r="B907">
        <v>22.39</v>
      </c>
      <c r="C907">
        <v>56.52</v>
      </c>
      <c r="D907">
        <v>254.68</v>
      </c>
      <c r="E907">
        <v>238.31</v>
      </c>
      <c r="F907">
        <v>68.25</v>
      </c>
      <c r="G907" s="4"/>
      <c r="H907" s="10">
        <f t="shared" si="88"/>
        <v>-4.2753313381787117E-2</v>
      </c>
      <c r="I907" s="10">
        <f t="shared" si="84"/>
        <v>-2.1298701298701261E-2</v>
      </c>
      <c r="J907" s="10">
        <f t="shared" si="85"/>
        <v>-6.9967864446391914E-2</v>
      </c>
      <c r="K907" s="10">
        <f t="shared" si="86"/>
        <v>-3.4290971438130091E-3</v>
      </c>
      <c r="L907" s="10">
        <f t="shared" si="87"/>
        <v>1.6078606520768091E-2</v>
      </c>
      <c r="M907" s="10">
        <f t="shared" si="89"/>
        <v>-1.8412176288573612E-2</v>
      </c>
      <c r="N907" s="1"/>
      <c r="O907" s="2">
        <v>4225.5</v>
      </c>
      <c r="P907" s="12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 spans="1:31" ht="15" thickBot="1" x14ac:dyDescent="0.35">
      <c r="A908" s="1">
        <v>44614</v>
      </c>
      <c r="B908">
        <v>23.39</v>
      </c>
      <c r="C908">
        <v>57.75</v>
      </c>
      <c r="D908">
        <v>273.83999999999997</v>
      </c>
      <c r="E908">
        <v>239.13</v>
      </c>
      <c r="F908">
        <v>67.17</v>
      </c>
      <c r="G908" s="4"/>
      <c r="H908" s="10">
        <f t="shared" si="88"/>
        <v>-1.0575296108290999E-2</v>
      </c>
      <c r="I908" s="10">
        <f t="shared" si="84"/>
        <v>-4.3103448275861878E-3</v>
      </c>
      <c r="J908" s="10">
        <f t="shared" si="85"/>
        <v>-4.1377861793741033E-2</v>
      </c>
      <c r="K908" s="10">
        <f t="shared" si="86"/>
        <v>-4.9103241646206719E-3</v>
      </c>
      <c r="L908" s="10">
        <f t="shared" si="87"/>
        <v>-7.388798581350664E-3</v>
      </c>
      <c r="M908" s="10">
        <f t="shared" si="89"/>
        <v>-1.0142864698185927E-2</v>
      </c>
      <c r="N908" s="1"/>
      <c r="O908" s="2">
        <v>4304.76</v>
      </c>
      <c r="P908" s="12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 spans="1:31" ht="15" thickBot="1" x14ac:dyDescent="0.35">
      <c r="A909" s="1">
        <v>44610</v>
      </c>
      <c r="B909">
        <v>23.64</v>
      </c>
      <c r="C909">
        <v>58</v>
      </c>
      <c r="D909">
        <v>285.66000000000003</v>
      </c>
      <c r="E909">
        <v>240.31</v>
      </c>
      <c r="F909">
        <v>67.67</v>
      </c>
      <c r="G909" s="4"/>
      <c r="H909" s="10">
        <f t="shared" si="88"/>
        <v>-3.5495716034271818E-2</v>
      </c>
      <c r="I909" s="10">
        <f t="shared" si="84"/>
        <v>1.7271157167531026E-3</v>
      </c>
      <c r="J909" s="10">
        <f t="shared" si="85"/>
        <v>-2.2114199643981869E-2</v>
      </c>
      <c r="K909" s="10">
        <f t="shared" si="86"/>
        <v>-2.7389301572809943E-3</v>
      </c>
      <c r="L909" s="10">
        <f t="shared" si="87"/>
        <v>-1.1808118081180208E-3</v>
      </c>
      <c r="M909" s="10">
        <f t="shared" si="89"/>
        <v>-7.1662412733491943E-3</v>
      </c>
      <c r="N909" s="1"/>
      <c r="O909" s="2">
        <v>4348.87</v>
      </c>
      <c r="P909" s="12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 spans="1:31" ht="15" thickBot="1" x14ac:dyDescent="0.35">
      <c r="A910" s="1">
        <v>44609</v>
      </c>
      <c r="B910">
        <v>24.51</v>
      </c>
      <c r="C910">
        <v>57.9</v>
      </c>
      <c r="D910">
        <v>292.12</v>
      </c>
      <c r="E910">
        <v>240.97</v>
      </c>
      <c r="F910">
        <v>67.75</v>
      </c>
      <c r="G910" s="4"/>
      <c r="H910" s="10">
        <f t="shared" si="88"/>
        <v>-7.5443228970199949E-2</v>
      </c>
      <c r="I910" s="10">
        <f t="shared" si="84"/>
        <v>-3.0475552578700604E-2</v>
      </c>
      <c r="J910" s="10">
        <f t="shared" si="85"/>
        <v>-5.0942170240415918E-2</v>
      </c>
      <c r="K910" s="10">
        <f t="shared" si="86"/>
        <v>-1.8771886961479023E-2</v>
      </c>
      <c r="L910" s="10">
        <f t="shared" si="87"/>
        <v>5.3982576228998047E-2</v>
      </c>
      <c r="M910" s="10">
        <f t="shared" si="89"/>
        <v>-2.1173137043269175E-2</v>
      </c>
      <c r="N910" s="1"/>
      <c r="O910" s="2">
        <v>4380.26</v>
      </c>
      <c r="P910" s="12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 spans="1:31" ht="15" thickBot="1" x14ac:dyDescent="0.35">
      <c r="A911" s="1">
        <v>44608</v>
      </c>
      <c r="B911">
        <v>26.51</v>
      </c>
      <c r="C911">
        <v>59.72</v>
      </c>
      <c r="D911">
        <v>307.8</v>
      </c>
      <c r="E911">
        <v>245.58</v>
      </c>
      <c r="F911">
        <v>64.28</v>
      </c>
      <c r="G911" s="4"/>
      <c r="H911" s="10">
        <f t="shared" si="88"/>
        <v>3.7735849056619308E-4</v>
      </c>
      <c r="I911" s="10">
        <f t="shared" si="84"/>
        <v>-9.28998009289983E-3</v>
      </c>
      <c r="J911" s="10">
        <f t="shared" si="85"/>
        <v>1.040718095485893E-3</v>
      </c>
      <c r="K911" s="10">
        <f t="shared" si="86"/>
        <v>7.1358267716534751E-3</v>
      </c>
      <c r="L911" s="10">
        <f t="shared" si="87"/>
        <v>1.5802781289506962E-2</v>
      </c>
      <c r="M911" s="10">
        <f t="shared" si="89"/>
        <v>8.8122082633468324E-4</v>
      </c>
      <c r="N911" s="1"/>
      <c r="O911" s="2">
        <v>4475.01</v>
      </c>
      <c r="P911" s="12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 spans="1:31" ht="15" thickBot="1" x14ac:dyDescent="0.35">
      <c r="A912" s="1">
        <v>44607</v>
      </c>
      <c r="B912">
        <v>26.5</v>
      </c>
      <c r="C912">
        <v>60.28</v>
      </c>
      <c r="D912">
        <v>307.48</v>
      </c>
      <c r="E912">
        <v>243.84</v>
      </c>
      <c r="F912">
        <v>63.28</v>
      </c>
      <c r="G912" s="4"/>
      <c r="H912" s="10">
        <f t="shared" si="88"/>
        <v>9.1882983106716054E-2</v>
      </c>
      <c r="I912" s="10">
        <f t="shared" si="84"/>
        <v>4.1825095057034245E-2</v>
      </c>
      <c r="J912" s="10">
        <f t="shared" si="85"/>
        <v>5.3302274595779631E-2</v>
      </c>
      <c r="K912" s="10">
        <f t="shared" si="86"/>
        <v>3.8987600664706745E-2</v>
      </c>
      <c r="L912" s="10">
        <f t="shared" si="87"/>
        <v>-1.6627816627816538E-2</v>
      </c>
      <c r="M912" s="10">
        <f t="shared" si="89"/>
        <v>1.5766743077059386E-2</v>
      </c>
      <c r="N912" s="1"/>
      <c r="O912" s="2">
        <v>4471.07</v>
      </c>
      <c r="P912" s="12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 spans="1:31" ht="15" thickBot="1" x14ac:dyDescent="0.35">
      <c r="A913" s="1">
        <v>44606</v>
      </c>
      <c r="B913">
        <v>24.27</v>
      </c>
      <c r="C913">
        <v>57.86</v>
      </c>
      <c r="D913">
        <v>291.92</v>
      </c>
      <c r="E913">
        <v>234.69</v>
      </c>
      <c r="F913">
        <v>64.349999999999994</v>
      </c>
      <c r="G913" s="4"/>
      <c r="H913" s="10">
        <f t="shared" si="88"/>
        <v>1.3361169102296566E-2</v>
      </c>
      <c r="I913" s="10">
        <f t="shared" si="84"/>
        <v>9.0687129403557165E-3</v>
      </c>
      <c r="J913" s="10">
        <f t="shared" si="85"/>
        <v>1.8313740537900802E-2</v>
      </c>
      <c r="K913" s="10">
        <f t="shared" si="86"/>
        <v>-4.4540595571392894E-3</v>
      </c>
      <c r="L913" s="10">
        <f t="shared" si="87"/>
        <v>7.6730347635451945E-3</v>
      </c>
      <c r="M913" s="10">
        <f t="shared" si="89"/>
        <v>-3.8405482229827426E-3</v>
      </c>
      <c r="N913" s="1"/>
      <c r="O913" s="2">
        <v>4401.67</v>
      </c>
      <c r="P913" s="12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 spans="1:31" ht="15" thickBot="1" x14ac:dyDescent="0.35">
      <c r="A914" s="1">
        <v>44603</v>
      </c>
      <c r="B914">
        <v>23.95</v>
      </c>
      <c r="C914">
        <v>57.34</v>
      </c>
      <c r="D914">
        <v>286.67</v>
      </c>
      <c r="E914">
        <v>235.74</v>
      </c>
      <c r="F914">
        <v>63.86</v>
      </c>
      <c r="G914" s="4"/>
      <c r="H914" s="10">
        <f t="shared" si="88"/>
        <v>-7.2424477149496513E-2</v>
      </c>
      <c r="I914" s="10">
        <f t="shared" si="84"/>
        <v>-3.0436252959080146E-2</v>
      </c>
      <c r="J914" s="10">
        <f t="shared" si="85"/>
        <v>-4.9250464314141595E-2</v>
      </c>
      <c r="K914" s="10">
        <f t="shared" si="86"/>
        <v>-1.6274411617426043E-2</v>
      </c>
      <c r="L914" s="10">
        <f t="shared" si="87"/>
        <v>5.501404262349241E-2</v>
      </c>
      <c r="M914" s="10">
        <f t="shared" si="89"/>
        <v>-1.8973823849381732E-2</v>
      </c>
      <c r="N914" s="1"/>
      <c r="O914" s="2">
        <v>4418.6400000000003</v>
      </c>
      <c r="P914" s="12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 spans="1:31" ht="15" thickBot="1" x14ac:dyDescent="0.35">
      <c r="A915" s="1">
        <v>44602</v>
      </c>
      <c r="B915">
        <v>25.82</v>
      </c>
      <c r="C915">
        <v>59.14</v>
      </c>
      <c r="D915">
        <v>301.52</v>
      </c>
      <c r="E915">
        <v>239.64</v>
      </c>
      <c r="F915">
        <v>60.53</v>
      </c>
      <c r="G915" s="4"/>
      <c r="H915" s="10">
        <f t="shared" si="88"/>
        <v>-3.2958801498127355E-2</v>
      </c>
      <c r="I915" s="10">
        <f t="shared" ref="I915:I978" si="90">(C915/C916)-1</f>
        <v>-3.2553574349746484E-2</v>
      </c>
      <c r="J915" s="10">
        <f t="shared" ref="J915:J978" si="91">(D915/D916)-1</f>
        <v>-2.9452473685904756E-2</v>
      </c>
      <c r="K915" s="10">
        <f t="shared" ref="K915:K978" si="92">(E915/E916)-1</f>
        <v>-1.4921691947219262E-2</v>
      </c>
      <c r="L915" s="10">
        <f t="shared" ref="L915:L978" si="93">(F915/F916)-1</f>
        <v>-4.1488519398258039E-2</v>
      </c>
      <c r="M915" s="10">
        <f t="shared" si="89"/>
        <v>-1.8115626089989401E-2</v>
      </c>
      <c r="N915" s="1"/>
      <c r="O915" s="2">
        <v>4504.1000000000004</v>
      </c>
      <c r="P915" s="12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 spans="1:31" ht="15" thickBot="1" x14ac:dyDescent="0.35">
      <c r="A916" s="1">
        <v>44601</v>
      </c>
      <c r="B916">
        <v>26.7</v>
      </c>
      <c r="C916">
        <v>61.13</v>
      </c>
      <c r="D916">
        <v>310.67</v>
      </c>
      <c r="E916">
        <v>243.27</v>
      </c>
      <c r="F916">
        <v>63.15</v>
      </c>
      <c r="G916" s="4"/>
      <c r="H916" s="10">
        <f t="shared" si="88"/>
        <v>6.3321385902030958E-2</v>
      </c>
      <c r="I916" s="10">
        <f t="shared" si="90"/>
        <v>1.8493835388203816E-2</v>
      </c>
      <c r="J916" s="10">
        <f t="shared" si="91"/>
        <v>1.0867796830768439E-2</v>
      </c>
      <c r="K916" s="10">
        <f t="shared" si="92"/>
        <v>1.4005251969488652E-2</v>
      </c>
      <c r="L916" s="10">
        <f t="shared" si="93"/>
        <v>-6.4505978602895642E-3</v>
      </c>
      <c r="M916" s="10">
        <f t="shared" si="89"/>
        <v>1.4530576136237983E-2</v>
      </c>
      <c r="N916" s="1"/>
      <c r="O916" s="2">
        <v>4587.2</v>
      </c>
      <c r="P916" s="12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 spans="1:31" ht="15" thickBot="1" x14ac:dyDescent="0.35">
      <c r="A917" s="1">
        <v>44600</v>
      </c>
      <c r="B917" s="27">
        <v>25.11</v>
      </c>
      <c r="C917">
        <v>60.02</v>
      </c>
      <c r="D917">
        <v>307.33</v>
      </c>
      <c r="E917">
        <v>239.91</v>
      </c>
      <c r="F917">
        <v>63.56</v>
      </c>
      <c r="G917" s="4"/>
      <c r="H917" s="10">
        <f t="shared" si="88"/>
        <v>1.5365952284674522E-2</v>
      </c>
      <c r="I917" s="10">
        <f t="shared" si="90"/>
        <v>2.1443158611300195E-2</v>
      </c>
      <c r="J917" s="10">
        <f t="shared" si="91"/>
        <v>1.6134898330302461E-2</v>
      </c>
      <c r="K917" s="10">
        <f t="shared" si="92"/>
        <v>-1.4945596386778948E-2</v>
      </c>
      <c r="L917" s="10">
        <f t="shared" si="93"/>
        <v>2.9982641628532036E-3</v>
      </c>
      <c r="M917" s="10">
        <f t="shared" si="89"/>
        <v>8.3855572158166858E-3</v>
      </c>
      <c r="N917" s="1"/>
      <c r="O917" s="2">
        <v>4521.5</v>
      </c>
      <c r="P917" s="12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 spans="1:31" ht="15" thickBot="1" x14ac:dyDescent="0.35">
      <c r="A918" s="1">
        <v>44599</v>
      </c>
      <c r="B918">
        <v>24.73</v>
      </c>
      <c r="C918">
        <v>58.76</v>
      </c>
      <c r="D918">
        <v>302.45</v>
      </c>
      <c r="E918">
        <v>243.55</v>
      </c>
      <c r="F918">
        <v>63.37</v>
      </c>
      <c r="G918" s="4"/>
      <c r="H918" s="10">
        <f t="shared" si="88"/>
        <v>1.6858552631578982E-2</v>
      </c>
      <c r="I918" s="10">
        <f t="shared" si="90"/>
        <v>-4.405286343612369E-3</v>
      </c>
      <c r="J918" s="10">
        <f t="shared" si="91"/>
        <v>-1.7285635377067288E-2</v>
      </c>
      <c r="K918" s="10">
        <f t="shared" si="92"/>
        <v>5.2833615387790633E-3</v>
      </c>
      <c r="L918" s="10">
        <f t="shared" si="93"/>
        <v>4.0045954373871595E-2</v>
      </c>
      <c r="M918" s="10">
        <f t="shared" si="89"/>
        <v>-3.6884790578824989E-3</v>
      </c>
      <c r="N918" s="1"/>
      <c r="O918" s="2">
        <v>4483.8999999999996</v>
      </c>
      <c r="P918" s="12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 spans="1:31" ht="15" thickBot="1" x14ac:dyDescent="0.35">
      <c r="A919" s="1">
        <v>44596</v>
      </c>
      <c r="B919">
        <v>24.32</v>
      </c>
      <c r="C919">
        <v>59.02</v>
      </c>
      <c r="D919">
        <v>307.77</v>
      </c>
      <c r="E919">
        <v>242.27</v>
      </c>
      <c r="F919">
        <v>60.93</v>
      </c>
      <c r="G919" s="4"/>
      <c r="H919" s="10">
        <f t="shared" si="88"/>
        <v>1.544885177453037E-2</v>
      </c>
      <c r="I919" s="10">
        <f t="shared" si="90"/>
        <v>1.6009640213461962E-2</v>
      </c>
      <c r="J919" s="10">
        <f t="shared" si="91"/>
        <v>3.6088200639622814E-2</v>
      </c>
      <c r="K919" s="10">
        <f t="shared" si="92"/>
        <v>-1.0375393162044055E-2</v>
      </c>
      <c r="L919" s="10">
        <f t="shared" si="93"/>
        <v>-1.4077669902912593E-2</v>
      </c>
      <c r="M919" s="10">
        <f t="shared" si="89"/>
        <v>5.1592442042256437E-3</v>
      </c>
      <c r="N919" s="1"/>
      <c r="O919" s="2">
        <v>4500.5</v>
      </c>
      <c r="P919" s="12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 spans="1:31" ht="15" thickBot="1" x14ac:dyDescent="0.35">
      <c r="A920" s="1">
        <v>44595</v>
      </c>
      <c r="B920">
        <v>23.95</v>
      </c>
      <c r="C920">
        <v>58.09</v>
      </c>
      <c r="D920">
        <v>297.05</v>
      </c>
      <c r="E920">
        <v>244.81</v>
      </c>
      <c r="F920">
        <v>61.8</v>
      </c>
      <c r="G920" s="4"/>
      <c r="H920" s="10">
        <f t="shared" si="88"/>
        <v>-5.1109350237717899E-2</v>
      </c>
      <c r="I920" s="10">
        <f t="shared" si="90"/>
        <v>-3.7288697381504754E-2</v>
      </c>
      <c r="J920" s="10">
        <f t="shared" si="91"/>
        <v>-1.6032329656497368E-2</v>
      </c>
      <c r="K920" s="10">
        <f t="shared" si="92"/>
        <v>-2.4000318941115539E-2</v>
      </c>
      <c r="L920" s="10">
        <f t="shared" si="93"/>
        <v>-4.9911447431976175E-3</v>
      </c>
      <c r="M920" s="10">
        <f t="shared" si="89"/>
        <v>-2.4404061533098043E-2</v>
      </c>
      <c r="N920" s="1"/>
      <c r="O920" s="2">
        <v>4477.3999999999996</v>
      </c>
      <c r="P920" s="12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 spans="1:31" ht="15" thickBot="1" x14ac:dyDescent="0.35">
      <c r="A921" s="1">
        <v>44594</v>
      </c>
      <c r="B921">
        <v>25.24</v>
      </c>
      <c r="C921">
        <v>60.34</v>
      </c>
      <c r="D921">
        <v>301.89</v>
      </c>
      <c r="E921">
        <v>250.83</v>
      </c>
      <c r="F921">
        <v>62.11</v>
      </c>
      <c r="G921" s="4"/>
      <c r="H921" s="10">
        <f t="shared" si="88"/>
        <v>2.4350649350649345E-2</v>
      </c>
      <c r="I921" s="10">
        <f t="shared" si="90"/>
        <v>1.8052977897756062E-2</v>
      </c>
      <c r="J921" s="10">
        <f t="shared" si="91"/>
        <v>-2.7478899555441139E-2</v>
      </c>
      <c r="K921" s="10">
        <f t="shared" si="92"/>
        <v>1.0270662155630772E-2</v>
      </c>
      <c r="L921" s="10">
        <f t="shared" si="93"/>
        <v>1.2718082504483919E-2</v>
      </c>
      <c r="M921" s="10">
        <f t="shared" si="89"/>
        <v>9.4358297591552454E-3</v>
      </c>
      <c r="N921" s="1"/>
      <c r="O921" s="2">
        <v>4589.3999999999996</v>
      </c>
      <c r="P921" s="12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 spans="1:31" ht="15" thickBot="1" x14ac:dyDescent="0.35">
      <c r="A922" s="1">
        <v>44593</v>
      </c>
      <c r="B922">
        <v>24.64</v>
      </c>
      <c r="C922">
        <v>59.27</v>
      </c>
      <c r="D922">
        <v>310.42</v>
      </c>
      <c r="E922">
        <v>248.28</v>
      </c>
      <c r="F922">
        <v>61.33</v>
      </c>
      <c r="G922" s="4"/>
      <c r="H922" s="10">
        <f t="shared" si="88"/>
        <v>6.1249489587587025E-3</v>
      </c>
      <c r="I922" s="10">
        <f t="shared" si="90"/>
        <v>1.1606076122205211E-2</v>
      </c>
      <c r="J922" s="10">
        <f t="shared" si="91"/>
        <v>-5.8288496028695569E-3</v>
      </c>
      <c r="K922" s="10">
        <f t="shared" si="92"/>
        <v>1.1777171033864553E-2</v>
      </c>
      <c r="L922" s="10">
        <f t="shared" si="93"/>
        <v>2.6156612718652994E-3</v>
      </c>
      <c r="M922" s="10">
        <f t="shared" si="89"/>
        <v>6.8429444592079669E-3</v>
      </c>
      <c r="N922" s="1"/>
      <c r="O922" s="2">
        <v>4546.5</v>
      </c>
      <c r="P922" s="12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 spans="1:31" ht="15" thickBot="1" x14ac:dyDescent="0.35">
      <c r="A923" s="1">
        <v>44592</v>
      </c>
      <c r="B923">
        <v>24.49</v>
      </c>
      <c r="C923">
        <v>58.59</v>
      </c>
      <c r="D923">
        <v>312.24</v>
      </c>
      <c r="E923">
        <v>245.39</v>
      </c>
      <c r="F923">
        <v>61.17</v>
      </c>
      <c r="G923" s="4"/>
      <c r="H923" s="10">
        <f t="shared" si="88"/>
        <v>7.2241681260945656E-2</v>
      </c>
      <c r="I923" s="10">
        <f t="shared" si="90"/>
        <v>4.6063202999464536E-2</v>
      </c>
      <c r="J923" s="10">
        <f t="shared" si="91"/>
        <v>0.10676307954062092</v>
      </c>
      <c r="K923" s="10">
        <f t="shared" si="92"/>
        <v>1.1831905344756866E-3</v>
      </c>
      <c r="L923" s="10">
        <f t="shared" si="93"/>
        <v>2.1884396926161065E-2</v>
      </c>
      <c r="M923" s="10">
        <f t="shared" si="89"/>
        <v>1.8885805185135274E-2</v>
      </c>
      <c r="N923" s="1"/>
      <c r="O923" s="2">
        <v>4515.6000000000004</v>
      </c>
      <c r="P923" s="12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 spans="1:31" ht="15" thickBot="1" x14ac:dyDescent="0.35">
      <c r="A924" s="1">
        <v>44589</v>
      </c>
      <c r="B924">
        <v>22.84</v>
      </c>
      <c r="C924">
        <v>56.01</v>
      </c>
      <c r="D924">
        <v>282.12</v>
      </c>
      <c r="E924">
        <v>245.1</v>
      </c>
      <c r="F924">
        <v>59.86</v>
      </c>
      <c r="G924" s="4"/>
      <c r="H924" s="10">
        <f t="shared" si="88"/>
        <v>4.1020966271649861E-2</v>
      </c>
      <c r="I924" s="10">
        <f t="shared" si="90"/>
        <v>3.2823160612207358E-2</v>
      </c>
      <c r="J924" s="10">
        <f t="shared" si="91"/>
        <v>2.0805441979954375E-2</v>
      </c>
      <c r="K924" s="10">
        <f t="shared" si="92"/>
        <v>3.5400473132815025E-2</v>
      </c>
      <c r="L924" s="10">
        <f t="shared" si="93"/>
        <v>-1.3188262446422683E-2</v>
      </c>
      <c r="M924" s="10">
        <f t="shared" si="89"/>
        <v>2.4361493123772116E-2</v>
      </c>
      <c r="N924" s="1"/>
      <c r="O924" s="2">
        <v>4431.8999999999996</v>
      </c>
      <c r="P924" s="12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 spans="1:31" ht="15" thickBot="1" x14ac:dyDescent="0.35">
      <c r="A925" s="1">
        <v>44588</v>
      </c>
      <c r="B925">
        <v>21.94</v>
      </c>
      <c r="C925">
        <v>54.23</v>
      </c>
      <c r="D925">
        <v>276.37</v>
      </c>
      <c r="E925">
        <v>236.72</v>
      </c>
      <c r="F925">
        <v>60.66</v>
      </c>
      <c r="G925" s="4"/>
      <c r="H925" s="10">
        <f t="shared" si="88"/>
        <v>-3.645147123407988E-2</v>
      </c>
      <c r="I925" s="10">
        <f t="shared" si="90"/>
        <v>-2.6566146113803701E-2</v>
      </c>
      <c r="J925" s="10">
        <f t="shared" si="91"/>
        <v>-0.11553109098473457</v>
      </c>
      <c r="K925" s="10">
        <f t="shared" si="92"/>
        <v>-4.7927352223997577E-3</v>
      </c>
      <c r="L925" s="10">
        <f t="shared" si="93"/>
        <v>-1.6696385151564241E-2</v>
      </c>
      <c r="M925" s="10">
        <f t="shared" si="89"/>
        <v>-5.379434009977202E-3</v>
      </c>
      <c r="N925" s="1"/>
      <c r="O925" s="2">
        <v>4326.5</v>
      </c>
      <c r="P925" s="12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 spans="1:31" ht="15" thickBot="1" x14ac:dyDescent="0.35">
      <c r="A926" s="1">
        <v>44587</v>
      </c>
      <c r="B926">
        <v>22.77</v>
      </c>
      <c r="C926">
        <v>55.71</v>
      </c>
      <c r="D926">
        <v>312.47000000000003</v>
      </c>
      <c r="E926">
        <v>237.86</v>
      </c>
      <c r="F926">
        <v>61.69</v>
      </c>
      <c r="G926" s="4"/>
      <c r="H926" s="10">
        <f t="shared" si="88"/>
        <v>2.0161290322580516E-2</v>
      </c>
      <c r="I926" s="10">
        <f t="shared" si="90"/>
        <v>4.3063096798352518E-2</v>
      </c>
      <c r="J926" s="10">
        <f t="shared" si="91"/>
        <v>2.071015581615665E-2</v>
      </c>
      <c r="K926" s="10">
        <f t="shared" si="92"/>
        <v>-6.6817004927753887E-3</v>
      </c>
      <c r="L926" s="10">
        <f t="shared" si="93"/>
        <v>-2.5280455048190875E-2</v>
      </c>
      <c r="M926" s="10">
        <f t="shared" si="89"/>
        <v>-1.4920576622899917E-3</v>
      </c>
      <c r="N926" s="1"/>
      <c r="O926" s="2">
        <v>4349.8999999999996</v>
      </c>
      <c r="P926" s="12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 spans="1:31" ht="15" thickBot="1" x14ac:dyDescent="0.35">
      <c r="A927" s="1">
        <v>44586</v>
      </c>
      <c r="B927">
        <v>22.32</v>
      </c>
      <c r="C927">
        <v>53.41</v>
      </c>
      <c r="D927">
        <v>306.13</v>
      </c>
      <c r="E927">
        <v>239.46</v>
      </c>
      <c r="F927">
        <v>63.29</v>
      </c>
      <c r="G927" s="4"/>
      <c r="H927" s="10">
        <f t="shared" si="88"/>
        <v>-4.4929396662387711E-2</v>
      </c>
      <c r="I927" s="10">
        <f t="shared" si="90"/>
        <v>-1.3847858197932106E-2</v>
      </c>
      <c r="J927" s="10">
        <f t="shared" si="91"/>
        <v>-1.248387096774195E-2</v>
      </c>
      <c r="K927" s="10">
        <f t="shared" si="92"/>
        <v>-3.9930122285998237E-3</v>
      </c>
      <c r="L927" s="10">
        <f t="shared" si="93"/>
        <v>3.3291058972733101E-3</v>
      </c>
      <c r="M927" s="10">
        <f t="shared" si="89"/>
        <v>-1.2176594635042504E-2</v>
      </c>
      <c r="N927" s="1"/>
      <c r="O927" s="2">
        <v>4356.3999999999996</v>
      </c>
      <c r="P927" s="12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 spans="1:31" ht="15" thickBot="1" x14ac:dyDescent="0.35">
      <c r="A928" s="1">
        <v>44585</v>
      </c>
      <c r="B928">
        <v>23.37</v>
      </c>
      <c r="C928">
        <v>54.16</v>
      </c>
      <c r="D928">
        <v>310</v>
      </c>
      <c r="E928">
        <v>240.42</v>
      </c>
      <c r="F928">
        <v>63.08</v>
      </c>
      <c r="G928" s="4"/>
      <c r="H928" s="10">
        <f t="shared" si="88"/>
        <v>0</v>
      </c>
      <c r="I928" s="10">
        <f t="shared" si="90"/>
        <v>1.5753938484621033E-2</v>
      </c>
      <c r="J928" s="10">
        <f t="shared" si="91"/>
        <v>-1.4715697803769467E-2</v>
      </c>
      <c r="K928" s="10">
        <f t="shared" si="92"/>
        <v>-1.0861515675142042E-2</v>
      </c>
      <c r="L928" s="10">
        <f t="shared" si="93"/>
        <v>-1.5850372483761088E-4</v>
      </c>
      <c r="M928" s="10">
        <f t="shared" si="89"/>
        <v>2.7740512517340221E-3</v>
      </c>
      <c r="N928" s="1"/>
      <c r="O928" s="2">
        <v>4410.1000000000004</v>
      </c>
      <c r="P928" s="12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 spans="1:31" ht="15" thickBot="1" x14ac:dyDescent="0.35">
      <c r="A929" s="1">
        <v>44582</v>
      </c>
      <c r="B929">
        <v>23.37</v>
      </c>
      <c r="C929">
        <v>53.32</v>
      </c>
      <c r="D929">
        <v>314.63</v>
      </c>
      <c r="E929">
        <v>243.06</v>
      </c>
      <c r="F929">
        <v>63.09</v>
      </c>
      <c r="G929" s="4"/>
      <c r="H929" s="10">
        <f t="shared" si="88"/>
        <v>-3.2298136645962594E-2</v>
      </c>
      <c r="I929" s="10">
        <f t="shared" si="90"/>
        <v>-2.6474347270403542E-2</v>
      </c>
      <c r="J929" s="10">
        <f t="shared" si="91"/>
        <v>-5.2576108886145279E-2</v>
      </c>
      <c r="K929" s="10">
        <f t="shared" si="92"/>
        <v>-2.8791181672349619E-4</v>
      </c>
      <c r="L929" s="10">
        <f t="shared" si="93"/>
        <v>-1.1748120300751896E-2</v>
      </c>
      <c r="M929" s="10">
        <f t="shared" si="89"/>
        <v>-1.8917170455305943E-2</v>
      </c>
      <c r="N929" s="1"/>
      <c r="O929" s="2">
        <v>4397.8999999999996</v>
      </c>
      <c r="P929" s="12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 spans="1:31" ht="15" thickBot="1" x14ac:dyDescent="0.35">
      <c r="A930" s="1">
        <v>44581</v>
      </c>
      <c r="B930">
        <v>24.15</v>
      </c>
      <c r="C930">
        <v>54.77</v>
      </c>
      <c r="D930">
        <v>332.09</v>
      </c>
      <c r="E930">
        <v>243.13</v>
      </c>
      <c r="F930">
        <v>63.84</v>
      </c>
      <c r="G930" s="4"/>
      <c r="H930" s="10">
        <f t="shared" si="88"/>
        <v>-3.6697247706422131E-2</v>
      </c>
      <c r="I930" s="10">
        <f t="shared" si="90"/>
        <v>-2.8900709219858101E-2</v>
      </c>
      <c r="J930" s="10">
        <f t="shared" si="91"/>
        <v>6.3275882849223031E-4</v>
      </c>
      <c r="K930" s="10">
        <f t="shared" si="92"/>
        <v>-7.8351356865946631E-3</v>
      </c>
      <c r="L930" s="10">
        <f t="shared" si="93"/>
        <v>-1.7090069284064646E-2</v>
      </c>
      <c r="M930" s="10">
        <f t="shared" si="89"/>
        <v>-1.1052770914225296E-2</v>
      </c>
      <c r="N930" s="1"/>
      <c r="O930" s="2">
        <v>4482.7</v>
      </c>
      <c r="P930" s="12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 spans="1:31" ht="15" thickBot="1" x14ac:dyDescent="0.35">
      <c r="A931" s="1">
        <v>44580</v>
      </c>
      <c r="B931">
        <v>25.07</v>
      </c>
      <c r="C931">
        <v>56.4</v>
      </c>
      <c r="D931">
        <v>331.88</v>
      </c>
      <c r="E931">
        <v>245.05</v>
      </c>
      <c r="F931">
        <v>64.95</v>
      </c>
      <c r="G931" s="4"/>
      <c r="H931" s="10">
        <f t="shared" si="88"/>
        <v>-3.2046332046332004E-2</v>
      </c>
      <c r="I931" s="10">
        <f t="shared" si="90"/>
        <v>-2.3883696780893082E-2</v>
      </c>
      <c r="J931" s="10">
        <f t="shared" si="91"/>
        <v>-3.3828238719068482E-2</v>
      </c>
      <c r="K931" s="10">
        <f t="shared" si="92"/>
        <v>-8.1758206176386627E-3</v>
      </c>
      <c r="L931" s="10">
        <f t="shared" si="93"/>
        <v>6.0408163265306181E-2</v>
      </c>
      <c r="M931" s="10">
        <f t="shared" si="89"/>
        <v>-9.6786174652072621E-3</v>
      </c>
      <c r="N931" s="1"/>
      <c r="O931" s="2">
        <v>4532.8</v>
      </c>
      <c r="P931" s="12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 spans="1:31" ht="15" thickBot="1" x14ac:dyDescent="0.35">
      <c r="A932" s="1">
        <v>44579</v>
      </c>
      <c r="B932">
        <v>25.9</v>
      </c>
      <c r="C932">
        <v>57.78</v>
      </c>
      <c r="D932">
        <v>343.5</v>
      </c>
      <c r="E932">
        <v>247.07</v>
      </c>
      <c r="F932">
        <v>61.25</v>
      </c>
      <c r="G932" s="4"/>
      <c r="H932" s="10">
        <f t="shared" si="88"/>
        <v>-3.8604305864885058E-2</v>
      </c>
      <c r="I932" s="10">
        <f t="shared" si="90"/>
        <v>-3.1187122736418549E-2</v>
      </c>
      <c r="J932" s="10">
        <f t="shared" si="91"/>
        <v>-1.8206762511790098E-2</v>
      </c>
      <c r="K932" s="10">
        <f t="shared" si="92"/>
        <v>1.2084220874979401E-2</v>
      </c>
      <c r="L932" s="10">
        <f t="shared" si="93"/>
        <v>4.9003593596874673E-4</v>
      </c>
      <c r="M932" s="10">
        <f t="shared" si="89"/>
        <v>-1.8400566171266619E-2</v>
      </c>
      <c r="N932" s="1"/>
      <c r="O932" s="2">
        <v>4577.1000000000004</v>
      </c>
      <c r="P932" s="12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 spans="1:31" ht="15" thickBot="1" x14ac:dyDescent="0.35">
      <c r="A933" s="1">
        <v>44575</v>
      </c>
      <c r="B933">
        <v>26.94</v>
      </c>
      <c r="C933">
        <v>59.64</v>
      </c>
      <c r="D933">
        <v>349.87</v>
      </c>
      <c r="E933">
        <v>244.12</v>
      </c>
      <c r="F933">
        <v>61.22</v>
      </c>
      <c r="G933" s="4"/>
      <c r="H933" s="10">
        <f t="shared" si="88"/>
        <v>1.3925479864508983E-2</v>
      </c>
      <c r="I933" s="10">
        <f t="shared" si="90"/>
        <v>-1.3395847287340779E-3</v>
      </c>
      <c r="J933" s="10">
        <f t="shared" si="91"/>
        <v>1.7507634142794659E-2</v>
      </c>
      <c r="K933" s="10">
        <f t="shared" si="92"/>
        <v>-2.2229342732406732E-2</v>
      </c>
      <c r="L933" s="10">
        <f t="shared" si="93"/>
        <v>-1.6307893020222064E-3</v>
      </c>
      <c r="M933" s="10">
        <f t="shared" si="89"/>
        <v>8.370895041853732E-4</v>
      </c>
      <c r="N933" s="1"/>
      <c r="O933" s="2">
        <v>4662.8999999999996</v>
      </c>
      <c r="P933" s="12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 spans="1:31" ht="15" thickBot="1" x14ac:dyDescent="0.35">
      <c r="A934" s="1">
        <v>44574</v>
      </c>
      <c r="B934">
        <v>26.57</v>
      </c>
      <c r="C934">
        <v>59.72</v>
      </c>
      <c r="D934">
        <v>343.85</v>
      </c>
      <c r="E934">
        <v>249.67</v>
      </c>
      <c r="F934">
        <v>61.32</v>
      </c>
      <c r="G934" s="4"/>
      <c r="H934" s="10">
        <f t="shared" si="88"/>
        <v>-5.1071428571428545E-2</v>
      </c>
      <c r="I934" s="10">
        <f t="shared" si="90"/>
        <v>-3.9871382636656016E-2</v>
      </c>
      <c r="J934" s="10">
        <f t="shared" si="91"/>
        <v>-6.7500135596897493E-2</v>
      </c>
      <c r="K934" s="10">
        <f t="shared" si="92"/>
        <v>-2.442169427946228E-2</v>
      </c>
      <c r="L934" s="10">
        <f t="shared" si="93"/>
        <v>-3.2509752925877766E-3</v>
      </c>
      <c r="M934" s="10">
        <f t="shared" si="89"/>
        <v>-1.4260324983073724E-2</v>
      </c>
      <c r="N934" s="1"/>
      <c r="O934" s="2">
        <v>4659</v>
      </c>
      <c r="P934" s="12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 spans="1:31" ht="15" thickBot="1" x14ac:dyDescent="0.35">
      <c r="A935" s="1">
        <v>44573</v>
      </c>
      <c r="B935">
        <v>28</v>
      </c>
      <c r="C935">
        <v>62.2</v>
      </c>
      <c r="D935">
        <v>368.74</v>
      </c>
      <c r="E935">
        <v>255.92</v>
      </c>
      <c r="F935">
        <v>61.52</v>
      </c>
      <c r="G935" s="4"/>
      <c r="H935" s="10">
        <f t="shared" si="88"/>
        <v>6.470165348670065E-3</v>
      </c>
      <c r="I935" s="10">
        <f t="shared" si="90"/>
        <v>0</v>
      </c>
      <c r="J935" s="10">
        <f t="shared" si="91"/>
        <v>3.9289740698985387E-2</v>
      </c>
      <c r="K935" s="10">
        <f t="shared" si="92"/>
        <v>-2.4397682220189121E-2</v>
      </c>
      <c r="L935" s="10">
        <f t="shared" si="93"/>
        <v>1.0014775898867345E-2</v>
      </c>
      <c r="M935" s="10">
        <f t="shared" si="89"/>
        <v>2.8219218773204435E-3</v>
      </c>
      <c r="N935" s="1"/>
      <c r="O935" s="2">
        <v>4726.3999999999996</v>
      </c>
      <c r="P935" s="12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 spans="1:31" ht="15" thickBot="1" x14ac:dyDescent="0.35">
      <c r="A936" s="1">
        <v>44572</v>
      </c>
      <c r="B936">
        <v>27.82</v>
      </c>
      <c r="C936">
        <v>62.2</v>
      </c>
      <c r="D936">
        <v>354.8</v>
      </c>
      <c r="E936">
        <v>262.32</v>
      </c>
      <c r="F936">
        <v>60.91</v>
      </c>
      <c r="G936" s="4"/>
      <c r="H936" s="10">
        <f t="shared" si="88"/>
        <v>1.5328467153284731E-2</v>
      </c>
      <c r="I936" s="10">
        <f t="shared" si="90"/>
        <v>1.2878300064391723E-3</v>
      </c>
      <c r="J936" s="10">
        <f t="shared" si="91"/>
        <v>5.9255479005415612E-3</v>
      </c>
      <c r="K936" s="10">
        <f t="shared" si="92"/>
        <v>8.4964053669600581E-3</v>
      </c>
      <c r="L936" s="10">
        <f t="shared" si="93"/>
        <v>7.9430746318054357E-3</v>
      </c>
      <c r="M936" s="10">
        <f t="shared" si="89"/>
        <v>9.1642935143352311E-3</v>
      </c>
      <c r="N936" s="1"/>
      <c r="O936" s="2">
        <v>4713.1000000000004</v>
      </c>
      <c r="P936" s="12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 spans="1:31" ht="15" thickBot="1" x14ac:dyDescent="0.35">
      <c r="A937" s="1">
        <v>44571</v>
      </c>
      <c r="B937">
        <v>27.4</v>
      </c>
      <c r="C937">
        <v>62.12</v>
      </c>
      <c r="D937">
        <v>352.71</v>
      </c>
      <c r="E937">
        <v>260.11</v>
      </c>
      <c r="F937">
        <v>60.43</v>
      </c>
      <c r="G937" s="4"/>
      <c r="H937" s="10">
        <f t="shared" si="88"/>
        <v>5.5045871559633586E-3</v>
      </c>
      <c r="I937" s="10">
        <f t="shared" si="90"/>
        <v>3.3920206751736348E-3</v>
      </c>
      <c r="J937" s="10">
        <f t="shared" si="91"/>
        <v>3.0351717691049274E-2</v>
      </c>
      <c r="K937" s="10">
        <f t="shared" si="92"/>
        <v>2.3506743737957692E-3</v>
      </c>
      <c r="L937" s="10">
        <f t="shared" si="93"/>
        <v>1.6826518593302975E-2</v>
      </c>
      <c r="M937" s="10">
        <f t="shared" si="89"/>
        <v>-1.4325422279238831E-3</v>
      </c>
      <c r="N937" s="1"/>
      <c r="O937" s="2">
        <v>4670.3</v>
      </c>
      <c r="P937" s="12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 spans="1:31" ht="15" thickBot="1" x14ac:dyDescent="0.35">
      <c r="A938" s="1">
        <v>44568</v>
      </c>
      <c r="B938">
        <v>27.25</v>
      </c>
      <c r="C938">
        <v>61.91</v>
      </c>
      <c r="D938">
        <v>342.32</v>
      </c>
      <c r="E938">
        <v>259.5</v>
      </c>
      <c r="F938">
        <v>59.43</v>
      </c>
      <c r="G938" s="4"/>
      <c r="H938" s="10">
        <f t="shared" si="88"/>
        <v>-3.3002129169623862E-2</v>
      </c>
      <c r="I938" s="10">
        <f t="shared" si="90"/>
        <v>-2.8100470957613921E-2</v>
      </c>
      <c r="J938" s="10">
        <f t="shared" si="91"/>
        <v>-3.5446604677373816E-2</v>
      </c>
      <c r="K938" s="10">
        <f t="shared" si="92"/>
        <v>6.5553541819318717E-4</v>
      </c>
      <c r="L938" s="10">
        <f t="shared" si="93"/>
        <v>1.2953809442645348E-2</v>
      </c>
      <c r="M938" s="10">
        <f t="shared" si="89"/>
        <v>-4.0672047017739077E-3</v>
      </c>
      <c r="N938" s="1"/>
      <c r="O938" s="2">
        <v>4677</v>
      </c>
      <c r="P938" s="12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 spans="1:31" ht="15" thickBot="1" x14ac:dyDescent="0.35">
      <c r="A939" s="1">
        <v>44567</v>
      </c>
      <c r="B939">
        <v>28.18</v>
      </c>
      <c r="C939">
        <v>63.7</v>
      </c>
      <c r="D939">
        <v>354.9</v>
      </c>
      <c r="E939">
        <v>259.33</v>
      </c>
      <c r="F939">
        <v>58.67</v>
      </c>
      <c r="G939" s="4"/>
      <c r="H939" s="10">
        <f t="shared" si="88"/>
        <v>2.1014492753623104E-2</v>
      </c>
      <c r="I939" s="10">
        <f t="shared" si="90"/>
        <v>-9.3312597200621017E-3</v>
      </c>
      <c r="J939" s="10">
        <f t="shared" si="91"/>
        <v>-2.1532353670976834E-2</v>
      </c>
      <c r="K939" s="10">
        <f t="shared" si="92"/>
        <v>-5.0642624208708797E-3</v>
      </c>
      <c r="L939" s="10">
        <f t="shared" si="93"/>
        <v>-2.7515332338803211E-2</v>
      </c>
      <c r="M939" s="10">
        <f t="shared" si="89"/>
        <v>-9.5732459685993199E-4</v>
      </c>
      <c r="N939" s="1"/>
      <c r="O939" s="2">
        <v>4696.1000000000004</v>
      </c>
      <c r="P939" s="12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 spans="1:31" ht="15" thickBot="1" x14ac:dyDescent="0.35">
      <c r="A940" s="1">
        <v>44566</v>
      </c>
      <c r="B940">
        <v>27.6</v>
      </c>
      <c r="C940">
        <v>64.3</v>
      </c>
      <c r="D940">
        <v>362.71</v>
      </c>
      <c r="E940">
        <v>260.64999999999998</v>
      </c>
      <c r="F940">
        <v>60.33</v>
      </c>
      <c r="G940" s="4"/>
      <c r="H940" s="10">
        <f t="shared" si="88"/>
        <v>-5.7698873335609302E-2</v>
      </c>
      <c r="I940" s="10">
        <f t="shared" si="90"/>
        <v>-4.1585929348636252E-2</v>
      </c>
      <c r="J940" s="10">
        <f t="shared" si="91"/>
        <v>-5.3470772442588799E-2</v>
      </c>
      <c r="K940" s="10">
        <f t="shared" si="92"/>
        <v>-2.3087590420149295E-2</v>
      </c>
      <c r="L940" s="10">
        <f t="shared" si="93"/>
        <v>-1.654807214959475E-3</v>
      </c>
      <c r="M940" s="10">
        <f t="shared" si="89"/>
        <v>-1.9380410973192763E-2</v>
      </c>
      <c r="N940" s="1"/>
      <c r="O940" s="2">
        <v>4700.6000000000004</v>
      </c>
      <c r="P940" s="12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 spans="1:31" ht="15" thickBot="1" x14ac:dyDescent="0.35">
      <c r="A941" s="1">
        <v>44565</v>
      </c>
      <c r="B941">
        <v>29.29</v>
      </c>
      <c r="C941">
        <v>67.09</v>
      </c>
      <c r="D941">
        <v>383.2</v>
      </c>
      <c r="E941">
        <v>266.81</v>
      </c>
      <c r="F941">
        <v>60.43</v>
      </c>
      <c r="G941" s="4"/>
      <c r="H941" s="10">
        <f t="shared" si="88"/>
        <v>-2.7556440903054535E-2</v>
      </c>
      <c r="I941" s="10">
        <f t="shared" si="90"/>
        <v>1.1457862204131031E-2</v>
      </c>
      <c r="J941" s="10">
        <f t="shared" si="91"/>
        <v>-4.1832320656114863E-2</v>
      </c>
      <c r="K941" s="10">
        <f t="shared" si="92"/>
        <v>-1.8106208368601218E-2</v>
      </c>
      <c r="L941" s="10">
        <f t="shared" si="93"/>
        <v>-9.0193506067562934E-3</v>
      </c>
      <c r="M941" s="10">
        <f t="shared" si="89"/>
        <v>-6.4629112287872825E-4</v>
      </c>
      <c r="N941" s="1"/>
      <c r="O941" s="2">
        <v>4793.5</v>
      </c>
      <c r="P941" s="12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 spans="1:31" ht="15" thickBot="1" x14ac:dyDescent="0.35">
      <c r="A942" s="1">
        <v>44564</v>
      </c>
      <c r="B942">
        <v>30.12</v>
      </c>
      <c r="C942">
        <v>66.33</v>
      </c>
      <c r="D942">
        <v>399.93</v>
      </c>
      <c r="E942">
        <v>271.73</v>
      </c>
      <c r="F942">
        <v>60.98</v>
      </c>
      <c r="G942" s="4"/>
      <c r="H942" s="10">
        <f t="shared" si="88"/>
        <v>2.4141448486909134E-2</v>
      </c>
      <c r="I942" s="10">
        <f t="shared" si="90"/>
        <v>-3.1559963931471202E-3</v>
      </c>
      <c r="J942" s="10">
        <f t="shared" si="91"/>
        <v>0.13532617952648618</v>
      </c>
      <c r="K942" s="10">
        <f t="shared" si="92"/>
        <v>-1.6255158931286706E-2</v>
      </c>
      <c r="L942" s="10">
        <f t="shared" si="93"/>
        <v>-1.676878426314099E-2</v>
      </c>
      <c r="M942" s="10">
        <f t="shared" si="89"/>
        <v>6.3782468213673393E-3</v>
      </c>
      <c r="N942" s="1"/>
      <c r="O942" s="2">
        <v>4796.6000000000004</v>
      </c>
      <c r="P942" s="12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 spans="1:31" ht="15" thickBot="1" x14ac:dyDescent="0.35">
      <c r="A943" s="1">
        <v>44561</v>
      </c>
      <c r="B943">
        <v>29.41</v>
      </c>
      <c r="C943">
        <v>66.540000000000006</v>
      </c>
      <c r="D943">
        <v>352.26</v>
      </c>
      <c r="E943">
        <v>276.22000000000003</v>
      </c>
      <c r="F943">
        <v>62.02</v>
      </c>
      <c r="G943" s="4"/>
      <c r="H943" s="10">
        <f t="shared" si="88"/>
        <v>-6.0831361946603879E-3</v>
      </c>
      <c r="I943" s="10">
        <f t="shared" si="90"/>
        <v>4.5105999097883043E-4</v>
      </c>
      <c r="J943" s="10">
        <f t="shared" si="91"/>
        <v>-1.2668871573518592E-2</v>
      </c>
      <c r="K943" s="10">
        <f t="shared" si="92"/>
        <v>-3.7150586113614548E-3</v>
      </c>
      <c r="L943" s="10">
        <f t="shared" si="93"/>
        <v>6.981652865724941E-3</v>
      </c>
      <c r="M943" s="10">
        <f t="shared" si="89"/>
        <v>-2.6157741645217447E-3</v>
      </c>
      <c r="N943" s="1"/>
      <c r="O943" s="2">
        <v>4766.2</v>
      </c>
      <c r="P943" s="12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 spans="1:31" ht="15" thickBot="1" x14ac:dyDescent="0.35">
      <c r="A944" s="1">
        <v>44560</v>
      </c>
      <c r="B944">
        <v>29.59</v>
      </c>
      <c r="C944">
        <v>66.510000000000005</v>
      </c>
      <c r="D944">
        <v>356.78</v>
      </c>
      <c r="E944">
        <v>277.25</v>
      </c>
      <c r="F944">
        <v>61.59</v>
      </c>
      <c r="G944" s="4"/>
      <c r="H944" s="10">
        <f t="shared" si="88"/>
        <v>-1.3666666666666716E-2</v>
      </c>
      <c r="I944" s="10">
        <f t="shared" si="90"/>
        <v>-1.1150758251561088E-2</v>
      </c>
      <c r="J944" s="10">
        <f t="shared" si="91"/>
        <v>-1.4583218251118635E-2</v>
      </c>
      <c r="K944" s="10">
        <f t="shared" si="92"/>
        <v>-4.2022843186553249E-3</v>
      </c>
      <c r="L944" s="10">
        <f t="shared" si="93"/>
        <v>1.6001319696469896E-2</v>
      </c>
      <c r="M944" s="10">
        <f t="shared" si="89"/>
        <v>-3.0043187081431055E-3</v>
      </c>
      <c r="N944" s="1"/>
      <c r="O944" s="2">
        <v>4778.7</v>
      </c>
      <c r="P944" s="12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 spans="1:31" ht="15" thickBot="1" x14ac:dyDescent="0.35">
      <c r="A945" s="1">
        <v>44559</v>
      </c>
      <c r="B945">
        <v>30</v>
      </c>
      <c r="C945">
        <v>67.260000000000005</v>
      </c>
      <c r="D945">
        <v>362.06</v>
      </c>
      <c r="E945">
        <v>278.42</v>
      </c>
      <c r="F945">
        <v>60.62</v>
      </c>
      <c r="G945" s="4"/>
      <c r="H945" s="10">
        <f t="shared" si="88"/>
        <v>-1.0554089709762571E-2</v>
      </c>
      <c r="I945" s="10">
        <f t="shared" si="90"/>
        <v>5.3811659192823935E-3</v>
      </c>
      <c r="J945" s="10">
        <f t="shared" si="91"/>
        <v>-2.0947026073534492E-3</v>
      </c>
      <c r="K945" s="10">
        <f t="shared" si="92"/>
        <v>7.1989292045002706E-3</v>
      </c>
      <c r="L945" s="10">
        <f t="shared" si="93"/>
        <v>5.4735445347486866E-3</v>
      </c>
      <c r="M945" s="10">
        <f t="shared" si="89"/>
        <v>1.3997994317234141E-3</v>
      </c>
      <c r="N945" s="1"/>
      <c r="O945" s="2">
        <v>4793.1000000000004</v>
      </c>
      <c r="P945" s="12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 spans="1:31" ht="15" thickBot="1" x14ac:dyDescent="0.35">
      <c r="A946" s="1">
        <v>44558</v>
      </c>
      <c r="B946">
        <v>30.32</v>
      </c>
      <c r="C946">
        <v>66.900000000000006</v>
      </c>
      <c r="D946">
        <v>362.82</v>
      </c>
      <c r="E946">
        <v>276.43</v>
      </c>
      <c r="F946">
        <v>60.29</v>
      </c>
      <c r="G946" s="4"/>
      <c r="H946" s="10">
        <f t="shared" si="88"/>
        <v>-2.0355411954765756E-2</v>
      </c>
      <c r="I946" s="10">
        <f t="shared" si="90"/>
        <v>-7.8600029660388371E-3</v>
      </c>
      <c r="J946" s="10">
        <f t="shared" si="91"/>
        <v>-5.018510900863804E-3</v>
      </c>
      <c r="K946" s="10">
        <f t="shared" si="92"/>
        <v>-7.1118135124457194E-3</v>
      </c>
      <c r="L946" s="10">
        <f t="shared" si="93"/>
        <v>1.8278497839814278E-3</v>
      </c>
      <c r="M946" s="10">
        <f t="shared" si="89"/>
        <v>-1.0018367006178197E-3</v>
      </c>
      <c r="N946" s="1"/>
      <c r="O946" s="2">
        <v>4786.3999999999996</v>
      </c>
      <c r="P946" s="12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 spans="1:31" ht="15" thickBot="1" x14ac:dyDescent="0.35">
      <c r="A947" s="1">
        <v>44557</v>
      </c>
      <c r="B947">
        <v>30.95</v>
      </c>
      <c r="C947">
        <v>67.430000000000007</v>
      </c>
      <c r="D947">
        <v>364.65</v>
      </c>
      <c r="E947">
        <v>278.41000000000003</v>
      </c>
      <c r="F947">
        <v>60.18</v>
      </c>
      <c r="G947" s="4"/>
      <c r="H947" s="10">
        <f t="shared" si="88"/>
        <v>4.4197031039136192E-2</v>
      </c>
      <c r="I947" s="10">
        <f t="shared" si="90"/>
        <v>1.4290012033694399E-2</v>
      </c>
      <c r="J947" s="10">
        <f t="shared" si="91"/>
        <v>2.5248123260325439E-2</v>
      </c>
      <c r="K947" s="10">
        <f t="shared" si="92"/>
        <v>1.9443427316001571E-2</v>
      </c>
      <c r="L947" s="10">
        <f t="shared" si="93"/>
        <v>1.0918864438098419E-2</v>
      </c>
      <c r="M947" s="10">
        <f t="shared" si="89"/>
        <v>1.3838926742562041E-2</v>
      </c>
      <c r="N947" s="1"/>
      <c r="O947" s="2">
        <v>4791.2</v>
      </c>
      <c r="P947" s="12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 spans="1:31" ht="15" thickBot="1" x14ac:dyDescent="0.35">
      <c r="A948" s="1">
        <v>44553</v>
      </c>
      <c r="B948">
        <v>29.64</v>
      </c>
      <c r="C948">
        <v>66.48</v>
      </c>
      <c r="D948">
        <v>355.67</v>
      </c>
      <c r="E948">
        <v>273.10000000000002</v>
      </c>
      <c r="F948">
        <v>59.53</v>
      </c>
      <c r="G948" s="4"/>
      <c r="H948" s="10">
        <f t="shared" si="88"/>
        <v>8.1632653061225469E-3</v>
      </c>
      <c r="I948" s="10">
        <f t="shared" si="90"/>
        <v>1.4652014652014822E-2</v>
      </c>
      <c r="J948" s="10">
        <f t="shared" si="91"/>
        <v>5.7628832257872631E-2</v>
      </c>
      <c r="K948" s="10">
        <f t="shared" si="92"/>
        <v>2.4765478424014997E-2</v>
      </c>
      <c r="L948" s="10">
        <f t="shared" si="93"/>
        <v>1.7606837606837678E-2</v>
      </c>
      <c r="M948" s="10">
        <f t="shared" si="89"/>
        <v>6.2172635523569664E-3</v>
      </c>
      <c r="N948" s="1"/>
      <c r="O948" s="2">
        <v>4725.8</v>
      </c>
      <c r="P948" s="12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 spans="1:31" ht="15" thickBot="1" x14ac:dyDescent="0.35">
      <c r="A949" s="1">
        <v>44552</v>
      </c>
      <c r="B949">
        <v>29.4</v>
      </c>
      <c r="C949">
        <v>65.52</v>
      </c>
      <c r="D949">
        <v>336.29</v>
      </c>
      <c r="E949">
        <v>266.5</v>
      </c>
      <c r="F949">
        <v>58.5</v>
      </c>
      <c r="G949" s="4"/>
      <c r="H949" s="10">
        <f t="shared" si="88"/>
        <v>1.1351909184726505E-2</v>
      </c>
      <c r="I949" s="10">
        <f t="shared" si="90"/>
        <v>1.3927576601671099E-2</v>
      </c>
      <c r="J949" s="10">
        <f t="shared" si="91"/>
        <v>7.4958445211609881E-2</v>
      </c>
      <c r="K949" s="10">
        <f t="shared" si="92"/>
        <v>6.1159770462095864E-3</v>
      </c>
      <c r="L949" s="10">
        <f t="shared" si="93"/>
        <v>5.5001718803713295E-3</v>
      </c>
      <c r="M949" s="10">
        <f t="shared" si="89"/>
        <v>1.0195302417620455E-2</v>
      </c>
      <c r="N949" s="1"/>
      <c r="O949" s="2">
        <v>4696.6000000000004</v>
      </c>
      <c r="P949" s="12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 spans="1:31" ht="15" thickBot="1" x14ac:dyDescent="0.35">
      <c r="A950" s="1">
        <v>44551</v>
      </c>
      <c r="B950">
        <v>29.07</v>
      </c>
      <c r="C950">
        <v>64.62</v>
      </c>
      <c r="D950">
        <v>312.83999999999997</v>
      </c>
      <c r="E950">
        <v>264.88</v>
      </c>
      <c r="F950">
        <v>58.18</v>
      </c>
      <c r="G950" s="4"/>
      <c r="H950" s="10">
        <f t="shared" si="88"/>
        <v>4.870129870129869E-2</v>
      </c>
      <c r="I950" s="10">
        <f t="shared" si="90"/>
        <v>1.8604651162792418E-3</v>
      </c>
      <c r="J950" s="10">
        <f t="shared" si="91"/>
        <v>4.2869524634975509E-2</v>
      </c>
      <c r="K950" s="10">
        <f t="shared" si="92"/>
        <v>5.3134962805525543E-3</v>
      </c>
      <c r="L950" s="10">
        <f t="shared" si="93"/>
        <v>-9.0274229262476968E-3</v>
      </c>
      <c r="M950" s="10">
        <f t="shared" si="89"/>
        <v>1.7775831873905412E-2</v>
      </c>
      <c r="N950" s="1"/>
      <c r="O950" s="2">
        <v>4649.2</v>
      </c>
      <c r="P950" s="12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 spans="1:31" ht="15" thickBot="1" x14ac:dyDescent="0.35">
      <c r="A951" s="1">
        <v>44550</v>
      </c>
      <c r="B951">
        <v>27.72</v>
      </c>
      <c r="C951">
        <v>64.5</v>
      </c>
      <c r="D951">
        <v>299.98</v>
      </c>
      <c r="E951">
        <v>263.48</v>
      </c>
      <c r="F951">
        <v>58.71</v>
      </c>
      <c r="G951" s="4"/>
      <c r="H951" s="10">
        <f t="shared" si="88"/>
        <v>-2.8776978417266452E-3</v>
      </c>
      <c r="I951" s="10">
        <f t="shared" si="90"/>
        <v>1.5748031496062964E-2</v>
      </c>
      <c r="J951" s="10">
        <f t="shared" si="91"/>
        <v>-3.4999678311780191E-2</v>
      </c>
      <c r="K951" s="10">
        <f t="shared" si="92"/>
        <v>-1.4733378206566394E-2</v>
      </c>
      <c r="L951" s="10">
        <f t="shared" si="93"/>
        <v>-8.946657663740698E-3</v>
      </c>
      <c r="M951" s="10">
        <f t="shared" si="89"/>
        <v>-1.1383802969311407E-2</v>
      </c>
      <c r="N951" s="1"/>
      <c r="O951" s="2">
        <v>4568</v>
      </c>
      <c r="P951" s="12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 spans="1:31" ht="15" thickBot="1" x14ac:dyDescent="0.35">
      <c r="A952" s="1">
        <v>44547</v>
      </c>
      <c r="B952">
        <v>27.8</v>
      </c>
      <c r="C952">
        <v>63.5</v>
      </c>
      <c r="D952">
        <v>310.86</v>
      </c>
      <c r="E952">
        <v>267.42</v>
      </c>
      <c r="F952">
        <v>59.24</v>
      </c>
      <c r="G952" s="4"/>
      <c r="H952" s="10">
        <f t="shared" si="88"/>
        <v>-2.0781965480803133E-2</v>
      </c>
      <c r="I952" s="10">
        <f t="shared" si="90"/>
        <v>2.3038504913806879E-2</v>
      </c>
      <c r="J952" s="10">
        <f t="shared" si="91"/>
        <v>6.117098747451255E-3</v>
      </c>
      <c r="K952" s="10">
        <f t="shared" si="92"/>
        <v>-4.1642775229357776E-2</v>
      </c>
      <c r="L952" s="10">
        <f t="shared" si="93"/>
        <v>4.0677966101694274E-3</v>
      </c>
      <c r="M952" s="10">
        <f t="shared" si="89"/>
        <v>-1.030265384368223E-2</v>
      </c>
      <c r="N952" s="1"/>
      <c r="O952" s="2">
        <v>4620.6000000000004</v>
      </c>
      <c r="P952" s="12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 spans="1:31" ht="15" thickBot="1" x14ac:dyDescent="0.35">
      <c r="A953" s="1">
        <v>44546</v>
      </c>
      <c r="B953">
        <v>28.39</v>
      </c>
      <c r="C953">
        <v>62.07</v>
      </c>
      <c r="D953">
        <v>308.97000000000003</v>
      </c>
      <c r="E953">
        <v>279.04000000000002</v>
      </c>
      <c r="F953">
        <v>59</v>
      </c>
      <c r="G953" s="4"/>
      <c r="H953" s="10">
        <f t="shared" si="88"/>
        <v>-6.7957977675640158E-2</v>
      </c>
      <c r="I953" s="10">
        <f t="shared" si="90"/>
        <v>-3.0004688232536325E-2</v>
      </c>
      <c r="J953" s="10">
        <f t="shared" si="91"/>
        <v>-5.0287400485660605E-2</v>
      </c>
      <c r="K953" s="10">
        <f t="shared" si="92"/>
        <v>1.365882011043329E-2</v>
      </c>
      <c r="L953" s="10">
        <f t="shared" si="93"/>
        <v>8.7958694449566721E-2</v>
      </c>
      <c r="M953" s="10">
        <f t="shared" si="89"/>
        <v>-8.7475317947302011E-3</v>
      </c>
      <c r="N953" s="1"/>
      <c r="O953" s="2">
        <v>4668.7</v>
      </c>
      <c r="P953" s="12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 spans="1:31" ht="15" thickBot="1" x14ac:dyDescent="0.35">
      <c r="A954" s="1">
        <v>44545</v>
      </c>
      <c r="B954">
        <v>30.46</v>
      </c>
      <c r="C954">
        <v>63.99</v>
      </c>
      <c r="D954">
        <v>325.33</v>
      </c>
      <c r="E954">
        <v>275.27999999999997</v>
      </c>
      <c r="F954">
        <v>54.23</v>
      </c>
      <c r="G954" s="4"/>
      <c r="H954" s="10">
        <f t="shared" si="88"/>
        <v>7.4805928016937306E-2</v>
      </c>
      <c r="I954" s="10">
        <f t="shared" si="90"/>
        <v>4.0657017401203532E-2</v>
      </c>
      <c r="J954" s="10">
        <f t="shared" si="91"/>
        <v>1.8247261345852861E-2</v>
      </c>
      <c r="K954" s="10">
        <f t="shared" si="92"/>
        <v>0.10385756676557856</v>
      </c>
      <c r="L954" s="10">
        <f t="shared" si="93"/>
        <v>-3.4538009613672815E-2</v>
      </c>
      <c r="M954" s="10">
        <f t="shared" si="89"/>
        <v>1.6357005675319725E-2</v>
      </c>
      <c r="N954" s="1"/>
      <c r="O954" s="2">
        <v>4709.8999999999996</v>
      </c>
      <c r="P954" s="12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 spans="1:31" ht="15" thickBot="1" x14ac:dyDescent="0.35">
      <c r="A955" s="1">
        <v>44544</v>
      </c>
      <c r="B955">
        <v>28.34</v>
      </c>
      <c r="C955">
        <v>61.49</v>
      </c>
      <c r="D955">
        <v>319.5</v>
      </c>
      <c r="E955">
        <v>249.38</v>
      </c>
      <c r="F955">
        <v>56.17</v>
      </c>
      <c r="G955" s="4"/>
      <c r="H955" s="10">
        <f t="shared" si="88"/>
        <v>6.3920454545454142E-3</v>
      </c>
      <c r="I955" s="10">
        <f t="shared" si="90"/>
        <v>-1.0937751327006584E-2</v>
      </c>
      <c r="J955" s="10">
        <f t="shared" si="91"/>
        <v>-8.1951946358725936E-3</v>
      </c>
      <c r="K955" s="10">
        <f t="shared" si="92"/>
        <v>3.4201102482598333E-3</v>
      </c>
      <c r="L955" s="10">
        <f t="shared" si="93"/>
        <v>-1.7491691446562929E-2</v>
      </c>
      <c r="M955" s="10">
        <f t="shared" si="89"/>
        <v>-7.4748340115655676E-3</v>
      </c>
      <c r="N955" s="1"/>
      <c r="O955" s="2">
        <v>4634.1000000000004</v>
      </c>
      <c r="P955" s="12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 spans="1:31" ht="15" thickBot="1" x14ac:dyDescent="0.35">
      <c r="A956" s="1">
        <v>44543</v>
      </c>
      <c r="B956">
        <v>28.16</v>
      </c>
      <c r="C956">
        <v>62.17</v>
      </c>
      <c r="D956">
        <v>322.14</v>
      </c>
      <c r="E956">
        <v>248.53</v>
      </c>
      <c r="F956">
        <v>57.17</v>
      </c>
      <c r="G956" s="4"/>
      <c r="H956" s="10">
        <f t="shared" si="88"/>
        <v>-6.7549668874172131E-2</v>
      </c>
      <c r="I956" s="10">
        <f t="shared" si="90"/>
        <v>-1.5830299192654773E-2</v>
      </c>
      <c r="J956" s="10">
        <f t="shared" si="91"/>
        <v>-4.9762543877761689E-2</v>
      </c>
      <c r="K956" s="10">
        <f t="shared" si="92"/>
        <v>1.798148603260441E-2</v>
      </c>
      <c r="L956" s="10">
        <f t="shared" si="93"/>
        <v>1.9073083778966105E-2</v>
      </c>
      <c r="M956" s="10">
        <f t="shared" si="89"/>
        <v>-9.1256366723260207E-3</v>
      </c>
      <c r="N956" s="1"/>
      <c r="O956" s="2">
        <v>4669</v>
      </c>
      <c r="P956" s="12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 spans="1:31" ht="15" thickBot="1" x14ac:dyDescent="0.35">
      <c r="A957" s="1">
        <v>44540</v>
      </c>
      <c r="B957">
        <v>30.2</v>
      </c>
      <c r="C957">
        <v>63.17</v>
      </c>
      <c r="D957">
        <v>339.01</v>
      </c>
      <c r="E957">
        <v>244.14</v>
      </c>
      <c r="F957">
        <v>56.1</v>
      </c>
      <c r="G957" s="4"/>
      <c r="H957" s="10">
        <f t="shared" si="88"/>
        <v>-9.5113151853066791E-3</v>
      </c>
      <c r="I957" s="10">
        <f t="shared" si="90"/>
        <v>8.2790538224202903E-2</v>
      </c>
      <c r="J957" s="10">
        <f t="shared" si="91"/>
        <v>1.3179916317991536E-2</v>
      </c>
      <c r="K957" s="10">
        <f t="shared" si="92"/>
        <v>5.1049814738575172E-3</v>
      </c>
      <c r="L957" s="10">
        <f t="shared" si="93"/>
        <v>-1.9569471624265589E-3</v>
      </c>
      <c r="M957" s="10">
        <f t="shared" si="89"/>
        <v>9.5556412563739812E-3</v>
      </c>
      <c r="N957" s="1"/>
      <c r="O957" s="2">
        <v>4712</v>
      </c>
      <c r="P957" s="12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 spans="1:31" ht="15" thickBot="1" x14ac:dyDescent="0.35">
      <c r="A958" s="1">
        <v>44539</v>
      </c>
      <c r="B958">
        <v>30.49</v>
      </c>
      <c r="C958">
        <v>58.34</v>
      </c>
      <c r="D958">
        <v>334.6</v>
      </c>
      <c r="E958">
        <v>242.9</v>
      </c>
      <c r="F958">
        <v>56.21</v>
      </c>
      <c r="G958" s="4"/>
      <c r="H958" s="10">
        <f t="shared" si="88"/>
        <v>-4.2098649073201377E-2</v>
      </c>
      <c r="I958" s="10">
        <f t="shared" si="90"/>
        <v>-8.8345225959903795E-3</v>
      </c>
      <c r="J958" s="10">
        <f t="shared" si="91"/>
        <v>-6.0956443646160707E-2</v>
      </c>
      <c r="K958" s="10">
        <f t="shared" si="92"/>
        <v>-5.8120497707923047E-3</v>
      </c>
      <c r="L958" s="10">
        <f t="shared" si="93"/>
        <v>-2.6614620298083258E-3</v>
      </c>
      <c r="M958" s="10">
        <f t="shared" si="89"/>
        <v>-7.1896537054368936E-3</v>
      </c>
      <c r="N958" s="1"/>
      <c r="O958" s="2">
        <v>4667.3999999999996</v>
      </c>
      <c r="P958" s="12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 spans="1:31" ht="15" thickBot="1" x14ac:dyDescent="0.35">
      <c r="A959" s="1">
        <v>44538</v>
      </c>
      <c r="B959">
        <v>31.83</v>
      </c>
      <c r="C959">
        <v>58.86</v>
      </c>
      <c r="D959">
        <v>356.32</v>
      </c>
      <c r="E959">
        <v>244.32</v>
      </c>
      <c r="F959">
        <v>56.36</v>
      </c>
      <c r="G959" s="4"/>
      <c r="H959" s="10">
        <f t="shared" si="88"/>
        <v>-1.8501387604070385E-2</v>
      </c>
      <c r="I959" s="10">
        <f t="shared" si="90"/>
        <v>-3.0487804878048808E-3</v>
      </c>
      <c r="J959" s="10">
        <f t="shared" si="91"/>
        <v>1.637286781904268E-2</v>
      </c>
      <c r="K959" s="10">
        <f t="shared" si="92"/>
        <v>-3.223042715515545E-3</v>
      </c>
      <c r="L959" s="10">
        <f t="shared" si="93"/>
        <v>-5.3200922149321261E-4</v>
      </c>
      <c r="M959" s="10">
        <f t="shared" si="89"/>
        <v>3.0724588205170988E-3</v>
      </c>
      <c r="N959" s="1"/>
      <c r="O959" s="2">
        <v>4701.2</v>
      </c>
      <c r="P959" s="12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 spans="1:31" ht="15" thickBot="1" x14ac:dyDescent="0.35">
      <c r="A960" s="1">
        <v>44537</v>
      </c>
      <c r="B960">
        <v>32.43</v>
      </c>
      <c r="C960">
        <v>59.04</v>
      </c>
      <c r="D960">
        <v>350.58</v>
      </c>
      <c r="E960">
        <v>245.11</v>
      </c>
      <c r="F960">
        <v>56.39</v>
      </c>
      <c r="G960" s="4"/>
      <c r="H960" s="10">
        <f t="shared" si="88"/>
        <v>7.9560585885485979E-2</v>
      </c>
      <c r="I960" s="10">
        <f t="shared" si="90"/>
        <v>4.4955752212389344E-2</v>
      </c>
      <c r="J960" s="10">
        <f t="shared" si="91"/>
        <v>4.233811024558487E-2</v>
      </c>
      <c r="K960" s="10">
        <f t="shared" si="92"/>
        <v>-4.9527057199691971E-3</v>
      </c>
      <c r="L960" s="10">
        <f t="shared" si="93"/>
        <v>1.0030449579079281E-2</v>
      </c>
      <c r="M960" s="10">
        <f t="shared" si="89"/>
        <v>2.0711283402661484E-2</v>
      </c>
      <c r="N960" s="1"/>
      <c r="O960" s="2">
        <v>4686.8</v>
      </c>
      <c r="P960" s="12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 spans="1:31" ht="15" thickBot="1" x14ac:dyDescent="0.35">
      <c r="A961" s="1">
        <v>44536</v>
      </c>
      <c r="B961">
        <v>30.04</v>
      </c>
      <c r="C961">
        <v>56.5</v>
      </c>
      <c r="D961">
        <v>336.34</v>
      </c>
      <c r="E961">
        <v>246.33</v>
      </c>
      <c r="F961">
        <v>55.83</v>
      </c>
      <c r="G961" s="4"/>
      <c r="H961" s="10">
        <f t="shared" si="88"/>
        <v>-2.1179537308569585E-2</v>
      </c>
      <c r="I961" s="10">
        <f t="shared" si="90"/>
        <v>1.2363375739114835E-2</v>
      </c>
      <c r="J961" s="10">
        <f t="shared" si="91"/>
        <v>-5.8524473870892324E-3</v>
      </c>
      <c r="K961" s="10">
        <f t="shared" si="92"/>
        <v>3.0539946249694694E-3</v>
      </c>
      <c r="L961" s="10">
        <f t="shared" si="93"/>
        <v>2.1218218401316991E-2</v>
      </c>
      <c r="M961" s="10">
        <f t="shared" si="89"/>
        <v>1.1744227040366706E-2</v>
      </c>
      <c r="N961" s="1"/>
      <c r="O961" s="2">
        <v>4591.7</v>
      </c>
      <c r="P961" s="12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 spans="1:31" ht="15" thickBot="1" x14ac:dyDescent="0.35">
      <c r="A962" s="1">
        <v>44533</v>
      </c>
      <c r="B962">
        <v>30.69</v>
      </c>
      <c r="C962">
        <v>55.81</v>
      </c>
      <c r="D962">
        <v>338.32</v>
      </c>
      <c r="E962">
        <v>245.58</v>
      </c>
      <c r="F962">
        <v>54.67</v>
      </c>
      <c r="G962" s="4"/>
      <c r="H962" s="10">
        <f t="shared" si="88"/>
        <v>-4.481792717086841E-2</v>
      </c>
      <c r="I962" s="10">
        <f t="shared" si="90"/>
        <v>1.0318609703113601E-2</v>
      </c>
      <c r="J962" s="10">
        <f t="shared" si="91"/>
        <v>-6.4199374878986526E-2</v>
      </c>
      <c r="K962" s="10">
        <f t="shared" si="92"/>
        <v>-9.2786832338227487E-3</v>
      </c>
      <c r="L962" s="10">
        <f t="shared" si="93"/>
        <v>2.6281208935611033E-2</v>
      </c>
      <c r="M962" s="10">
        <f t="shared" si="89"/>
        <v>-8.4551353477093638E-3</v>
      </c>
      <c r="N962" s="1"/>
      <c r="O962" s="2">
        <v>4538.3999999999996</v>
      </c>
      <c r="P962" s="12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 spans="1:31" ht="15" thickBot="1" x14ac:dyDescent="0.35">
      <c r="A963" s="1">
        <v>44532</v>
      </c>
      <c r="B963">
        <v>32.130000000000003</v>
      </c>
      <c r="C963">
        <v>55.24</v>
      </c>
      <c r="D963">
        <v>361.53</v>
      </c>
      <c r="E963">
        <v>247.88</v>
      </c>
      <c r="F963">
        <v>53.27</v>
      </c>
      <c r="G963" s="4"/>
      <c r="H963" s="10">
        <f t="shared" si="88"/>
        <v>2.2271714922049046E-2</v>
      </c>
      <c r="I963" s="10">
        <f t="shared" si="90"/>
        <v>-4.3258832011534576E-3</v>
      </c>
      <c r="J963" s="10">
        <f t="shared" si="91"/>
        <v>-9.5068493150686217E-3</v>
      </c>
      <c r="K963" s="10">
        <f t="shared" si="92"/>
        <v>-5.0174607634568824E-3</v>
      </c>
      <c r="L963" s="10">
        <f t="shared" si="93"/>
        <v>-1.1137924633376595E-2</v>
      </c>
      <c r="M963" s="10">
        <f t="shared" si="89"/>
        <v>1.4203412364281132E-2</v>
      </c>
      <c r="N963" s="1"/>
      <c r="O963" s="2">
        <v>4577.1000000000004</v>
      </c>
      <c r="P963" s="12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 spans="1:31" ht="15" thickBot="1" x14ac:dyDescent="0.35">
      <c r="A964" s="1">
        <v>44531</v>
      </c>
      <c r="B964">
        <v>31.43</v>
      </c>
      <c r="C964">
        <v>55.48</v>
      </c>
      <c r="D964">
        <v>365</v>
      </c>
      <c r="E964">
        <v>249.13</v>
      </c>
      <c r="F964">
        <v>53.87</v>
      </c>
      <c r="G964" s="4"/>
      <c r="H964" s="10">
        <f t="shared" ref="H964:H1027" si="94">(B964/B965)-1</f>
        <v>-3.8249694002447931E-2</v>
      </c>
      <c r="I964" s="10">
        <f t="shared" si="90"/>
        <v>1.9866353621094124E-3</v>
      </c>
      <c r="J964" s="10">
        <f t="shared" si="91"/>
        <v>-4.3475982075001918E-2</v>
      </c>
      <c r="K964" s="10">
        <f t="shared" si="92"/>
        <v>4.3944525076600183E-3</v>
      </c>
      <c r="L964" s="10">
        <f t="shared" si="93"/>
        <v>-1.9118718135469837E-2</v>
      </c>
      <c r="M964" s="10">
        <f t="shared" ref="M964:M1027" si="95">(O964/O965)-1</f>
        <v>-1.1823954455879138E-2</v>
      </c>
      <c r="N964" s="1"/>
      <c r="O964" s="2">
        <v>4513</v>
      </c>
      <c r="P964" s="12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 spans="1:31" ht="15" thickBot="1" x14ac:dyDescent="0.35">
      <c r="A965" s="1">
        <v>44530</v>
      </c>
      <c r="B965">
        <v>32.68</v>
      </c>
      <c r="C965">
        <v>55.37</v>
      </c>
      <c r="D965">
        <v>381.59</v>
      </c>
      <c r="E965">
        <v>248.04</v>
      </c>
      <c r="F965">
        <v>54.92</v>
      </c>
      <c r="G965" s="4"/>
      <c r="H965" s="10">
        <f t="shared" si="94"/>
        <v>-2.0970641102456611E-2</v>
      </c>
      <c r="I965" s="10">
        <f t="shared" si="90"/>
        <v>-1.8784334573808348E-2</v>
      </c>
      <c r="J965" s="10">
        <f t="shared" si="91"/>
        <v>6.8337730870711155E-3</v>
      </c>
      <c r="K965" s="10">
        <f t="shared" si="92"/>
        <v>-2.6645214456696653E-2</v>
      </c>
      <c r="L965" s="10">
        <f t="shared" si="93"/>
        <v>-8.664259927797735E-3</v>
      </c>
      <c r="M965" s="10">
        <f t="shared" si="95"/>
        <v>-1.8967628294631944E-2</v>
      </c>
      <c r="N965" s="1"/>
      <c r="O965" s="2">
        <v>4567</v>
      </c>
      <c r="P965" s="12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 spans="1:31" ht="15" thickBot="1" x14ac:dyDescent="0.35">
      <c r="A966" s="1">
        <v>44529</v>
      </c>
      <c r="B966">
        <v>33.380000000000003</v>
      </c>
      <c r="C966">
        <v>56.43</v>
      </c>
      <c r="D966">
        <v>379</v>
      </c>
      <c r="E966">
        <v>254.83</v>
      </c>
      <c r="F966">
        <v>55.4</v>
      </c>
      <c r="G966" s="4"/>
      <c r="H966" s="10">
        <f t="shared" si="94"/>
        <v>5.9682539682539781E-2</v>
      </c>
      <c r="I966" s="10">
        <f t="shared" si="90"/>
        <v>3.2381997804610485E-2</v>
      </c>
      <c r="J966" s="10">
        <f t="shared" si="91"/>
        <v>5.0909494232475705E-2</v>
      </c>
      <c r="K966" s="10">
        <f t="shared" si="92"/>
        <v>-2.1277412912393823E-2</v>
      </c>
      <c r="L966" s="10">
        <f t="shared" si="93"/>
        <v>-9.6531998569896471E-3</v>
      </c>
      <c r="M966" s="10">
        <f t="shared" si="95"/>
        <v>1.3211160928045862E-2</v>
      </c>
      <c r="N966" s="1"/>
      <c r="O966" s="2">
        <v>4655.3</v>
      </c>
      <c r="P966" s="12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 spans="1:31" ht="15" thickBot="1" x14ac:dyDescent="0.35">
      <c r="A967" s="1">
        <v>44526</v>
      </c>
      <c r="B967">
        <v>31.5</v>
      </c>
      <c r="C967">
        <v>54.66</v>
      </c>
      <c r="D967">
        <v>360.64</v>
      </c>
      <c r="E967">
        <v>260.37</v>
      </c>
      <c r="F967">
        <v>55.94</v>
      </c>
      <c r="G967" s="4"/>
      <c r="H967" s="10">
        <f t="shared" si="94"/>
        <v>-3.5812672176308569E-2</v>
      </c>
      <c r="I967" s="10">
        <f t="shared" si="90"/>
        <v>-2.1657419008412448E-2</v>
      </c>
      <c r="J967" s="10">
        <f t="shared" si="91"/>
        <v>-3.0537634408602132E-2</v>
      </c>
      <c r="K967" s="10">
        <f t="shared" si="92"/>
        <v>-6.2213740458014755E-3</v>
      </c>
      <c r="L967" s="10">
        <f t="shared" si="93"/>
        <v>8.4730484946817786E-3</v>
      </c>
      <c r="M967" s="10">
        <f t="shared" si="95"/>
        <v>-2.2737424226310643E-2</v>
      </c>
      <c r="N967" s="1"/>
      <c r="O967" s="2">
        <v>4594.6000000000004</v>
      </c>
      <c r="P967" s="12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 spans="1:31" ht="15" thickBot="1" x14ac:dyDescent="0.35">
      <c r="A968" s="1">
        <v>44524</v>
      </c>
      <c r="B968">
        <v>32.67</v>
      </c>
      <c r="C968">
        <v>55.87</v>
      </c>
      <c r="D968">
        <v>372</v>
      </c>
      <c r="E968">
        <v>262</v>
      </c>
      <c r="F968">
        <v>55.47</v>
      </c>
      <c r="G968" s="4"/>
      <c r="H968" s="10">
        <f t="shared" si="94"/>
        <v>2.8976377952755872E-2</v>
      </c>
      <c r="I968" s="10">
        <f t="shared" si="90"/>
        <v>6.4853179607278211E-3</v>
      </c>
      <c r="J968" s="10">
        <f t="shared" si="91"/>
        <v>6.2756979008873337E-3</v>
      </c>
      <c r="K968" s="10">
        <f t="shared" si="92"/>
        <v>1.5269506794934884E-4</v>
      </c>
      <c r="L968" s="10">
        <f t="shared" si="93"/>
        <v>-3.6042530185620425E-4</v>
      </c>
      <c r="M968" s="10">
        <f t="shared" si="95"/>
        <v>2.3024282090093884E-3</v>
      </c>
      <c r="N968" s="1"/>
      <c r="O968" s="2">
        <v>4701.5</v>
      </c>
      <c r="P968" s="12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 spans="1:31" ht="15" thickBot="1" x14ac:dyDescent="0.35">
      <c r="A969" s="1">
        <v>44523</v>
      </c>
      <c r="B969">
        <v>31.75</v>
      </c>
      <c r="C969">
        <v>55.51</v>
      </c>
      <c r="D969">
        <v>369.68</v>
      </c>
      <c r="E969">
        <v>261.95999999999998</v>
      </c>
      <c r="F969">
        <v>55.49</v>
      </c>
      <c r="G969" s="4"/>
      <c r="H969" s="10">
        <f t="shared" si="94"/>
        <v>-6.5707133917396465E-3</v>
      </c>
      <c r="I969" s="10">
        <f t="shared" si="90"/>
        <v>3.2532080245797346E-3</v>
      </c>
      <c r="J969" s="10">
        <f t="shared" si="91"/>
        <v>-4.1336030288885439E-2</v>
      </c>
      <c r="K969" s="10">
        <f t="shared" si="92"/>
        <v>5.8362770695745692E-3</v>
      </c>
      <c r="L969" s="10">
        <f t="shared" si="93"/>
        <v>-5.7337394732126512E-3</v>
      </c>
      <c r="M969" s="10">
        <f t="shared" si="95"/>
        <v>1.6656345426979691E-3</v>
      </c>
      <c r="N969" s="1"/>
      <c r="O969" s="2">
        <v>4690.7</v>
      </c>
      <c r="P969" s="12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 spans="1:31" ht="15" thickBot="1" x14ac:dyDescent="0.35">
      <c r="A970" s="1">
        <v>44522</v>
      </c>
      <c r="B970">
        <v>31.96</v>
      </c>
      <c r="C970">
        <v>55.33</v>
      </c>
      <c r="D970">
        <v>385.62</v>
      </c>
      <c r="E970">
        <v>260.44</v>
      </c>
      <c r="F970">
        <v>55.81</v>
      </c>
      <c r="G970" s="4"/>
      <c r="H970" s="10">
        <f t="shared" si="94"/>
        <v>-3.0927835051546282E-2</v>
      </c>
      <c r="I970" s="10">
        <f t="shared" si="90"/>
        <v>-2.7079303675048294E-2</v>
      </c>
      <c r="J970" s="10">
        <f t="shared" si="91"/>
        <v>1.7413329111920284E-2</v>
      </c>
      <c r="K970" s="10">
        <f t="shared" si="92"/>
        <v>-9.9731492136556632E-4</v>
      </c>
      <c r="L970" s="10">
        <f t="shared" si="93"/>
        <v>-1.3085764809902645E-2</v>
      </c>
      <c r="M970" s="10">
        <f t="shared" si="95"/>
        <v>-3.214133673903885E-3</v>
      </c>
      <c r="N970" s="1"/>
      <c r="O970" s="2">
        <v>4682.8999999999996</v>
      </c>
      <c r="P970" s="12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 spans="1:31" ht="15" thickBot="1" x14ac:dyDescent="0.35">
      <c r="A971" s="1">
        <v>44519</v>
      </c>
      <c r="B971">
        <v>32.979999999999997</v>
      </c>
      <c r="C971">
        <v>56.87</v>
      </c>
      <c r="D971">
        <v>379.02</v>
      </c>
      <c r="E971">
        <v>260.7</v>
      </c>
      <c r="F971">
        <v>56.55</v>
      </c>
      <c r="G971" s="4"/>
      <c r="H971" s="10">
        <f t="shared" si="94"/>
        <v>4.1035353535353369E-2</v>
      </c>
      <c r="I971" s="10">
        <f t="shared" si="90"/>
        <v>-1.0612386917188577E-2</v>
      </c>
      <c r="J971" s="10">
        <f t="shared" si="91"/>
        <v>3.7103923822032536E-2</v>
      </c>
      <c r="K971" s="10">
        <f t="shared" si="92"/>
        <v>-2.410745035013151E-3</v>
      </c>
      <c r="L971" s="10">
        <f t="shared" si="93"/>
        <v>-1.084484869686908E-2</v>
      </c>
      <c r="M971" s="10">
        <f t="shared" si="95"/>
        <v>-1.3816558614092589E-3</v>
      </c>
      <c r="N971" s="1"/>
      <c r="O971" s="2">
        <v>4698</v>
      </c>
      <c r="P971" s="12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 spans="1:31" ht="15" thickBot="1" x14ac:dyDescent="0.35">
      <c r="A972" s="1">
        <v>44518</v>
      </c>
      <c r="B972">
        <v>31.68</v>
      </c>
      <c r="C972">
        <v>57.48</v>
      </c>
      <c r="D972">
        <v>365.46</v>
      </c>
      <c r="E972">
        <v>261.33</v>
      </c>
      <c r="F972">
        <v>57.17</v>
      </c>
      <c r="G972" s="4"/>
      <c r="H972" s="10">
        <f t="shared" si="94"/>
        <v>8.2706766917293173E-2</v>
      </c>
      <c r="I972" s="10">
        <f t="shared" si="90"/>
        <v>9.1292134831459926E-3</v>
      </c>
      <c r="J972" s="10">
        <f t="shared" si="91"/>
        <v>6.7768595041322044E-3</v>
      </c>
      <c r="K972" s="10">
        <f t="shared" si="92"/>
        <v>5.743165632896563E-4</v>
      </c>
      <c r="L972" s="10">
        <f t="shared" si="93"/>
        <v>-1.3459879206212277E-2</v>
      </c>
      <c r="M972" s="10">
        <f t="shared" si="95"/>
        <v>3.3698039968435012E-3</v>
      </c>
      <c r="N972" s="1"/>
      <c r="O972" s="2">
        <v>4704.5</v>
      </c>
      <c r="P972" s="12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 spans="1:31" ht="15" thickBot="1" x14ac:dyDescent="0.35">
      <c r="A973" s="1">
        <v>44517</v>
      </c>
      <c r="B973">
        <v>29.26</v>
      </c>
      <c r="C973">
        <v>56.96</v>
      </c>
      <c r="D973">
        <v>363</v>
      </c>
      <c r="E973">
        <v>261.18</v>
      </c>
      <c r="F973">
        <v>57.95</v>
      </c>
      <c r="G973" s="4"/>
      <c r="H973" s="10">
        <f t="shared" si="94"/>
        <v>-3.1125827814569407E-2</v>
      </c>
      <c r="I973" s="10">
        <f t="shared" si="90"/>
        <v>1.4064697609001975E-3</v>
      </c>
      <c r="J973" s="10">
        <f t="shared" si="91"/>
        <v>3.2481938676830246E-2</v>
      </c>
      <c r="K973" s="10">
        <f t="shared" si="92"/>
        <v>1.3425422939624232E-2</v>
      </c>
      <c r="L973" s="10">
        <f t="shared" si="93"/>
        <v>-3.2679738562091387E-3</v>
      </c>
      <c r="M973" s="10">
        <f t="shared" si="95"/>
        <v>-2.5952477185219314E-3</v>
      </c>
      <c r="N973" s="1"/>
      <c r="O973" s="2">
        <v>4688.7</v>
      </c>
      <c r="P973" s="12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 spans="1:31" ht="15" thickBot="1" x14ac:dyDescent="0.35">
      <c r="A974" s="1">
        <v>44516</v>
      </c>
      <c r="B974">
        <v>30.2</v>
      </c>
      <c r="C974">
        <v>56.88</v>
      </c>
      <c r="D974">
        <v>351.58</v>
      </c>
      <c r="E974">
        <v>257.72000000000003</v>
      </c>
      <c r="F974">
        <v>58.14</v>
      </c>
      <c r="G974" s="4"/>
      <c r="H974" s="10">
        <f t="shared" si="94"/>
        <v>5.9960026648899767E-3</v>
      </c>
      <c r="I974" s="10">
        <f t="shared" si="90"/>
        <v>5.3022269353129037E-3</v>
      </c>
      <c r="J974" s="10">
        <f t="shared" si="91"/>
        <v>4.0793368857311885E-2</v>
      </c>
      <c r="K974" s="10">
        <f t="shared" si="92"/>
        <v>-2.7473590527414826E-3</v>
      </c>
      <c r="L974" s="10">
        <f t="shared" si="93"/>
        <v>-1.4074953366118303E-2</v>
      </c>
      <c r="M974" s="10">
        <f t="shared" si="95"/>
        <v>3.8652088494062209E-3</v>
      </c>
      <c r="N974" s="1"/>
      <c r="O974" s="2">
        <v>4700.8999999999996</v>
      </c>
      <c r="P974" s="12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 spans="1:31" ht="15" thickBot="1" x14ac:dyDescent="0.35">
      <c r="A975" s="1">
        <v>44515</v>
      </c>
      <c r="B975">
        <v>30.02</v>
      </c>
      <c r="C975">
        <v>56.58</v>
      </c>
      <c r="D975">
        <v>337.8</v>
      </c>
      <c r="E975">
        <v>258.43</v>
      </c>
      <c r="F975">
        <v>58.97</v>
      </c>
      <c r="G975" s="4"/>
      <c r="H975" s="10">
        <f t="shared" si="94"/>
        <v>-1.2175057584731808E-2</v>
      </c>
      <c r="I975" s="10">
        <f t="shared" si="90"/>
        <v>4.6164772727272929E-3</v>
      </c>
      <c r="J975" s="10">
        <f t="shared" si="91"/>
        <v>-1.9363079513455506E-2</v>
      </c>
      <c r="K975" s="10">
        <f t="shared" si="92"/>
        <v>-4.6986327748891332E-3</v>
      </c>
      <c r="L975" s="10">
        <f t="shared" si="93"/>
        <v>4.0864975310743734E-3</v>
      </c>
      <c r="M975" s="10">
        <f t="shared" si="95"/>
        <v>-2.1354289008845839E-5</v>
      </c>
      <c r="N975" s="1"/>
      <c r="O975" s="2">
        <v>4682.8</v>
      </c>
      <c r="P975" s="12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 spans="1:31" ht="15" thickBot="1" x14ac:dyDescent="0.35">
      <c r="A976" s="1">
        <v>44512</v>
      </c>
      <c r="B976">
        <v>30.39</v>
      </c>
      <c r="C976">
        <v>56.32</v>
      </c>
      <c r="D976">
        <v>344.47</v>
      </c>
      <c r="E976">
        <v>259.64999999999998</v>
      </c>
      <c r="F976">
        <v>58.73</v>
      </c>
      <c r="G976" s="4"/>
      <c r="H976" s="10">
        <f t="shared" si="94"/>
        <v>0</v>
      </c>
      <c r="I976" s="10">
        <f t="shared" si="90"/>
        <v>1.4043932301044393E-2</v>
      </c>
      <c r="J976" s="10">
        <f t="shared" si="91"/>
        <v>-2.8293370944992846E-2</v>
      </c>
      <c r="K976" s="10">
        <f t="shared" si="92"/>
        <v>-1.1346761603777233E-2</v>
      </c>
      <c r="L976" s="10">
        <f t="shared" si="93"/>
        <v>-2.0390824129142837E-3</v>
      </c>
      <c r="M976" s="10">
        <f t="shared" si="95"/>
        <v>7.2268943711955025E-3</v>
      </c>
      <c r="N976" s="1"/>
      <c r="O976" s="2">
        <v>4682.8999999999996</v>
      </c>
      <c r="P976" s="12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 spans="1:31" ht="15" thickBot="1" x14ac:dyDescent="0.35">
      <c r="A977" s="1">
        <v>44511</v>
      </c>
      <c r="B977">
        <v>30.39</v>
      </c>
      <c r="C977">
        <v>55.54</v>
      </c>
      <c r="D977">
        <v>354.5</v>
      </c>
      <c r="E977">
        <v>262.63</v>
      </c>
      <c r="F977">
        <v>58.85</v>
      </c>
      <c r="G977" s="4"/>
      <c r="H977" s="10">
        <f t="shared" si="94"/>
        <v>3.1568228105906204E-2</v>
      </c>
      <c r="I977" s="10">
        <f t="shared" si="90"/>
        <v>1.2026239067055355E-2</v>
      </c>
      <c r="J977" s="10">
        <f t="shared" si="91"/>
        <v>-4.1575369402775397E-3</v>
      </c>
      <c r="K977" s="10">
        <f t="shared" si="92"/>
        <v>-7.6327224636311142E-3</v>
      </c>
      <c r="L977" s="10">
        <f t="shared" si="93"/>
        <v>1.1689874505758979E-2</v>
      </c>
      <c r="M977" s="10">
        <f t="shared" si="95"/>
        <v>5.5953687563214949E-4</v>
      </c>
      <c r="N977" s="1"/>
      <c r="O977" s="2">
        <v>4649.3</v>
      </c>
      <c r="P977" s="12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 spans="1:31" ht="15" thickBot="1" x14ac:dyDescent="0.35">
      <c r="A978" s="1">
        <v>44510</v>
      </c>
      <c r="B978">
        <v>29.46</v>
      </c>
      <c r="C978">
        <v>54.88</v>
      </c>
      <c r="D978">
        <v>355.98</v>
      </c>
      <c r="E978">
        <v>264.64999999999998</v>
      </c>
      <c r="F978">
        <v>58.17</v>
      </c>
      <c r="G978" s="4"/>
      <c r="H978" s="10">
        <f t="shared" si="94"/>
        <v>-3.9138943248532287E-2</v>
      </c>
      <c r="I978" s="10">
        <f t="shared" si="90"/>
        <v>-1.613481534600214E-2</v>
      </c>
      <c r="J978" s="10">
        <f t="shared" si="91"/>
        <v>4.3409443972213246E-2</v>
      </c>
      <c r="K978" s="10">
        <f t="shared" si="92"/>
        <v>1.003740172505907E-2</v>
      </c>
      <c r="L978" s="10">
        <f t="shared" si="93"/>
        <v>2.5022026431718025E-2</v>
      </c>
      <c r="M978" s="10">
        <f t="shared" si="95"/>
        <v>-8.2173653205839248E-3</v>
      </c>
      <c r="N978" s="1"/>
      <c r="O978" s="2">
        <v>4646.7</v>
      </c>
      <c r="P978" s="12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 spans="1:31" ht="15" thickBot="1" x14ac:dyDescent="0.35">
      <c r="A979" s="1">
        <v>44509</v>
      </c>
      <c r="B979">
        <v>30.66</v>
      </c>
      <c r="C979">
        <v>55.78</v>
      </c>
      <c r="D979">
        <v>341.17</v>
      </c>
      <c r="E979">
        <v>262.02</v>
      </c>
      <c r="F979">
        <v>56.75</v>
      </c>
      <c r="G979" s="4"/>
      <c r="H979" s="10">
        <f t="shared" si="94"/>
        <v>-4.5454545454545192E-3</v>
      </c>
      <c r="I979" s="10">
        <f t="shared" ref="I979:I1042" si="96">(C979/C980)-1</f>
        <v>-2.1466905187834673E-3</v>
      </c>
      <c r="J979" s="10">
        <f t="shared" ref="J979:J1042" si="97">(D979/D980)-1</f>
        <v>-0.11990197342964004</v>
      </c>
      <c r="K979" s="10">
        <f t="shared" ref="K979:K1042" si="98">(E979/E980)-1</f>
        <v>5.7191110428742586E-3</v>
      </c>
      <c r="L979" s="10">
        <f t="shared" ref="L979:L1042" si="99">(F979/F980)-1</f>
        <v>9.9661861541200381E-3</v>
      </c>
      <c r="M979" s="10">
        <f t="shared" si="95"/>
        <v>-3.5093689516557669E-3</v>
      </c>
      <c r="N979" s="1"/>
      <c r="O979" s="2">
        <v>4685.2</v>
      </c>
      <c r="P979" s="12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 spans="1:31" ht="15" thickBot="1" x14ac:dyDescent="0.35">
      <c r="A980" s="1">
        <v>44508</v>
      </c>
      <c r="B980">
        <v>30.8</v>
      </c>
      <c r="C980">
        <v>55.9</v>
      </c>
      <c r="D980">
        <v>387.65</v>
      </c>
      <c r="E980">
        <v>260.52999999999997</v>
      </c>
      <c r="F980">
        <v>56.19</v>
      </c>
      <c r="G980" s="4"/>
      <c r="H980" s="10">
        <f t="shared" si="94"/>
        <v>3.529411764705892E-2</v>
      </c>
      <c r="I980" s="10">
        <f t="shared" si="96"/>
        <v>1.7892288423682068E-4</v>
      </c>
      <c r="J980" s="10">
        <f t="shared" si="97"/>
        <v>-4.8384721131186303E-2</v>
      </c>
      <c r="K980" s="10">
        <f t="shared" si="98"/>
        <v>-1.6867924528301992E-2</v>
      </c>
      <c r="L980" s="10">
        <f t="shared" si="99"/>
        <v>-3.0163236337829025E-3</v>
      </c>
      <c r="M980" s="10">
        <f t="shared" si="95"/>
        <v>8.940926024481044E-4</v>
      </c>
      <c r="N980" s="1"/>
      <c r="O980" s="2">
        <v>4701.7</v>
      </c>
      <c r="P980" s="12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 spans="1:31" ht="15" thickBot="1" x14ac:dyDescent="0.35">
      <c r="A981" s="1">
        <v>44505</v>
      </c>
      <c r="B981">
        <v>29.75</v>
      </c>
      <c r="C981">
        <v>55.89</v>
      </c>
      <c r="D981">
        <v>407.36</v>
      </c>
      <c r="E981">
        <v>265</v>
      </c>
      <c r="F981">
        <v>56.36</v>
      </c>
      <c r="G981" s="4"/>
      <c r="H981" s="10">
        <f t="shared" si="94"/>
        <v>-1.6778523489933139E-3</v>
      </c>
      <c r="I981" s="10">
        <f t="shared" si="96"/>
        <v>1.8775063798760483E-2</v>
      </c>
      <c r="J981" s="10">
        <f t="shared" si="97"/>
        <v>-6.3663194867917827E-3</v>
      </c>
      <c r="K981" s="10">
        <f t="shared" si="98"/>
        <v>-2.2140221402214055E-2</v>
      </c>
      <c r="L981" s="10">
        <f t="shared" si="99"/>
        <v>2.7529626253418371E-2</v>
      </c>
      <c r="M981" s="10">
        <f t="shared" si="95"/>
        <v>3.7178692762973586E-3</v>
      </c>
      <c r="N981" s="1"/>
      <c r="O981" s="2">
        <v>4697.5</v>
      </c>
      <c r="P981" s="12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 spans="1:31" ht="15" thickBot="1" x14ac:dyDescent="0.35">
      <c r="A982" s="1">
        <v>44504</v>
      </c>
      <c r="B982">
        <v>29.8</v>
      </c>
      <c r="C982">
        <v>54.86</v>
      </c>
      <c r="D982">
        <v>409.97</v>
      </c>
      <c r="E982">
        <v>271</v>
      </c>
      <c r="F982">
        <v>54.85</v>
      </c>
      <c r="G982" s="4"/>
      <c r="H982" s="10">
        <f t="shared" si="94"/>
        <v>0.12030075187969924</v>
      </c>
      <c r="I982" s="10">
        <f t="shared" si="96"/>
        <v>1.1430678466076705E-2</v>
      </c>
      <c r="J982" s="10">
        <f t="shared" si="97"/>
        <v>1.3222282635559246E-2</v>
      </c>
      <c r="K982" s="10">
        <f t="shared" si="98"/>
        <v>1.7802148276121033E-2</v>
      </c>
      <c r="L982" s="10">
        <f t="shared" si="99"/>
        <v>-4.8984034833090551E-3</v>
      </c>
      <c r="M982" s="10">
        <f t="shared" si="95"/>
        <v>4.1840106424064771E-3</v>
      </c>
      <c r="N982" s="1"/>
      <c r="O982" s="2">
        <v>4680.1000000000004</v>
      </c>
      <c r="P982" s="12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 spans="1:31" ht="15" thickBot="1" x14ac:dyDescent="0.35">
      <c r="A983" s="1">
        <v>44503</v>
      </c>
      <c r="B983">
        <v>26.6</v>
      </c>
      <c r="C983">
        <v>54.24</v>
      </c>
      <c r="D983">
        <v>404.62</v>
      </c>
      <c r="E983">
        <v>266.26</v>
      </c>
      <c r="F983">
        <v>55.12</v>
      </c>
      <c r="G983" s="4"/>
      <c r="H983" s="10">
        <f t="shared" si="94"/>
        <v>7.5757575757577911E-3</v>
      </c>
      <c r="I983" s="10">
        <f t="shared" si="96"/>
        <v>9.8678086017500721E-3</v>
      </c>
      <c r="J983" s="10">
        <f t="shared" si="97"/>
        <v>3.5707886451480819E-2</v>
      </c>
      <c r="K983" s="10">
        <f t="shared" si="98"/>
        <v>3.6636168970215932E-2</v>
      </c>
      <c r="L983" s="10">
        <f t="shared" si="99"/>
        <v>7.494059586912849E-3</v>
      </c>
      <c r="M983" s="10">
        <f t="shared" si="95"/>
        <v>6.4786420766207442E-3</v>
      </c>
      <c r="N983" s="1"/>
      <c r="O983" s="2">
        <v>4660.6000000000004</v>
      </c>
      <c r="P983" s="12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 spans="1:31" ht="15" thickBot="1" x14ac:dyDescent="0.35">
      <c r="A984" s="1">
        <v>44502</v>
      </c>
      <c r="B984">
        <v>26.4</v>
      </c>
      <c r="C984">
        <v>53.71</v>
      </c>
      <c r="D984">
        <v>390.67</v>
      </c>
      <c r="E984">
        <v>256.85000000000002</v>
      </c>
      <c r="F984">
        <v>54.71</v>
      </c>
      <c r="G984" s="4"/>
      <c r="H984" s="10">
        <f t="shared" si="94"/>
        <v>2.2067363530778206E-2</v>
      </c>
      <c r="I984" s="10">
        <f t="shared" si="96"/>
        <v>1.7234848484848575E-2</v>
      </c>
      <c r="J984" s="10">
        <f t="shared" si="97"/>
        <v>-3.0258650647867702E-2</v>
      </c>
      <c r="K984" s="10">
        <f t="shared" si="98"/>
        <v>3.0243471982672299E-2</v>
      </c>
      <c r="L984" s="10">
        <f t="shared" si="99"/>
        <v>7.5506445672193223E-3</v>
      </c>
      <c r="M984" s="10">
        <f t="shared" si="95"/>
        <v>3.663003663003872E-3</v>
      </c>
      <c r="N984" s="1"/>
      <c r="O984" s="2">
        <v>4630.6000000000004</v>
      </c>
      <c r="P984" s="12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 spans="1:31" ht="15" thickBot="1" x14ac:dyDescent="0.35">
      <c r="A985" s="1">
        <v>44501</v>
      </c>
      <c r="B985">
        <v>25.83</v>
      </c>
      <c r="C985">
        <v>52.8</v>
      </c>
      <c r="D985">
        <v>402.86</v>
      </c>
      <c r="E985">
        <v>249.31</v>
      </c>
      <c r="F985">
        <v>54.3</v>
      </c>
      <c r="G985" s="4"/>
      <c r="H985" s="10">
        <f t="shared" si="94"/>
        <v>1.0168165819319341E-2</v>
      </c>
      <c r="I985" s="10">
        <f t="shared" si="96"/>
        <v>-6.9588113597894852E-3</v>
      </c>
      <c r="J985" s="10">
        <f t="shared" si="97"/>
        <v>8.4910995610373519E-2</v>
      </c>
      <c r="K985" s="10">
        <f t="shared" si="98"/>
        <v>-2.1392683309781724E-2</v>
      </c>
      <c r="L985" s="10">
        <f t="shared" si="99"/>
        <v>5.5555555555555358E-3</v>
      </c>
      <c r="M985" s="10">
        <f t="shared" si="95"/>
        <v>1.8022321622443993E-3</v>
      </c>
      <c r="N985" s="1"/>
      <c r="O985" s="2">
        <v>4613.7</v>
      </c>
      <c r="P985" s="12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 spans="1:31" ht="15" thickBot="1" x14ac:dyDescent="0.35">
      <c r="A986" s="1">
        <v>44498</v>
      </c>
      <c r="B986">
        <v>25.57</v>
      </c>
      <c r="C986">
        <v>53.17</v>
      </c>
      <c r="D986">
        <v>371.33</v>
      </c>
      <c r="E986">
        <v>254.76</v>
      </c>
      <c r="F986">
        <v>54</v>
      </c>
      <c r="G986" s="4"/>
      <c r="H986" s="10">
        <f t="shared" si="94"/>
        <v>2.5260625501202894E-2</v>
      </c>
      <c r="I986" s="10">
        <f t="shared" si="96"/>
        <v>3.9652567975831943E-3</v>
      </c>
      <c r="J986" s="10">
        <f t="shared" si="97"/>
        <v>3.431659285256683E-2</v>
      </c>
      <c r="K986" s="10">
        <f t="shared" si="98"/>
        <v>5.5654233274127218E-3</v>
      </c>
      <c r="L986" s="10">
        <f t="shared" si="99"/>
        <v>-1.6751638747268816E-2</v>
      </c>
      <c r="M986" s="10">
        <f t="shared" si="95"/>
        <v>1.9580541293184872E-3</v>
      </c>
      <c r="N986" s="1"/>
      <c r="O986" s="2">
        <v>4605.3999999999996</v>
      </c>
      <c r="P986" s="12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 spans="1:31" ht="15" thickBot="1" x14ac:dyDescent="0.35">
      <c r="A987" s="1">
        <v>44497</v>
      </c>
      <c r="B987">
        <v>24.94</v>
      </c>
      <c r="C987">
        <v>52.96</v>
      </c>
      <c r="D987">
        <v>359.01</v>
      </c>
      <c r="E987">
        <v>253.35</v>
      </c>
      <c r="F987">
        <v>54.92</v>
      </c>
      <c r="G987" s="4"/>
      <c r="H987" s="10">
        <f t="shared" si="94"/>
        <v>2.0040899795501055E-2</v>
      </c>
      <c r="I987" s="10">
        <f t="shared" si="96"/>
        <v>1.2425922385777E-2</v>
      </c>
      <c r="J987" s="10">
        <f t="shared" si="97"/>
        <v>3.7751120104061231E-2</v>
      </c>
      <c r="K987" s="10">
        <f t="shared" si="98"/>
        <v>1.2711356277731234E-2</v>
      </c>
      <c r="L987" s="10">
        <f t="shared" si="99"/>
        <v>-4.5533541883906792E-2</v>
      </c>
      <c r="M987" s="10">
        <f t="shared" si="95"/>
        <v>9.8205066238987726E-3</v>
      </c>
      <c r="N987" s="1"/>
      <c r="O987" s="2">
        <v>4596.3999999999996</v>
      </c>
      <c r="P987" s="12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 spans="1:31" ht="15" thickBot="1" x14ac:dyDescent="0.35">
      <c r="A988" s="1">
        <v>44496</v>
      </c>
      <c r="B988">
        <v>24.45</v>
      </c>
      <c r="C988">
        <v>52.31</v>
      </c>
      <c r="D988">
        <v>345.95</v>
      </c>
      <c r="E988">
        <v>250.17</v>
      </c>
      <c r="F988">
        <v>57.54</v>
      </c>
      <c r="G988" s="4"/>
      <c r="H988" s="10">
        <f t="shared" si="94"/>
        <v>-1.0922330097087318E-2</v>
      </c>
      <c r="I988" s="10">
        <f t="shared" si="96"/>
        <v>-2.0228507211088154E-2</v>
      </c>
      <c r="J988" s="10">
        <f t="shared" si="97"/>
        <v>1.905856015081886E-2</v>
      </c>
      <c r="K988" s="10">
        <f t="shared" si="98"/>
        <v>6.96345194010628E-3</v>
      </c>
      <c r="L988" s="10">
        <f t="shared" si="99"/>
        <v>-2.7729636048527961E-3</v>
      </c>
      <c r="M988" s="10">
        <f t="shared" si="95"/>
        <v>-5.049401066713366E-3</v>
      </c>
      <c r="N988" s="1"/>
      <c r="O988" s="2">
        <v>4551.7</v>
      </c>
      <c r="P988" s="12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 spans="1:31" ht="15" thickBot="1" x14ac:dyDescent="0.35">
      <c r="A989" s="1">
        <v>44495</v>
      </c>
      <c r="B989">
        <v>24.72</v>
      </c>
      <c r="C989">
        <v>53.39</v>
      </c>
      <c r="D989">
        <v>339.48</v>
      </c>
      <c r="E989">
        <v>248.44</v>
      </c>
      <c r="F989">
        <v>57.7</v>
      </c>
      <c r="G989" s="4"/>
      <c r="H989" s="10">
        <f t="shared" si="94"/>
        <v>6.6896849374190603E-2</v>
      </c>
      <c r="I989" s="10">
        <f t="shared" si="96"/>
        <v>2.2601034284619903E-2</v>
      </c>
      <c r="J989" s="10">
        <f t="shared" si="97"/>
        <v>-6.264270241789105E-3</v>
      </c>
      <c r="K989" s="10">
        <f t="shared" si="98"/>
        <v>1.3833911446643476E-2</v>
      </c>
      <c r="L989" s="10">
        <f t="shared" si="99"/>
        <v>-3.6263166983249162E-3</v>
      </c>
      <c r="M989" s="10">
        <f t="shared" si="95"/>
        <v>1.817584583378995E-3</v>
      </c>
      <c r="N989" s="1"/>
      <c r="O989" s="2">
        <v>4574.8</v>
      </c>
      <c r="P989" s="12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 spans="1:31" ht="15" thickBot="1" x14ac:dyDescent="0.35">
      <c r="A990" s="1">
        <v>44494</v>
      </c>
      <c r="B990">
        <v>23.17</v>
      </c>
      <c r="C990">
        <v>52.21</v>
      </c>
      <c r="D990">
        <v>341.62</v>
      </c>
      <c r="E990">
        <v>245.05</v>
      </c>
      <c r="F990">
        <v>57.91</v>
      </c>
      <c r="G990" s="4"/>
      <c r="H990" s="10">
        <f t="shared" si="94"/>
        <v>1.935767707875069E-2</v>
      </c>
      <c r="I990" s="10">
        <f t="shared" si="96"/>
        <v>1.299961195188204E-2</v>
      </c>
      <c r="J990" s="10">
        <f t="shared" si="97"/>
        <v>0.12660356824852426</v>
      </c>
      <c r="K990" s="10">
        <f t="shared" si="98"/>
        <v>5.3333333333334121E-3</v>
      </c>
      <c r="L990" s="10">
        <f t="shared" si="99"/>
        <v>5.2074292657524612E-3</v>
      </c>
      <c r="M990" s="10">
        <f t="shared" si="95"/>
        <v>4.7525798147374232E-3</v>
      </c>
      <c r="N990" s="1"/>
      <c r="O990" s="2">
        <v>4566.5</v>
      </c>
      <c r="P990" s="12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 spans="1:31" ht="15" thickBot="1" x14ac:dyDescent="0.35">
      <c r="A991" s="1">
        <v>44491</v>
      </c>
      <c r="B991">
        <v>22.73</v>
      </c>
      <c r="C991">
        <v>51.54</v>
      </c>
      <c r="D991">
        <v>303.23</v>
      </c>
      <c r="E991">
        <v>243.75</v>
      </c>
      <c r="F991">
        <v>57.61</v>
      </c>
      <c r="G991" s="4"/>
      <c r="H991" s="10">
        <f t="shared" si="94"/>
        <v>1.7628911414719894E-3</v>
      </c>
      <c r="I991" s="10">
        <f t="shared" si="96"/>
        <v>2.5286909161641447E-3</v>
      </c>
      <c r="J991" s="10">
        <f t="shared" si="97"/>
        <v>1.7550335570469811E-2</v>
      </c>
      <c r="K991" s="10">
        <f t="shared" si="98"/>
        <v>1.0697847991043785E-2</v>
      </c>
      <c r="L991" s="10">
        <f t="shared" si="99"/>
        <v>7.5201119272472194E-3</v>
      </c>
      <c r="M991" s="10">
        <f t="shared" si="95"/>
        <v>-1.0769704162821858E-3</v>
      </c>
      <c r="N991" s="1"/>
      <c r="O991" s="2">
        <v>4544.8999999999996</v>
      </c>
      <c r="P991" s="12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 spans="1:31" ht="15" thickBot="1" x14ac:dyDescent="0.35">
      <c r="A992" s="1">
        <v>44490</v>
      </c>
      <c r="B992">
        <v>22.69</v>
      </c>
      <c r="C992">
        <v>51.41</v>
      </c>
      <c r="D992">
        <v>298</v>
      </c>
      <c r="E992">
        <v>241.17</v>
      </c>
      <c r="F992">
        <v>57.18</v>
      </c>
      <c r="G992" s="4"/>
      <c r="H992" s="10">
        <f t="shared" si="94"/>
        <v>2.6696832579185426E-2</v>
      </c>
      <c r="I992" s="10">
        <f t="shared" si="96"/>
        <v>9.2265410286611615E-3</v>
      </c>
      <c r="J992" s="10">
        <f t="shared" si="97"/>
        <v>3.2571032571032443E-2</v>
      </c>
      <c r="K992" s="10">
        <f t="shared" si="98"/>
        <v>-1.0462826193993191E-2</v>
      </c>
      <c r="L992" s="10">
        <f t="shared" si="99"/>
        <v>3.4989503149063239E-4</v>
      </c>
      <c r="M992" s="10">
        <f t="shared" si="95"/>
        <v>2.9981041400291009E-3</v>
      </c>
      <c r="N992" s="1"/>
      <c r="O992" s="2">
        <v>4549.8</v>
      </c>
      <c r="P992" s="12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 spans="1:31" ht="15" thickBot="1" x14ac:dyDescent="0.35">
      <c r="A993" s="1">
        <v>44489</v>
      </c>
      <c r="B993">
        <v>22.1</v>
      </c>
      <c r="C993">
        <v>50.94</v>
      </c>
      <c r="D993">
        <v>288.60000000000002</v>
      </c>
      <c r="E993">
        <v>243.72</v>
      </c>
      <c r="F993">
        <v>57.16</v>
      </c>
      <c r="G993" s="4"/>
      <c r="H993" s="10">
        <f t="shared" si="94"/>
        <v>-8.5240017945266144E-3</v>
      </c>
      <c r="I993" s="10">
        <f t="shared" si="96"/>
        <v>-1.9592476489028732E-3</v>
      </c>
      <c r="J993" s="10">
        <f t="shared" si="97"/>
        <v>1.7702801207957197E-3</v>
      </c>
      <c r="K993" s="10">
        <f t="shared" si="98"/>
        <v>5.8189922000742023E-3</v>
      </c>
      <c r="L993" s="10">
        <f t="shared" si="99"/>
        <v>2.9829794700824142E-3</v>
      </c>
      <c r="M993" s="10">
        <f t="shared" si="95"/>
        <v>3.6728914063191009E-3</v>
      </c>
      <c r="N993" s="1"/>
      <c r="O993" s="2">
        <v>4536.2</v>
      </c>
      <c r="P993" s="12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 spans="1:31" ht="15" thickBot="1" x14ac:dyDescent="0.35">
      <c r="A994" s="1">
        <v>44488</v>
      </c>
      <c r="B994">
        <v>22.29</v>
      </c>
      <c r="C994">
        <v>51.04</v>
      </c>
      <c r="D994">
        <v>288.08999999999997</v>
      </c>
      <c r="E994">
        <v>242.31</v>
      </c>
      <c r="F994">
        <v>56.99</v>
      </c>
      <c r="G994" s="4"/>
      <c r="H994" s="10">
        <f t="shared" si="94"/>
        <v>3.1503150315030926E-3</v>
      </c>
      <c r="I994" s="10">
        <f t="shared" si="96"/>
        <v>1.3905442987683703E-2</v>
      </c>
      <c r="J994" s="10">
        <f t="shared" si="97"/>
        <v>-6.7232105916427143E-3</v>
      </c>
      <c r="K994" s="10">
        <f t="shared" si="98"/>
        <v>1.3934220436856659E-2</v>
      </c>
      <c r="L994" s="10">
        <f t="shared" si="99"/>
        <v>1.0819439517559371E-2</v>
      </c>
      <c r="M994" s="10">
        <f t="shared" si="95"/>
        <v>7.3776886214198534E-3</v>
      </c>
      <c r="N994" s="1"/>
      <c r="O994" s="2">
        <v>4519.6000000000004</v>
      </c>
      <c r="P994" s="12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 spans="1:31" ht="15" thickBot="1" x14ac:dyDescent="0.35">
      <c r="A995" s="1">
        <v>44487</v>
      </c>
      <c r="B995">
        <v>22.22</v>
      </c>
      <c r="C995">
        <v>50.34</v>
      </c>
      <c r="D995">
        <v>290.04000000000002</v>
      </c>
      <c r="E995">
        <v>238.98</v>
      </c>
      <c r="F995">
        <v>56.38</v>
      </c>
      <c r="G995" s="4"/>
      <c r="H995" s="10">
        <f t="shared" si="94"/>
        <v>1.6468435498627532E-2</v>
      </c>
      <c r="I995" s="10">
        <f t="shared" si="96"/>
        <v>1.9868865487793208E-4</v>
      </c>
      <c r="J995" s="10">
        <f t="shared" si="97"/>
        <v>3.2134087754884355E-2</v>
      </c>
      <c r="K995" s="10">
        <f t="shared" si="98"/>
        <v>4.6241802589541692E-3</v>
      </c>
      <c r="L995" s="10">
        <f t="shared" si="99"/>
        <v>-1.1397510082412743E-2</v>
      </c>
      <c r="M995" s="10">
        <f t="shared" si="95"/>
        <v>3.3770183835042378E-3</v>
      </c>
      <c r="N995" s="1"/>
      <c r="O995" s="2">
        <v>4486.5</v>
      </c>
      <c r="P995" s="12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 spans="1:31" ht="15" thickBot="1" x14ac:dyDescent="0.35">
      <c r="A996" s="1">
        <v>44484</v>
      </c>
      <c r="B996">
        <v>21.86</v>
      </c>
      <c r="C996">
        <v>50.33</v>
      </c>
      <c r="D996">
        <v>281.01</v>
      </c>
      <c r="E996">
        <v>237.88</v>
      </c>
      <c r="F996">
        <v>57.03</v>
      </c>
      <c r="G996" s="4"/>
      <c r="H996" s="10">
        <f t="shared" si="94"/>
        <v>5.057471264367841E-3</v>
      </c>
      <c r="I996" s="10">
        <f t="shared" si="96"/>
        <v>1.1454983922829509E-2</v>
      </c>
      <c r="J996" s="10">
        <f t="shared" si="97"/>
        <v>3.0208600652564366E-2</v>
      </c>
      <c r="K996" s="10">
        <f t="shared" si="98"/>
        <v>5.0276733279817076E-3</v>
      </c>
      <c r="L996" s="10">
        <f t="shared" si="99"/>
        <v>-1.2809416652241667E-2</v>
      </c>
      <c r="M996" s="10">
        <f t="shared" si="95"/>
        <v>7.4578104229094944E-3</v>
      </c>
      <c r="N996" s="1"/>
      <c r="O996" s="2">
        <v>4471.3999999999996</v>
      </c>
      <c r="P996" s="12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 spans="1:31" ht="15" thickBot="1" x14ac:dyDescent="0.35">
      <c r="A997" s="1">
        <v>44483</v>
      </c>
      <c r="B997">
        <v>21.75</v>
      </c>
      <c r="C997">
        <v>49.76</v>
      </c>
      <c r="D997">
        <v>272.77</v>
      </c>
      <c r="E997">
        <v>236.69</v>
      </c>
      <c r="F997">
        <v>57.77</v>
      </c>
      <c r="G997" s="4"/>
      <c r="H997" s="10">
        <f t="shared" si="94"/>
        <v>3.8681948424068802E-2</v>
      </c>
      <c r="I997" s="10">
        <f t="shared" si="96"/>
        <v>2.5979381443298921E-2</v>
      </c>
      <c r="J997" s="10">
        <f t="shared" si="97"/>
        <v>8.914040538541057E-3</v>
      </c>
      <c r="K997" s="10">
        <f t="shared" si="98"/>
        <v>1.0573507020807948E-3</v>
      </c>
      <c r="L997" s="10">
        <f t="shared" si="99"/>
        <v>2.4835905623558752E-2</v>
      </c>
      <c r="M997" s="10">
        <f t="shared" si="95"/>
        <v>1.7072276456299607E-2</v>
      </c>
      <c r="N997" s="1"/>
      <c r="O997" s="2">
        <v>4438.3</v>
      </c>
      <c r="P997" s="12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 spans="1:31" ht="15" thickBot="1" x14ac:dyDescent="0.35">
      <c r="A998" s="1">
        <v>44482</v>
      </c>
      <c r="B998">
        <v>20.94</v>
      </c>
      <c r="C998">
        <v>48.5</v>
      </c>
      <c r="D998">
        <v>270.36</v>
      </c>
      <c r="E998">
        <v>236.44</v>
      </c>
      <c r="F998">
        <v>56.37</v>
      </c>
      <c r="G998" s="4"/>
      <c r="H998" s="10">
        <f t="shared" si="94"/>
        <v>1.3062409288824295E-2</v>
      </c>
      <c r="I998" s="10">
        <f t="shared" si="96"/>
        <v>-6.1817432515975934E-4</v>
      </c>
      <c r="J998" s="10">
        <f t="shared" si="97"/>
        <v>6.6649290687716967E-3</v>
      </c>
      <c r="K998" s="10">
        <f t="shared" si="98"/>
        <v>1.5723000257754194E-2</v>
      </c>
      <c r="L998" s="10">
        <f t="shared" si="99"/>
        <v>2.9025191675793982E-2</v>
      </c>
      <c r="M998" s="10">
        <f t="shared" si="95"/>
        <v>3.0340642669977047E-3</v>
      </c>
      <c r="N998" s="1"/>
      <c r="O998" s="2">
        <v>4363.8</v>
      </c>
      <c r="P998" s="12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 spans="1:31" ht="15" thickBot="1" x14ac:dyDescent="0.35">
      <c r="A999" s="1">
        <v>44481</v>
      </c>
      <c r="B999">
        <v>20.67</v>
      </c>
      <c r="C999">
        <v>48.53</v>
      </c>
      <c r="D999">
        <v>268.57</v>
      </c>
      <c r="E999">
        <v>232.78</v>
      </c>
      <c r="F999">
        <v>54.78</v>
      </c>
      <c r="G999" s="4"/>
      <c r="H999" s="10">
        <f t="shared" si="94"/>
        <v>-1.4492753623187582E-3</v>
      </c>
      <c r="I999" s="10">
        <f t="shared" si="96"/>
        <v>-1.4218972171440081E-2</v>
      </c>
      <c r="J999" s="10">
        <f t="shared" si="97"/>
        <v>1.738768088491538E-2</v>
      </c>
      <c r="K999" s="10">
        <f t="shared" si="98"/>
        <v>-3.8087901741772345E-3</v>
      </c>
      <c r="L999" s="10">
        <f t="shared" si="99"/>
        <v>1.0701107011070077E-2</v>
      </c>
      <c r="M999" s="10">
        <f t="shared" si="95"/>
        <v>-2.4305237090708198E-3</v>
      </c>
      <c r="N999" s="1"/>
      <c r="O999" s="2">
        <v>4350.6000000000004</v>
      </c>
      <c r="P999" s="12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 spans="1:31" ht="15" thickBot="1" x14ac:dyDescent="0.35">
      <c r="A1000" s="1">
        <v>44480</v>
      </c>
      <c r="B1000">
        <v>20.7</v>
      </c>
      <c r="C1000">
        <v>49.23</v>
      </c>
      <c r="D1000">
        <v>263.98</v>
      </c>
      <c r="E1000">
        <v>233.67</v>
      </c>
      <c r="F1000">
        <v>54.2</v>
      </c>
      <c r="G1000" s="4"/>
      <c r="H1000" s="10">
        <f t="shared" si="94"/>
        <v>-6.2409985597695616E-3</v>
      </c>
      <c r="I1000" s="10">
        <f t="shared" si="96"/>
        <v>-1.0146103896104819E-3</v>
      </c>
      <c r="J1000" s="10">
        <f t="shared" si="97"/>
        <v>8.2114349005080189E-3</v>
      </c>
      <c r="K1000" s="10">
        <f t="shared" si="98"/>
        <v>-1.1541420877148045E-3</v>
      </c>
      <c r="L1000" s="10">
        <f t="shared" si="99"/>
        <v>-2.0254096851408665E-3</v>
      </c>
      <c r="M1000" s="10">
        <f t="shared" si="95"/>
        <v>-6.8544622321409232E-3</v>
      </c>
      <c r="N1000" s="1"/>
      <c r="O1000" s="2">
        <v>4361.2</v>
      </c>
      <c r="P1000" s="12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 spans="1:31" ht="15" thickBot="1" x14ac:dyDescent="0.35">
      <c r="A1001" s="1">
        <v>44477</v>
      </c>
      <c r="B1001">
        <v>20.83</v>
      </c>
      <c r="C1001">
        <v>49.28</v>
      </c>
      <c r="D1001">
        <v>261.83</v>
      </c>
      <c r="E1001">
        <v>233.94</v>
      </c>
      <c r="F1001">
        <v>54.31</v>
      </c>
      <c r="H1001" s="10">
        <f t="shared" si="94"/>
        <v>-1.1390602752729073E-2</v>
      </c>
      <c r="I1001" s="10">
        <f t="shared" si="96"/>
        <v>-2.2271714922048602E-3</v>
      </c>
      <c r="J1001" s="10">
        <f t="shared" si="97"/>
        <v>-1.024419747486216E-2</v>
      </c>
      <c r="K1001" s="10">
        <f t="shared" si="98"/>
        <v>3.2592846727850233E-3</v>
      </c>
      <c r="L1001" s="10">
        <f t="shared" si="99"/>
        <v>-5.4934993590917136E-3</v>
      </c>
      <c r="M1001" s="10">
        <f t="shared" si="95"/>
        <v>-1.9319059957271234E-3</v>
      </c>
      <c r="N1001" s="1"/>
      <c r="O1001" s="2">
        <v>4391.3</v>
      </c>
      <c r="P1001" s="12"/>
    </row>
    <row r="1002" spans="1:31" ht="15" thickBot="1" x14ac:dyDescent="0.35">
      <c r="A1002" s="1">
        <v>44476</v>
      </c>
      <c r="B1002">
        <v>21.07</v>
      </c>
      <c r="C1002">
        <v>49.39</v>
      </c>
      <c r="D1002">
        <v>264.54000000000002</v>
      </c>
      <c r="E1002">
        <v>233.18</v>
      </c>
      <c r="F1002">
        <v>54.61</v>
      </c>
      <c r="H1002" s="10">
        <f t="shared" si="94"/>
        <v>1.7874396135265647E-2</v>
      </c>
      <c r="I1002" s="10">
        <f t="shared" si="96"/>
        <v>1.0433715220949269E-2</v>
      </c>
      <c r="J1002" s="10">
        <f t="shared" si="97"/>
        <v>1.3873984363023117E-2</v>
      </c>
      <c r="K1002" s="10">
        <f t="shared" si="98"/>
        <v>2.3392582839587561E-2</v>
      </c>
      <c r="L1002" s="10">
        <f t="shared" si="99"/>
        <v>1.4670823399962618E-3</v>
      </c>
      <c r="M1002" s="10">
        <f t="shared" si="95"/>
        <v>8.2959024658537661E-3</v>
      </c>
      <c r="N1002" s="1"/>
      <c r="O1002" s="2">
        <v>4399.8</v>
      </c>
      <c r="P1002" s="12"/>
    </row>
    <row r="1003" spans="1:31" ht="15" thickBot="1" x14ac:dyDescent="0.35">
      <c r="A1003" s="1">
        <v>44475</v>
      </c>
      <c r="B1003">
        <v>20.7</v>
      </c>
      <c r="C1003">
        <v>48.88</v>
      </c>
      <c r="D1003">
        <v>260.92</v>
      </c>
      <c r="E1003">
        <v>227.85</v>
      </c>
      <c r="F1003">
        <v>54.53</v>
      </c>
      <c r="H1003" s="10">
        <f t="shared" si="94"/>
        <v>1.2224938875305513E-2</v>
      </c>
      <c r="I1003" s="10">
        <f t="shared" si="96"/>
        <v>7.004532344458303E-3</v>
      </c>
      <c r="J1003" s="10">
        <f t="shared" si="97"/>
        <v>2.7671022290547409E-3</v>
      </c>
      <c r="K1003" s="10">
        <f t="shared" si="98"/>
        <v>-1.3337374962109738E-2</v>
      </c>
      <c r="L1003" s="10">
        <f t="shared" si="99"/>
        <v>1.3003901170351106E-2</v>
      </c>
      <c r="M1003" s="10">
        <f t="shared" si="95"/>
        <v>4.1190141979430273E-3</v>
      </c>
      <c r="N1003" s="1"/>
      <c r="O1003" s="2">
        <v>4363.6000000000004</v>
      </c>
      <c r="P1003" s="12"/>
    </row>
    <row r="1004" spans="1:31" ht="15" thickBot="1" x14ac:dyDescent="0.35">
      <c r="A1004" s="1">
        <v>44474</v>
      </c>
      <c r="B1004">
        <v>20.45</v>
      </c>
      <c r="C1004">
        <v>48.54</v>
      </c>
      <c r="D1004">
        <v>260.2</v>
      </c>
      <c r="E1004">
        <v>230.93</v>
      </c>
      <c r="F1004">
        <v>53.83</v>
      </c>
      <c r="H1004" s="10">
        <f t="shared" si="94"/>
        <v>3.6492650785605596E-2</v>
      </c>
      <c r="I1004" s="10">
        <f t="shared" si="96"/>
        <v>1.9962176927925901E-2</v>
      </c>
      <c r="J1004" s="10">
        <f t="shared" si="97"/>
        <v>-1.1899735134928147E-3</v>
      </c>
      <c r="K1004" s="10">
        <f t="shared" si="98"/>
        <v>2.7040249054925525E-2</v>
      </c>
      <c r="L1004" s="10">
        <f t="shared" si="99"/>
        <v>-1.5364916773367487E-2</v>
      </c>
      <c r="M1004" s="10">
        <f t="shared" si="95"/>
        <v>1.0510405766771314E-2</v>
      </c>
      <c r="N1004" s="1"/>
      <c r="O1004" s="2">
        <v>4345.7</v>
      </c>
      <c r="P1004" s="12"/>
    </row>
    <row r="1005" spans="1:31" ht="15" thickBot="1" x14ac:dyDescent="0.35">
      <c r="A1005" s="1">
        <v>44473</v>
      </c>
      <c r="B1005">
        <v>19.73</v>
      </c>
      <c r="C1005">
        <v>47.59</v>
      </c>
      <c r="D1005">
        <v>260.51</v>
      </c>
      <c r="E1005">
        <v>224.85</v>
      </c>
      <c r="F1005">
        <v>54.67</v>
      </c>
      <c r="H1005" s="10">
        <f t="shared" si="94"/>
        <v>-4.869816779170677E-2</v>
      </c>
      <c r="I1005" s="10">
        <f t="shared" si="96"/>
        <v>-2.3394213010465736E-2</v>
      </c>
      <c r="J1005" s="10">
        <f t="shared" si="97"/>
        <v>8.1266204868231107E-3</v>
      </c>
      <c r="K1005" s="10">
        <f t="shared" si="98"/>
        <v>-2.0645498497321335E-2</v>
      </c>
      <c r="L1005" s="10">
        <f t="shared" si="99"/>
        <v>2.0724421209858068E-2</v>
      </c>
      <c r="M1005" s="10">
        <f t="shared" si="95"/>
        <v>-1.2967638283222449E-2</v>
      </c>
      <c r="N1005" s="1"/>
      <c r="O1005" s="2">
        <v>4300.5</v>
      </c>
      <c r="P1005" s="12"/>
    </row>
    <row r="1006" spans="1:31" ht="15" thickBot="1" x14ac:dyDescent="0.35">
      <c r="A1006" s="1">
        <v>44470</v>
      </c>
      <c r="B1006">
        <v>20.74</v>
      </c>
      <c r="C1006">
        <v>48.73</v>
      </c>
      <c r="D1006">
        <v>258.41000000000003</v>
      </c>
      <c r="E1006">
        <v>229.59</v>
      </c>
      <c r="F1006">
        <v>53.56</v>
      </c>
      <c r="H1006" s="10">
        <f t="shared" si="94"/>
        <v>9.6525096525090781E-4</v>
      </c>
      <c r="I1006" s="10">
        <f t="shared" si="96"/>
        <v>4.9494741183748747E-3</v>
      </c>
      <c r="J1006" s="10">
        <f t="shared" si="97"/>
        <v>-3.0948972880950887E-4</v>
      </c>
      <c r="K1006" s="10">
        <f t="shared" si="98"/>
        <v>-6.3189785760657813E-3</v>
      </c>
      <c r="L1006" s="10">
        <f t="shared" si="99"/>
        <v>-1.3627992633517438E-2</v>
      </c>
      <c r="M1006" s="10">
        <f t="shared" si="95"/>
        <v>1.1491584445734171E-2</v>
      </c>
      <c r="N1006" s="1"/>
      <c r="O1006" s="2">
        <v>4357</v>
      </c>
      <c r="P1006" s="12"/>
    </row>
    <row r="1007" spans="1:31" ht="15" thickBot="1" x14ac:dyDescent="0.35">
      <c r="A1007" s="1">
        <v>44469</v>
      </c>
      <c r="B1007">
        <v>20.72</v>
      </c>
      <c r="C1007">
        <v>48.49</v>
      </c>
      <c r="D1007">
        <v>258.49</v>
      </c>
      <c r="E1007">
        <v>231.05</v>
      </c>
      <c r="F1007">
        <v>54.3</v>
      </c>
      <c r="H1007" s="10">
        <f t="shared" si="94"/>
        <v>9.74658869395717E-3</v>
      </c>
      <c r="I1007" s="10">
        <f t="shared" si="96"/>
        <v>-9.3973442288048936E-3</v>
      </c>
      <c r="J1007" s="10">
        <f t="shared" si="97"/>
        <v>-7.4873291353094729E-3</v>
      </c>
      <c r="K1007" s="10">
        <f t="shared" si="98"/>
        <v>2.9953116860566009E-3</v>
      </c>
      <c r="L1007" s="10">
        <f t="shared" si="99"/>
        <v>1.0984919009495275E-2</v>
      </c>
      <c r="M1007" s="10">
        <f t="shared" si="95"/>
        <v>-1.1927973391444024E-2</v>
      </c>
      <c r="N1007" s="1"/>
      <c r="O1007" s="2">
        <v>4307.5</v>
      </c>
      <c r="P1007" s="12"/>
    </row>
    <row r="1008" spans="1:31" ht="15" thickBot="1" x14ac:dyDescent="0.35">
      <c r="A1008" s="1">
        <v>44468</v>
      </c>
      <c r="B1008">
        <v>20.52</v>
      </c>
      <c r="C1008">
        <v>48.95</v>
      </c>
      <c r="D1008">
        <v>260.44</v>
      </c>
      <c r="E1008">
        <v>230.36</v>
      </c>
      <c r="F1008">
        <v>53.71</v>
      </c>
      <c r="H1008" s="10">
        <f t="shared" si="94"/>
        <v>-8.6956521739129933E-3</v>
      </c>
      <c r="I1008" s="10">
        <f t="shared" si="96"/>
        <v>-3.054989816700604E-3</v>
      </c>
      <c r="J1008" s="10">
        <f t="shared" si="97"/>
        <v>4.8227169258072689E-3</v>
      </c>
      <c r="K1008" s="10">
        <f t="shared" si="98"/>
        <v>3.9530685920577735E-2</v>
      </c>
      <c r="L1008" s="10">
        <f t="shared" si="99"/>
        <v>-1.5939904727006238E-2</v>
      </c>
      <c r="M1008" s="10">
        <f t="shared" si="95"/>
        <v>1.5852593851950481E-3</v>
      </c>
      <c r="N1008" s="1"/>
      <c r="O1008" s="2">
        <v>4359.5</v>
      </c>
      <c r="P1008" s="12"/>
    </row>
    <row r="1009" spans="1:16" ht="15" thickBot="1" x14ac:dyDescent="0.35">
      <c r="A1009" s="1">
        <v>44467</v>
      </c>
      <c r="B1009">
        <v>20.7</v>
      </c>
      <c r="C1009">
        <v>49.1</v>
      </c>
      <c r="D1009">
        <v>259.19</v>
      </c>
      <c r="E1009">
        <v>221.6</v>
      </c>
      <c r="F1009">
        <v>54.58</v>
      </c>
      <c r="H1009" s="10">
        <f t="shared" si="94"/>
        <v>-4.4321329639889218E-2</v>
      </c>
      <c r="I1009" s="10">
        <f t="shared" si="96"/>
        <v>-2.733755942947691E-2</v>
      </c>
      <c r="J1009" s="10">
        <f t="shared" si="97"/>
        <v>-1.7438113651010334E-2</v>
      </c>
      <c r="K1009" s="10">
        <f t="shared" si="98"/>
        <v>-2.1201413427561877E-2</v>
      </c>
      <c r="L1009" s="10">
        <f t="shared" si="99"/>
        <v>1.2615955473098239E-2</v>
      </c>
      <c r="M1009" s="10">
        <f t="shared" si="95"/>
        <v>-2.0368661520109854E-2</v>
      </c>
      <c r="N1009" s="1"/>
      <c r="O1009" s="2">
        <v>4352.6000000000004</v>
      </c>
      <c r="P1009" s="12"/>
    </row>
    <row r="1010" spans="1:16" ht="15" thickBot="1" x14ac:dyDescent="0.35">
      <c r="A1010" s="1">
        <v>44466</v>
      </c>
      <c r="B1010">
        <v>21.66</v>
      </c>
      <c r="C1010">
        <v>50.48</v>
      </c>
      <c r="D1010">
        <v>263.79000000000002</v>
      </c>
      <c r="E1010">
        <v>226.4</v>
      </c>
      <c r="F1010">
        <v>53.9</v>
      </c>
      <c r="H1010" s="10">
        <f t="shared" si="94"/>
        <v>-1.9021739130434701E-2</v>
      </c>
      <c r="I1010" s="10">
        <f t="shared" si="96"/>
        <v>-1.9805902158853694E-4</v>
      </c>
      <c r="J1010" s="10">
        <f t="shared" si="97"/>
        <v>2.1926936039979861E-2</v>
      </c>
      <c r="K1010" s="10">
        <f t="shared" si="98"/>
        <v>-2.2790055248618768E-2</v>
      </c>
      <c r="L1010" s="10">
        <f t="shared" si="99"/>
        <v>5.5689623166887969E-4</v>
      </c>
      <c r="M1010" s="10">
        <f t="shared" si="95"/>
        <v>-2.78307709572434E-3</v>
      </c>
      <c r="N1010" s="1"/>
      <c r="O1010" s="2">
        <v>4443.1000000000004</v>
      </c>
      <c r="P1010" s="12"/>
    </row>
    <row r="1011" spans="1:16" ht="15" thickBot="1" x14ac:dyDescent="0.35">
      <c r="A1011" s="1">
        <v>44463</v>
      </c>
      <c r="B1011">
        <v>22.08</v>
      </c>
      <c r="C1011">
        <v>50.49</v>
      </c>
      <c r="D1011">
        <v>258.13</v>
      </c>
      <c r="E1011">
        <v>231.68</v>
      </c>
      <c r="F1011">
        <v>53.87</v>
      </c>
      <c r="H1011" s="10">
        <f t="shared" si="94"/>
        <v>-1.7793594306049876E-2</v>
      </c>
      <c r="I1011" s="10">
        <f t="shared" si="96"/>
        <v>1.1897679952410645E-3</v>
      </c>
      <c r="J1011" s="10">
        <f t="shared" si="97"/>
        <v>2.7546674097368662E-2</v>
      </c>
      <c r="K1011" s="10">
        <f t="shared" si="98"/>
        <v>-2.1535015935911783E-3</v>
      </c>
      <c r="L1011" s="10">
        <f t="shared" si="99"/>
        <v>-3.3302497687326404E-3</v>
      </c>
      <c r="M1011" s="10">
        <f t="shared" si="95"/>
        <v>1.4610024724657222E-3</v>
      </c>
      <c r="N1011" s="1"/>
      <c r="O1011" s="2">
        <v>4455.5</v>
      </c>
      <c r="P1011" s="12"/>
    </row>
    <row r="1012" spans="1:16" ht="15" thickBot="1" x14ac:dyDescent="0.35">
      <c r="A1012" s="1">
        <v>44462</v>
      </c>
      <c r="B1012">
        <v>22.48</v>
      </c>
      <c r="C1012">
        <v>50.43</v>
      </c>
      <c r="D1012">
        <v>251.21</v>
      </c>
      <c r="E1012">
        <v>232.18</v>
      </c>
      <c r="F1012">
        <v>54.05</v>
      </c>
      <c r="H1012" s="10">
        <f t="shared" si="94"/>
        <v>2.4612579762989917E-2</v>
      </c>
      <c r="I1012" s="10">
        <f t="shared" si="96"/>
        <v>7.3911306432281609E-3</v>
      </c>
      <c r="J1012" s="10">
        <f t="shared" si="97"/>
        <v>2.2341911031318329E-3</v>
      </c>
      <c r="K1012" s="10">
        <f t="shared" si="98"/>
        <v>1.699518177836179E-2</v>
      </c>
      <c r="L1012" s="10">
        <f t="shared" si="99"/>
        <v>-1.0978956999085132E-2</v>
      </c>
      <c r="M1012" s="10">
        <f t="shared" si="95"/>
        <v>1.2148512148512092E-2</v>
      </c>
      <c r="N1012" s="1"/>
      <c r="O1012" s="2">
        <v>4449</v>
      </c>
      <c r="P1012" s="12"/>
    </row>
    <row r="1013" spans="1:16" ht="15" thickBot="1" x14ac:dyDescent="0.35">
      <c r="A1013" s="1">
        <v>44461</v>
      </c>
      <c r="B1013">
        <v>21.94</v>
      </c>
      <c r="C1013">
        <v>50.06</v>
      </c>
      <c r="D1013">
        <v>250.65</v>
      </c>
      <c r="E1013">
        <v>228.3</v>
      </c>
      <c r="F1013">
        <v>54.65</v>
      </c>
      <c r="H1013" s="10">
        <f t="shared" si="94"/>
        <v>3.2470588235294251E-2</v>
      </c>
      <c r="I1013" s="10">
        <f t="shared" si="96"/>
        <v>1.9551934826883999E-2</v>
      </c>
      <c r="J1013" s="10">
        <f t="shared" si="97"/>
        <v>1.7000730341637516E-2</v>
      </c>
      <c r="K1013" s="10">
        <f t="shared" si="98"/>
        <v>-8.1244297693008338E-3</v>
      </c>
      <c r="L1013" s="10">
        <f t="shared" si="99"/>
        <v>2.5683360851220804E-3</v>
      </c>
      <c r="M1013" s="10">
        <f t="shared" si="95"/>
        <v>9.5080611823068484E-3</v>
      </c>
      <c r="N1013" s="1"/>
      <c r="O1013" s="2">
        <v>4395.6000000000004</v>
      </c>
      <c r="P1013" s="12"/>
    </row>
    <row r="1014" spans="1:16" ht="15" thickBot="1" x14ac:dyDescent="0.35">
      <c r="A1014" s="1">
        <v>44460</v>
      </c>
      <c r="B1014">
        <v>21.25</v>
      </c>
      <c r="C1014">
        <v>49.1</v>
      </c>
      <c r="D1014">
        <v>246.46</v>
      </c>
      <c r="E1014">
        <v>230.17</v>
      </c>
      <c r="F1014">
        <v>54.51</v>
      </c>
      <c r="H1014" s="10">
        <f t="shared" si="94"/>
        <v>6.6319279962103739E-3</v>
      </c>
      <c r="I1014" s="10">
        <f t="shared" si="96"/>
        <v>-7.679870654809906E-3</v>
      </c>
      <c r="J1014" s="10">
        <f t="shared" si="97"/>
        <v>1.2613500965528601E-2</v>
      </c>
      <c r="K1014" s="10">
        <f t="shared" si="98"/>
        <v>-6.3460542220686866E-3</v>
      </c>
      <c r="L1014" s="10">
        <f t="shared" si="99"/>
        <v>9.2575448990928066E-3</v>
      </c>
      <c r="M1014" s="10">
        <f t="shared" si="95"/>
        <v>-8.0317598733281592E-4</v>
      </c>
      <c r="N1014" s="1"/>
      <c r="O1014" s="2">
        <v>4354.2</v>
      </c>
      <c r="P1014" s="12"/>
    </row>
    <row r="1015" spans="1:16" ht="15" thickBot="1" x14ac:dyDescent="0.35">
      <c r="A1015" s="1">
        <v>44459</v>
      </c>
      <c r="B1015">
        <v>21.11</v>
      </c>
      <c r="C1015">
        <v>49.48</v>
      </c>
      <c r="D1015">
        <v>243.39</v>
      </c>
      <c r="E1015">
        <v>231.64</v>
      </c>
      <c r="F1015">
        <v>54.01</v>
      </c>
      <c r="H1015" s="10">
        <f t="shared" si="94"/>
        <v>-3.6073059360730575E-2</v>
      </c>
      <c r="I1015" s="10">
        <f t="shared" si="96"/>
        <v>-2.213438735177875E-2</v>
      </c>
      <c r="J1015" s="10">
        <f t="shared" si="97"/>
        <v>-3.859219465950392E-2</v>
      </c>
      <c r="K1015" s="10">
        <f t="shared" si="98"/>
        <v>6.6927422859626162E-3</v>
      </c>
      <c r="L1015" s="10">
        <f t="shared" si="99"/>
        <v>-2.1912350597609542E-2</v>
      </c>
      <c r="M1015" s="10">
        <f t="shared" si="95"/>
        <v>-1.698623956688472E-2</v>
      </c>
      <c r="N1015" s="1"/>
      <c r="O1015" s="2">
        <v>4357.7</v>
      </c>
      <c r="P1015" s="12"/>
    </row>
    <row r="1016" spans="1:16" ht="15" thickBot="1" x14ac:dyDescent="0.35">
      <c r="A1016" s="1">
        <v>44456</v>
      </c>
      <c r="B1016">
        <v>21.9</v>
      </c>
      <c r="C1016">
        <v>50.6</v>
      </c>
      <c r="D1016">
        <v>253.16</v>
      </c>
      <c r="E1016">
        <v>230.1</v>
      </c>
      <c r="F1016">
        <v>55.22</v>
      </c>
      <c r="H1016" s="10">
        <f t="shared" si="94"/>
        <v>-1.5287769784172678E-2</v>
      </c>
      <c r="I1016" s="10">
        <f t="shared" si="96"/>
        <v>-2.5625862408830136E-3</v>
      </c>
      <c r="J1016" s="10">
        <f t="shared" si="97"/>
        <v>3.2893433202552114E-3</v>
      </c>
      <c r="K1016" s="10">
        <f t="shared" si="98"/>
        <v>-4.0685595567866439E-3</v>
      </c>
      <c r="L1016" s="10">
        <f t="shared" si="99"/>
        <v>-3.7885621504600842E-3</v>
      </c>
      <c r="M1016" s="10">
        <f t="shared" si="95"/>
        <v>-9.1197639590505641E-3</v>
      </c>
      <c r="N1016" s="1"/>
      <c r="O1016" s="2">
        <v>4433</v>
      </c>
      <c r="P1016" s="12"/>
    </row>
    <row r="1017" spans="1:16" ht="15" thickBot="1" x14ac:dyDescent="0.35">
      <c r="A1017" s="1">
        <v>44455</v>
      </c>
      <c r="B1017">
        <v>22.24</v>
      </c>
      <c r="C1017">
        <v>50.73</v>
      </c>
      <c r="D1017">
        <v>252.33</v>
      </c>
      <c r="E1017">
        <v>231.04</v>
      </c>
      <c r="F1017">
        <v>55.43</v>
      </c>
      <c r="H1017" s="10">
        <f t="shared" si="94"/>
        <v>-4.4762757385855556E-3</v>
      </c>
      <c r="I1017" s="10">
        <f t="shared" si="96"/>
        <v>-4.7086521483226118E-3</v>
      </c>
      <c r="J1017" s="10">
        <f t="shared" si="97"/>
        <v>1.5479876160990891E-3</v>
      </c>
      <c r="K1017" s="10">
        <f t="shared" si="98"/>
        <v>-1.1509006118170517E-2</v>
      </c>
      <c r="L1017" s="10">
        <f t="shared" si="99"/>
        <v>-3.9507884248830338E-2</v>
      </c>
      <c r="M1017" s="10">
        <f t="shared" si="95"/>
        <v>-1.5399379561228388E-3</v>
      </c>
      <c r="N1017" s="1"/>
      <c r="O1017" s="2">
        <v>4473.8</v>
      </c>
      <c r="P1017" s="12"/>
    </row>
    <row r="1018" spans="1:16" ht="15" thickBot="1" x14ac:dyDescent="0.35">
      <c r="A1018" s="1">
        <v>44454</v>
      </c>
      <c r="B1018">
        <v>22.34</v>
      </c>
      <c r="C1018">
        <v>50.97</v>
      </c>
      <c r="D1018">
        <v>251.94</v>
      </c>
      <c r="E1018">
        <v>233.73</v>
      </c>
      <c r="F1018">
        <v>57.71</v>
      </c>
      <c r="H1018" s="10">
        <f t="shared" si="94"/>
        <v>4.4964028776979248E-3</v>
      </c>
      <c r="I1018" s="10">
        <f t="shared" si="96"/>
        <v>1.5540944411237323E-2</v>
      </c>
      <c r="J1018" s="10">
        <f t="shared" si="97"/>
        <v>1.5232108317214665E-2</v>
      </c>
      <c r="K1018" s="10">
        <f t="shared" si="98"/>
        <v>2.745720537131513E-3</v>
      </c>
      <c r="L1018" s="10">
        <f t="shared" si="99"/>
        <v>8.9160839160837835E-3</v>
      </c>
      <c r="M1018" s="10">
        <f t="shared" si="95"/>
        <v>8.4625599243770555E-3</v>
      </c>
      <c r="N1018" s="1"/>
      <c r="O1018" s="2">
        <v>4480.7</v>
      </c>
      <c r="P1018" s="12"/>
    </row>
    <row r="1019" spans="1:16" ht="15" thickBot="1" x14ac:dyDescent="0.35">
      <c r="A1019" s="1">
        <v>44453</v>
      </c>
      <c r="B1019">
        <v>22.24</v>
      </c>
      <c r="C1019">
        <v>50.19</v>
      </c>
      <c r="D1019">
        <v>248.16</v>
      </c>
      <c r="E1019">
        <v>233.09</v>
      </c>
      <c r="F1019">
        <v>57.2</v>
      </c>
      <c r="H1019" s="10">
        <f t="shared" si="94"/>
        <v>4.0632054176072963E-3</v>
      </c>
      <c r="I1019" s="10">
        <f t="shared" si="96"/>
        <v>5.8116232464928697E-3</v>
      </c>
      <c r="J1019" s="10">
        <f t="shared" si="97"/>
        <v>1.9784390519643758E-3</v>
      </c>
      <c r="K1019" s="10">
        <f t="shared" si="98"/>
        <v>-2.0465624474701682E-2</v>
      </c>
      <c r="L1019" s="10">
        <f t="shared" si="99"/>
        <v>2.8050490883591017E-3</v>
      </c>
      <c r="M1019" s="10">
        <f t="shared" si="95"/>
        <v>-5.7287354264102808E-3</v>
      </c>
      <c r="N1019" s="1"/>
      <c r="O1019" s="2">
        <v>4443.1000000000004</v>
      </c>
      <c r="P1019" s="12"/>
    </row>
    <row r="1020" spans="1:16" ht="15" thickBot="1" x14ac:dyDescent="0.35">
      <c r="A1020" s="1">
        <v>44452</v>
      </c>
      <c r="B1020">
        <v>22.15</v>
      </c>
      <c r="C1020">
        <v>49.9</v>
      </c>
      <c r="D1020">
        <v>247.67</v>
      </c>
      <c r="E1020">
        <v>237.96</v>
      </c>
      <c r="F1020">
        <v>57.04</v>
      </c>
      <c r="H1020" s="10">
        <f t="shared" si="94"/>
        <v>-1.4679715302491236E-2</v>
      </c>
      <c r="I1020" s="10">
        <f t="shared" si="96"/>
        <v>1.8068660911463308E-3</v>
      </c>
      <c r="J1020" s="10">
        <f t="shared" si="97"/>
        <v>9.1679569717220133E-3</v>
      </c>
      <c r="K1020" s="10">
        <f t="shared" si="98"/>
        <v>-6.4300626304801822E-3</v>
      </c>
      <c r="L1020" s="10">
        <f t="shared" si="99"/>
        <v>8.7734690296548123E-4</v>
      </c>
      <c r="M1020" s="10">
        <f t="shared" si="95"/>
        <v>2.2652850670612512E-3</v>
      </c>
      <c r="N1020" s="1"/>
      <c r="O1020" s="2">
        <v>4468.7</v>
      </c>
      <c r="P1020" s="12"/>
    </row>
    <row r="1021" spans="1:16" ht="15" thickBot="1" x14ac:dyDescent="0.35">
      <c r="A1021" s="1">
        <v>44449</v>
      </c>
      <c r="B1021">
        <v>22.48</v>
      </c>
      <c r="C1021">
        <v>49.81</v>
      </c>
      <c r="D1021">
        <v>245.42</v>
      </c>
      <c r="E1021">
        <v>239.5</v>
      </c>
      <c r="F1021">
        <v>56.99</v>
      </c>
      <c r="H1021" s="10">
        <f t="shared" si="94"/>
        <v>1.352569882777277E-2</v>
      </c>
      <c r="I1021" s="10">
        <f t="shared" si="96"/>
        <v>9.3211752786221957E-3</v>
      </c>
      <c r="J1021" s="10">
        <f t="shared" si="97"/>
        <v>-2.4640330657340503E-2</v>
      </c>
      <c r="K1021" s="10">
        <f t="shared" si="98"/>
        <v>-2.0833333333333259E-3</v>
      </c>
      <c r="L1021" s="10">
        <f t="shared" si="99"/>
        <v>-5.5836677717675531E-3</v>
      </c>
      <c r="M1021" s="10">
        <f t="shared" si="95"/>
        <v>-7.7226092181692518E-3</v>
      </c>
      <c r="N1021" s="1"/>
      <c r="O1021" s="2">
        <v>4458.6000000000004</v>
      </c>
      <c r="P1021" s="12"/>
    </row>
    <row r="1022" spans="1:16" ht="15" thickBot="1" x14ac:dyDescent="0.35">
      <c r="A1022" s="1">
        <v>44448</v>
      </c>
      <c r="B1022">
        <v>22.18</v>
      </c>
      <c r="C1022">
        <v>49.35</v>
      </c>
      <c r="D1022">
        <v>251.62</v>
      </c>
      <c r="E1022">
        <v>240</v>
      </c>
      <c r="F1022">
        <v>57.31</v>
      </c>
      <c r="H1022" s="10">
        <f t="shared" si="94"/>
        <v>-7.1620411817368002E-3</v>
      </c>
      <c r="I1022" s="10">
        <f t="shared" si="96"/>
        <v>-1.820388349514479E-3</v>
      </c>
      <c r="J1022" s="10">
        <f t="shared" si="97"/>
        <v>1.3132237653707968E-3</v>
      </c>
      <c r="K1022" s="10">
        <f t="shared" si="98"/>
        <v>-5.82326165437137E-2</v>
      </c>
      <c r="L1022" s="10">
        <f t="shared" si="99"/>
        <v>-4.343293954134797E-3</v>
      </c>
      <c r="M1022" s="10">
        <f t="shared" si="95"/>
        <v>-4.607784497463574E-3</v>
      </c>
      <c r="N1022" s="1"/>
      <c r="O1022" s="2">
        <v>4493.3</v>
      </c>
      <c r="P1022" s="12"/>
    </row>
    <row r="1023" spans="1:16" ht="15" thickBot="1" x14ac:dyDescent="0.35">
      <c r="A1023" s="1">
        <v>44447</v>
      </c>
      <c r="B1023">
        <v>22.34</v>
      </c>
      <c r="C1023">
        <v>49.44</v>
      </c>
      <c r="D1023">
        <v>251.29</v>
      </c>
      <c r="E1023">
        <v>254.84</v>
      </c>
      <c r="F1023">
        <v>57.56</v>
      </c>
      <c r="H1023" s="10">
        <f t="shared" si="94"/>
        <v>-1.4121800529567574E-2</v>
      </c>
      <c r="I1023" s="10">
        <f t="shared" si="96"/>
        <v>-4.4301248489729828E-3</v>
      </c>
      <c r="J1023" s="10">
        <f t="shared" si="97"/>
        <v>1.2750527951548296E-3</v>
      </c>
      <c r="K1023" s="10">
        <f t="shared" si="98"/>
        <v>1.5698587127155328E-4</v>
      </c>
      <c r="L1023" s="10">
        <f t="shared" si="99"/>
        <v>-1.2354152367879179E-2</v>
      </c>
      <c r="M1023" s="10">
        <f t="shared" si="95"/>
        <v>-1.3053097345131492E-3</v>
      </c>
      <c r="N1023" s="1"/>
      <c r="O1023" s="2">
        <v>4514.1000000000004</v>
      </c>
      <c r="P1023" s="12"/>
    </row>
    <row r="1024" spans="1:16" ht="15" thickBot="1" x14ac:dyDescent="0.35">
      <c r="A1024" s="1">
        <v>44446</v>
      </c>
      <c r="B1024">
        <v>22.66</v>
      </c>
      <c r="C1024">
        <v>49.66</v>
      </c>
      <c r="D1024">
        <v>250.97</v>
      </c>
      <c r="E1024">
        <v>254.8</v>
      </c>
      <c r="F1024">
        <v>58.28</v>
      </c>
      <c r="H1024" s="10">
        <f t="shared" si="94"/>
        <v>-7.8809106830122211E-3</v>
      </c>
      <c r="I1024" s="10">
        <f t="shared" si="96"/>
        <v>-2.2101667671289293E-3</v>
      </c>
      <c r="J1024" s="10">
        <f t="shared" si="97"/>
        <v>2.6378210371339694E-2</v>
      </c>
      <c r="K1024" s="10">
        <f t="shared" si="98"/>
        <v>-1.8225253342580627E-2</v>
      </c>
      <c r="L1024" s="10">
        <f t="shared" si="99"/>
        <v>-2.3294788000670308E-2</v>
      </c>
      <c r="M1024" s="10">
        <f t="shared" si="95"/>
        <v>-3.3955108700444159E-3</v>
      </c>
      <c r="N1024" s="1"/>
      <c r="O1024" s="2">
        <v>4520</v>
      </c>
      <c r="P1024" s="12"/>
    </row>
    <row r="1025" spans="1:16" ht="15" thickBot="1" x14ac:dyDescent="0.35">
      <c r="A1025" s="1">
        <v>44442</v>
      </c>
      <c r="B1025">
        <v>22.84</v>
      </c>
      <c r="C1025">
        <v>49.77</v>
      </c>
      <c r="D1025">
        <v>244.52</v>
      </c>
      <c r="E1025">
        <v>259.52999999999997</v>
      </c>
      <c r="F1025">
        <v>59.67</v>
      </c>
      <c r="H1025" s="10">
        <f t="shared" si="94"/>
        <v>1.9642857142857295E-2</v>
      </c>
      <c r="I1025" s="10">
        <f t="shared" si="96"/>
        <v>1.1791014433828018E-2</v>
      </c>
      <c r="J1025" s="10">
        <f t="shared" si="97"/>
        <v>1.5975095236144821E-3</v>
      </c>
      <c r="K1025" s="10">
        <f t="shared" si="98"/>
        <v>-1.5410101321422509E-4</v>
      </c>
      <c r="L1025" s="10">
        <f t="shared" si="99"/>
        <v>1.6351558507920361E-2</v>
      </c>
      <c r="M1025" s="10">
        <f t="shared" si="95"/>
        <v>-3.3062223103885735E-4</v>
      </c>
      <c r="N1025" s="1"/>
      <c r="O1025" s="2">
        <v>4535.3999999999996</v>
      </c>
      <c r="P1025" s="12"/>
    </row>
    <row r="1026" spans="1:16" ht="15" thickBot="1" x14ac:dyDescent="0.35">
      <c r="A1026" s="1">
        <v>44441</v>
      </c>
      <c r="B1026">
        <v>22.4</v>
      </c>
      <c r="C1026">
        <v>49.19</v>
      </c>
      <c r="D1026">
        <v>244.13</v>
      </c>
      <c r="E1026">
        <v>259.57</v>
      </c>
      <c r="F1026">
        <v>58.71</v>
      </c>
      <c r="H1026" s="10">
        <f t="shared" si="94"/>
        <v>-1.7825311942960553E-3</v>
      </c>
      <c r="I1026" s="10">
        <f t="shared" si="96"/>
        <v>-2.6358475263584813E-3</v>
      </c>
      <c r="J1026" s="10">
        <f t="shared" si="97"/>
        <v>-2.3293829178585579E-3</v>
      </c>
      <c r="K1026" s="10">
        <f t="shared" si="98"/>
        <v>8.4304584304584207E-3</v>
      </c>
      <c r="L1026" s="10">
        <f t="shared" si="99"/>
        <v>1.4340013821700026E-2</v>
      </c>
      <c r="M1026" s="10">
        <f t="shared" si="95"/>
        <v>2.8292920138810462E-3</v>
      </c>
      <c r="N1026" s="1"/>
      <c r="O1026" s="2">
        <v>4536.8999999999996</v>
      </c>
      <c r="P1026" s="12"/>
    </row>
    <row r="1027" spans="1:16" ht="15" thickBot="1" x14ac:dyDescent="0.35">
      <c r="A1027" s="1">
        <v>44440</v>
      </c>
      <c r="B1027">
        <v>22.44</v>
      </c>
      <c r="C1027">
        <v>49.32</v>
      </c>
      <c r="D1027">
        <v>244.7</v>
      </c>
      <c r="E1027">
        <v>257.39999999999998</v>
      </c>
      <c r="F1027">
        <v>57.88</v>
      </c>
      <c r="H1027" s="10">
        <f t="shared" si="94"/>
        <v>2.2331397945511977E-3</v>
      </c>
      <c r="I1027" s="10">
        <f t="shared" si="96"/>
        <v>-8.045052292839916E-3</v>
      </c>
      <c r="J1027" s="10">
        <f t="shared" si="97"/>
        <v>-2.2019246452456009E-3</v>
      </c>
      <c r="K1027" s="10">
        <f t="shared" si="98"/>
        <v>-3.445739285299676E-3</v>
      </c>
      <c r="L1027" s="10">
        <f t="shared" si="99"/>
        <v>-1.8968787722021263E-3</v>
      </c>
      <c r="M1027" s="10">
        <f t="shared" si="95"/>
        <v>3.0954960532447728E-4</v>
      </c>
      <c r="N1027" s="1"/>
      <c r="O1027" s="2">
        <v>4524.1000000000004</v>
      </c>
      <c r="P1027" s="12"/>
    </row>
    <row r="1028" spans="1:16" ht="15" thickBot="1" x14ac:dyDescent="0.35">
      <c r="A1028" s="1">
        <v>44439</v>
      </c>
      <c r="B1028">
        <v>22.39</v>
      </c>
      <c r="C1028">
        <v>49.72</v>
      </c>
      <c r="D1028">
        <v>245.24</v>
      </c>
      <c r="E1028">
        <v>258.29000000000002</v>
      </c>
      <c r="F1028">
        <v>57.99</v>
      </c>
      <c r="H1028" s="10">
        <f t="shared" ref="H1028:H1091" si="100">(B1028/B1029)-1</f>
        <v>-1.3221683561040143E-2</v>
      </c>
      <c r="I1028" s="10">
        <f t="shared" si="96"/>
        <v>-3.407496492283002E-3</v>
      </c>
      <c r="J1028" s="10">
        <f t="shared" si="97"/>
        <v>6.5670661631915817E-3</v>
      </c>
      <c r="K1028" s="10">
        <f t="shared" si="98"/>
        <v>-1.5325378369105191E-2</v>
      </c>
      <c r="L1028" s="10">
        <f t="shared" si="99"/>
        <v>8.3463745435576886E-3</v>
      </c>
      <c r="M1028" s="10">
        <f t="shared" ref="M1028:M1091" si="101">(O1028/O1029)-1</f>
        <v>-1.3469351704646915E-3</v>
      </c>
      <c r="N1028" s="1"/>
      <c r="O1028" s="2">
        <v>4522.7</v>
      </c>
      <c r="P1028" s="12"/>
    </row>
    <row r="1029" spans="1:16" ht="15" thickBot="1" x14ac:dyDescent="0.35">
      <c r="A1029" s="1">
        <v>44438</v>
      </c>
      <c r="B1029">
        <v>22.69</v>
      </c>
      <c r="C1029">
        <v>49.89</v>
      </c>
      <c r="D1029">
        <v>243.64</v>
      </c>
      <c r="E1029">
        <v>262.31</v>
      </c>
      <c r="F1029">
        <v>57.51</v>
      </c>
      <c r="H1029" s="10">
        <f t="shared" si="100"/>
        <v>2.2084805653710404E-3</v>
      </c>
      <c r="I1029" s="10">
        <f t="shared" si="96"/>
        <v>6.0496067755595462E-3</v>
      </c>
      <c r="J1029" s="10">
        <f t="shared" si="97"/>
        <v>2.6673970755551668E-2</v>
      </c>
      <c r="K1029" s="10">
        <f t="shared" si="98"/>
        <v>9.8556304138595063E-3</v>
      </c>
      <c r="L1029" s="10">
        <f t="shared" si="99"/>
        <v>-1.1685856676404871E-2</v>
      </c>
      <c r="M1029" s="10">
        <f t="shared" si="101"/>
        <v>4.3021244511465273E-3</v>
      </c>
      <c r="N1029" s="1"/>
      <c r="O1029" s="2">
        <v>4528.8</v>
      </c>
      <c r="P1029" s="12"/>
    </row>
    <row r="1030" spans="1:16" ht="15" thickBot="1" x14ac:dyDescent="0.35">
      <c r="A1030" s="1">
        <v>44435</v>
      </c>
      <c r="B1030">
        <v>22.64</v>
      </c>
      <c r="C1030">
        <v>49.59</v>
      </c>
      <c r="D1030">
        <v>237.31</v>
      </c>
      <c r="E1030">
        <v>259.75</v>
      </c>
      <c r="F1030">
        <v>58.19</v>
      </c>
      <c r="H1030" s="10">
        <f t="shared" si="100"/>
        <v>2.5826914363389131E-2</v>
      </c>
      <c r="I1030" s="10">
        <f t="shared" si="96"/>
        <v>2.1000617665225541E-2</v>
      </c>
      <c r="J1030" s="10">
        <f t="shared" si="97"/>
        <v>1.5360260140338866E-2</v>
      </c>
      <c r="K1030" s="10">
        <f t="shared" si="98"/>
        <v>-6.0079595897749583E-3</v>
      </c>
      <c r="L1030" s="10">
        <f t="shared" si="99"/>
        <v>2.7547236447112766E-2</v>
      </c>
      <c r="M1030" s="10">
        <f t="shared" si="101"/>
        <v>8.8143176733779249E-3</v>
      </c>
      <c r="N1030" s="1"/>
      <c r="O1030" s="2">
        <v>4509.3999999999996</v>
      </c>
      <c r="P1030" s="12"/>
    </row>
    <row r="1031" spans="1:16" ht="15" thickBot="1" x14ac:dyDescent="0.35">
      <c r="A1031" s="1">
        <v>44434</v>
      </c>
      <c r="B1031">
        <v>22.07</v>
      </c>
      <c r="C1031">
        <v>48.57</v>
      </c>
      <c r="D1031">
        <v>233.72</v>
      </c>
      <c r="E1031">
        <v>261.32</v>
      </c>
      <c r="F1031">
        <v>56.63</v>
      </c>
      <c r="H1031" s="10">
        <f t="shared" si="100"/>
        <v>-6.303466906798727E-3</v>
      </c>
      <c r="I1031" s="10">
        <f t="shared" si="96"/>
        <v>4.7579644187007997E-3</v>
      </c>
      <c r="J1031" s="10">
        <f t="shared" si="97"/>
        <v>-1.413084742902937E-2</v>
      </c>
      <c r="K1031" s="10">
        <f t="shared" si="98"/>
        <v>-9.6638496229204396E-3</v>
      </c>
      <c r="L1031" s="10">
        <f t="shared" si="99"/>
        <v>-4.9200492004919383E-3</v>
      </c>
      <c r="M1031" s="10">
        <f t="shared" si="101"/>
        <v>-5.8271429206885328E-3</v>
      </c>
      <c r="N1031" s="1"/>
      <c r="O1031" s="2">
        <v>4470</v>
      </c>
      <c r="P1031" s="12"/>
    </row>
    <row r="1032" spans="1:16" ht="15" thickBot="1" x14ac:dyDescent="0.35">
      <c r="A1032" s="1">
        <v>44433</v>
      </c>
      <c r="B1032">
        <v>22.21</v>
      </c>
      <c r="C1032">
        <v>48.34</v>
      </c>
      <c r="D1032">
        <v>237.07</v>
      </c>
      <c r="E1032">
        <v>263.87</v>
      </c>
      <c r="F1032">
        <v>56.91</v>
      </c>
      <c r="H1032" s="10">
        <f t="shared" si="100"/>
        <v>1.9274896741624747E-2</v>
      </c>
      <c r="I1032" s="10">
        <f t="shared" si="96"/>
        <v>4.1545492314083443E-3</v>
      </c>
      <c r="J1032" s="10">
        <f t="shared" si="97"/>
        <v>3.8533197831978061E-3</v>
      </c>
      <c r="K1032" s="10">
        <f t="shared" si="98"/>
        <v>4.186170415191981E-3</v>
      </c>
      <c r="L1032" s="10">
        <f t="shared" si="99"/>
        <v>-9.9164926931106789E-3</v>
      </c>
      <c r="M1032" s="10">
        <f t="shared" si="101"/>
        <v>2.2290580000892124E-3</v>
      </c>
      <c r="N1032" s="1"/>
      <c r="O1032" s="2">
        <v>4496.2</v>
      </c>
      <c r="P1032" s="12"/>
    </row>
    <row r="1033" spans="1:16" ht="15" thickBot="1" x14ac:dyDescent="0.35">
      <c r="A1033" s="1">
        <v>44432</v>
      </c>
      <c r="B1033">
        <v>21.79</v>
      </c>
      <c r="C1033">
        <v>48.14</v>
      </c>
      <c r="D1033">
        <v>236.16</v>
      </c>
      <c r="E1033">
        <v>262.77</v>
      </c>
      <c r="F1033">
        <v>57.48</v>
      </c>
      <c r="H1033" s="10">
        <f t="shared" si="100"/>
        <v>-7.7413479052823586E-3</v>
      </c>
      <c r="I1033" s="10">
        <f t="shared" si="96"/>
        <v>-2.0729684908790125E-3</v>
      </c>
      <c r="J1033" s="10">
        <f t="shared" si="97"/>
        <v>3.1007093403558894E-3</v>
      </c>
      <c r="K1033" s="10">
        <f t="shared" si="98"/>
        <v>-1.8855948024792846E-2</v>
      </c>
      <c r="L1033" s="10">
        <f t="shared" si="99"/>
        <v>-5.1921079958463512E-3</v>
      </c>
      <c r="M1033" s="10">
        <f t="shared" si="101"/>
        <v>1.4957026453845668E-3</v>
      </c>
      <c r="N1033" s="1"/>
      <c r="O1033" s="2">
        <v>4486.2</v>
      </c>
      <c r="P1033" s="12"/>
    </row>
    <row r="1034" spans="1:16" ht="15" thickBot="1" x14ac:dyDescent="0.35">
      <c r="A1034" s="1">
        <v>44431</v>
      </c>
      <c r="B1034">
        <v>21.96</v>
      </c>
      <c r="C1034">
        <v>48.24</v>
      </c>
      <c r="D1034">
        <v>235.43</v>
      </c>
      <c r="E1034">
        <v>267.82</v>
      </c>
      <c r="F1034">
        <v>57.78</v>
      </c>
      <c r="H1034" s="10">
        <f t="shared" si="100"/>
        <v>5.4755043227665778E-2</v>
      </c>
      <c r="I1034" s="10">
        <f t="shared" si="96"/>
        <v>1.5151515151515138E-2</v>
      </c>
      <c r="J1034" s="10">
        <f t="shared" si="97"/>
        <v>3.8280044101433264E-2</v>
      </c>
      <c r="K1034" s="10">
        <f t="shared" si="98"/>
        <v>-1.1406001993282011E-2</v>
      </c>
      <c r="L1034" s="10">
        <f t="shared" si="99"/>
        <v>2.5377107364684903E-2</v>
      </c>
      <c r="M1034" s="10">
        <f t="shared" si="101"/>
        <v>8.5102550825135737E-3</v>
      </c>
      <c r="N1034" s="1"/>
      <c r="O1034" s="2">
        <v>4479.5</v>
      </c>
      <c r="P1034" s="12"/>
    </row>
    <row r="1035" spans="1:16" ht="15" thickBot="1" x14ac:dyDescent="0.35">
      <c r="A1035" s="1">
        <v>44428</v>
      </c>
      <c r="B1035">
        <v>20.82</v>
      </c>
      <c r="C1035">
        <v>47.52</v>
      </c>
      <c r="D1035">
        <v>226.75</v>
      </c>
      <c r="E1035">
        <v>270.91000000000003</v>
      </c>
      <c r="F1035">
        <v>56.35</v>
      </c>
      <c r="H1035" s="10">
        <f t="shared" si="100"/>
        <v>5.1515151515151514E-2</v>
      </c>
      <c r="I1035" s="10">
        <f t="shared" si="96"/>
        <v>3.5902851108764455E-3</v>
      </c>
      <c r="J1035" s="10">
        <f t="shared" si="97"/>
        <v>1.0067263575214813E-2</v>
      </c>
      <c r="K1035" s="10">
        <f t="shared" si="98"/>
        <v>1.8860946745564711E-3</v>
      </c>
      <c r="L1035" s="10">
        <f t="shared" si="99"/>
        <v>-3.0077848549185937E-3</v>
      </c>
      <c r="M1035" s="10">
        <f t="shared" si="101"/>
        <v>8.1483499024013195E-3</v>
      </c>
      <c r="N1035" s="1"/>
      <c r="O1035" s="2">
        <v>4441.7</v>
      </c>
      <c r="P1035" s="12"/>
    </row>
    <row r="1036" spans="1:16" ht="15" thickBot="1" x14ac:dyDescent="0.35">
      <c r="A1036" s="1">
        <v>44427</v>
      </c>
      <c r="B1036">
        <v>19.8</v>
      </c>
      <c r="C1036">
        <v>47.35</v>
      </c>
      <c r="D1036">
        <v>224.49</v>
      </c>
      <c r="E1036">
        <v>270.39999999999998</v>
      </c>
      <c r="F1036">
        <v>56.52</v>
      </c>
      <c r="H1036" s="10">
        <f t="shared" si="100"/>
        <v>3.9915966386554702E-2</v>
      </c>
      <c r="I1036" s="10">
        <f t="shared" si="96"/>
        <v>9.5948827292111627E-3</v>
      </c>
      <c r="J1036" s="10">
        <f t="shared" si="97"/>
        <v>-2.2511538796481712E-2</v>
      </c>
      <c r="K1036" s="10">
        <f t="shared" si="98"/>
        <v>7.0013406822582169E-3</v>
      </c>
      <c r="L1036" s="10">
        <f t="shared" si="99"/>
        <v>-6.8529256721137077E-3</v>
      </c>
      <c r="M1036" s="10">
        <f t="shared" si="101"/>
        <v>1.2499147785378639E-3</v>
      </c>
      <c r="N1036" s="1"/>
      <c r="O1036" s="2">
        <v>4405.8</v>
      </c>
      <c r="P1036" s="12"/>
    </row>
    <row r="1037" spans="1:16" ht="15" thickBot="1" x14ac:dyDescent="0.35">
      <c r="A1037" s="1">
        <v>44426</v>
      </c>
      <c r="B1037">
        <v>19.04</v>
      </c>
      <c r="C1037">
        <v>46.9</v>
      </c>
      <c r="D1037">
        <v>229.66</v>
      </c>
      <c r="E1037">
        <v>268.52</v>
      </c>
      <c r="F1037">
        <v>56.91</v>
      </c>
      <c r="H1037" s="10">
        <f t="shared" si="100"/>
        <v>-2.1582733812949728E-2</v>
      </c>
      <c r="I1037" s="10">
        <f t="shared" si="96"/>
        <v>-2.0263212868184666E-2</v>
      </c>
      <c r="J1037" s="10">
        <f t="shared" si="97"/>
        <v>3.497070752591247E-2</v>
      </c>
      <c r="K1037" s="10">
        <f t="shared" si="98"/>
        <v>-1.5364306406072337E-2</v>
      </c>
      <c r="L1037" s="10">
        <f t="shared" si="99"/>
        <v>-3.3129459734964395E-2</v>
      </c>
      <c r="M1037" s="10">
        <f t="shared" si="101"/>
        <v>-1.074616128234529E-2</v>
      </c>
      <c r="N1037" s="1"/>
      <c r="O1037" s="2">
        <v>4400.3</v>
      </c>
      <c r="P1037" s="12"/>
    </row>
    <row r="1038" spans="1:16" ht="15" thickBot="1" x14ac:dyDescent="0.35">
      <c r="A1038" s="1">
        <v>44425</v>
      </c>
      <c r="B1038">
        <v>19.46</v>
      </c>
      <c r="C1038">
        <v>47.87</v>
      </c>
      <c r="D1038">
        <v>221.9</v>
      </c>
      <c r="E1038">
        <v>272.70999999999998</v>
      </c>
      <c r="F1038">
        <v>58.86</v>
      </c>
      <c r="H1038" s="10">
        <f t="shared" si="100"/>
        <v>-2.4561403508771895E-2</v>
      </c>
      <c r="I1038" s="10">
        <f t="shared" si="96"/>
        <v>-1.9258348699037198E-2</v>
      </c>
      <c r="J1038" s="10">
        <f t="shared" si="97"/>
        <v>-2.9818118223154944E-2</v>
      </c>
      <c r="K1038" s="10">
        <f t="shared" si="98"/>
        <v>1.0261539601392755E-2</v>
      </c>
      <c r="L1038" s="10">
        <f t="shared" si="99"/>
        <v>-3.3967391304356997E-4</v>
      </c>
      <c r="M1038" s="10">
        <f t="shared" si="101"/>
        <v>-7.054043797575571E-3</v>
      </c>
      <c r="N1038" s="1"/>
      <c r="O1038" s="2">
        <v>4448.1000000000004</v>
      </c>
      <c r="P1038" s="12"/>
    </row>
    <row r="1039" spans="1:16" ht="15" thickBot="1" x14ac:dyDescent="0.35">
      <c r="A1039" s="1">
        <v>44424</v>
      </c>
      <c r="B1039">
        <v>19.95</v>
      </c>
      <c r="C1039">
        <v>48.81</v>
      </c>
      <c r="D1039">
        <v>228.72</v>
      </c>
      <c r="E1039">
        <v>269.94</v>
      </c>
      <c r="F1039">
        <v>58.88</v>
      </c>
      <c r="H1039" s="10">
        <f t="shared" si="100"/>
        <v>-1.188707280832102E-2</v>
      </c>
      <c r="I1039" s="10">
        <f t="shared" si="96"/>
        <v>3.9078568490333865E-3</v>
      </c>
      <c r="J1039" s="10">
        <f t="shared" si="97"/>
        <v>-4.3252739897933545E-2</v>
      </c>
      <c r="K1039" s="10">
        <f t="shared" si="98"/>
        <v>2.1687294197797247E-2</v>
      </c>
      <c r="L1039" s="10">
        <f t="shared" si="99"/>
        <v>6.798096532971698E-4</v>
      </c>
      <c r="M1039" s="10">
        <f t="shared" si="101"/>
        <v>2.6186213070724662E-3</v>
      </c>
      <c r="N1039" s="1"/>
      <c r="O1039" s="2">
        <v>4479.7</v>
      </c>
      <c r="P1039" s="12"/>
    </row>
    <row r="1040" spans="1:16" ht="15" thickBot="1" x14ac:dyDescent="0.35">
      <c r="A1040" s="1">
        <v>44421</v>
      </c>
      <c r="B1040">
        <v>20.190000000000001</v>
      </c>
      <c r="C1040">
        <v>48.62</v>
      </c>
      <c r="D1040">
        <v>239.06</v>
      </c>
      <c r="E1040">
        <v>264.20999999999998</v>
      </c>
      <c r="F1040">
        <v>58.84</v>
      </c>
      <c r="H1040" s="10">
        <f t="shared" si="100"/>
        <v>1.4063284781516971E-2</v>
      </c>
      <c r="I1040" s="10">
        <f t="shared" si="96"/>
        <v>3.923188106545572E-3</v>
      </c>
      <c r="J1040" s="10">
        <f t="shared" si="97"/>
        <v>-7.0197300103842508E-3</v>
      </c>
      <c r="K1040" s="10">
        <f t="shared" si="98"/>
        <v>2.8086689186623826E-3</v>
      </c>
      <c r="L1040" s="10">
        <f t="shared" si="99"/>
        <v>8.3976006855184249E-3</v>
      </c>
      <c r="M1040" s="10">
        <f t="shared" si="101"/>
        <v>1.6140602582495056E-3</v>
      </c>
      <c r="N1040" s="1"/>
      <c r="O1040" s="2">
        <v>4468</v>
      </c>
      <c r="P1040" s="12"/>
    </row>
    <row r="1041" spans="1:16" ht="15" thickBot="1" x14ac:dyDescent="0.35">
      <c r="A1041" s="1">
        <v>44420</v>
      </c>
      <c r="B1041">
        <v>19.91</v>
      </c>
      <c r="C1041">
        <v>48.43</v>
      </c>
      <c r="D1041">
        <v>240.75</v>
      </c>
      <c r="E1041">
        <v>263.47000000000003</v>
      </c>
      <c r="F1041">
        <v>58.35</v>
      </c>
      <c r="H1041" s="10">
        <f t="shared" si="100"/>
        <v>1.0659898477157315E-2</v>
      </c>
      <c r="I1041" s="10">
        <f t="shared" si="96"/>
        <v>1.6546018614269631E-3</v>
      </c>
      <c r="J1041" s="10">
        <f t="shared" si="97"/>
        <v>2.0386538950580624E-2</v>
      </c>
      <c r="K1041" s="10">
        <f t="shared" si="98"/>
        <v>-2.3854600530102132E-3</v>
      </c>
      <c r="L1041" s="10">
        <f t="shared" si="99"/>
        <v>-1.5356058049274313E-2</v>
      </c>
      <c r="M1041" s="10">
        <f t="shared" si="101"/>
        <v>2.945342536591955E-3</v>
      </c>
      <c r="N1041" s="1"/>
      <c r="O1041" s="2">
        <v>4460.8</v>
      </c>
      <c r="P1041" s="12"/>
    </row>
    <row r="1042" spans="1:16" ht="15" thickBot="1" x14ac:dyDescent="0.35">
      <c r="A1042" s="1">
        <v>44419</v>
      </c>
      <c r="B1042">
        <v>19.7</v>
      </c>
      <c r="C1042">
        <v>48.35</v>
      </c>
      <c r="D1042">
        <v>235.94</v>
      </c>
      <c r="E1042">
        <v>264.10000000000002</v>
      </c>
      <c r="F1042">
        <v>59.26</v>
      </c>
      <c r="H1042" s="10">
        <f t="shared" si="100"/>
        <v>-1.2036108324975037E-2</v>
      </c>
      <c r="I1042" s="10">
        <f t="shared" si="96"/>
        <v>2.4880779597762359E-3</v>
      </c>
      <c r="J1042" s="10">
        <f t="shared" si="97"/>
        <v>-3.0423392208230871E-3</v>
      </c>
      <c r="K1042" s="10">
        <f t="shared" si="98"/>
        <v>-1.9855260716273748E-2</v>
      </c>
      <c r="L1042" s="10">
        <f t="shared" si="99"/>
        <v>2.0844099913867264E-2</v>
      </c>
      <c r="M1042" s="10">
        <f t="shared" si="101"/>
        <v>2.4567255679768252E-3</v>
      </c>
      <c r="N1042" s="1"/>
      <c r="O1042" s="2">
        <v>4447.7</v>
      </c>
      <c r="P1042" s="12"/>
    </row>
    <row r="1043" spans="1:16" ht="15" thickBot="1" x14ac:dyDescent="0.35">
      <c r="A1043" s="1">
        <v>44418</v>
      </c>
      <c r="B1043">
        <v>19.940000000000001</v>
      </c>
      <c r="C1043">
        <v>48.23</v>
      </c>
      <c r="D1043">
        <v>236.66</v>
      </c>
      <c r="E1043">
        <v>269.45</v>
      </c>
      <c r="F1043">
        <v>58.05</v>
      </c>
      <c r="H1043" s="10">
        <f t="shared" si="100"/>
        <v>-1.7733990147783207E-2</v>
      </c>
      <c r="I1043" s="10">
        <f t="shared" ref="I1043:I1106" si="102">(C1043/C1044)-1</f>
        <v>-4.9515164018981705E-3</v>
      </c>
      <c r="J1043" s="10">
        <f t="shared" ref="J1043:J1106" si="103">(D1043/D1044)-1</f>
        <v>-5.2958977807665564E-3</v>
      </c>
      <c r="K1043" s="10">
        <f t="shared" ref="K1043:K1106" si="104">(E1043/E1044)-1</f>
        <v>8.5716424614461495E-3</v>
      </c>
      <c r="L1043" s="10">
        <f t="shared" ref="L1043:L1106" si="105">(F1043/F1044)-1</f>
        <v>-1.3426240652617327E-2</v>
      </c>
      <c r="M1043" s="10">
        <f t="shared" si="101"/>
        <v>9.9269019041625661E-4</v>
      </c>
      <c r="N1043" s="1"/>
      <c r="O1043" s="2">
        <v>4436.8</v>
      </c>
      <c r="P1043" s="12"/>
    </row>
    <row r="1044" spans="1:16" ht="15" thickBot="1" x14ac:dyDescent="0.35">
      <c r="A1044" s="1">
        <v>44417</v>
      </c>
      <c r="B1044">
        <v>20.3</v>
      </c>
      <c r="C1044">
        <v>48.47</v>
      </c>
      <c r="D1044">
        <v>237.92</v>
      </c>
      <c r="E1044">
        <v>267.16000000000003</v>
      </c>
      <c r="F1044">
        <v>58.84</v>
      </c>
      <c r="H1044" s="10">
        <f t="shared" si="100"/>
        <v>-3.4364261168384758E-3</v>
      </c>
      <c r="I1044" s="10">
        <f t="shared" si="102"/>
        <v>-1.4421096003296441E-3</v>
      </c>
      <c r="J1044" s="10">
        <f t="shared" si="103"/>
        <v>2.0984422606531217E-2</v>
      </c>
      <c r="K1044" s="10">
        <f t="shared" si="104"/>
        <v>1.4120862435469173E-2</v>
      </c>
      <c r="L1044" s="10">
        <f t="shared" si="105"/>
        <v>-1.6382480775660291E-2</v>
      </c>
      <c r="M1044" s="10">
        <f t="shared" si="101"/>
        <v>-9.2415192155992365E-4</v>
      </c>
      <c r="N1044" s="1"/>
      <c r="O1044" s="2">
        <v>4432.3999999999996</v>
      </c>
      <c r="P1044" s="12"/>
    </row>
    <row r="1045" spans="1:16" ht="15" thickBot="1" x14ac:dyDescent="0.35">
      <c r="A1045" s="1">
        <v>44414</v>
      </c>
      <c r="B1045">
        <v>20.37</v>
      </c>
      <c r="C1045">
        <v>48.54</v>
      </c>
      <c r="D1045">
        <v>233.03</v>
      </c>
      <c r="E1045">
        <v>263.44</v>
      </c>
      <c r="F1045">
        <v>59.82</v>
      </c>
      <c r="H1045" s="10">
        <f t="shared" si="100"/>
        <v>-1.3081395348837233E-2</v>
      </c>
      <c r="I1045" s="10">
        <f t="shared" si="102"/>
        <v>-4.7160139429978098E-3</v>
      </c>
      <c r="J1045" s="10">
        <f t="shared" si="103"/>
        <v>-2.1745518660005958E-2</v>
      </c>
      <c r="K1045" s="10">
        <f t="shared" si="104"/>
        <v>-2.8388659676747974E-3</v>
      </c>
      <c r="L1045" s="10">
        <f t="shared" si="105"/>
        <v>-2.3346938775510195E-2</v>
      </c>
      <c r="M1045" s="10">
        <f t="shared" si="101"/>
        <v>1.6707683276511176E-3</v>
      </c>
      <c r="N1045" s="1"/>
      <c r="O1045" s="2">
        <v>4436.5</v>
      </c>
      <c r="P1045" s="12"/>
    </row>
    <row r="1046" spans="1:16" ht="15" thickBot="1" x14ac:dyDescent="0.35">
      <c r="A1046" s="1">
        <v>44413</v>
      </c>
      <c r="B1046">
        <v>20.64</v>
      </c>
      <c r="C1046">
        <v>48.77</v>
      </c>
      <c r="D1046">
        <v>238.21</v>
      </c>
      <c r="E1046">
        <v>264.19</v>
      </c>
      <c r="F1046">
        <v>61.25</v>
      </c>
      <c r="H1046" s="10">
        <f t="shared" si="100"/>
        <v>1.8253576714356345E-2</v>
      </c>
      <c r="I1046" s="10">
        <f t="shared" si="102"/>
        <v>-2.0500205002049743E-4</v>
      </c>
      <c r="J1046" s="10">
        <f t="shared" si="103"/>
        <v>5.232729881419651E-3</v>
      </c>
      <c r="K1046" s="10">
        <f t="shared" si="104"/>
        <v>6.5531298815102446E-3</v>
      </c>
      <c r="L1046" s="10">
        <f t="shared" si="105"/>
        <v>-9.8609763983187326E-3</v>
      </c>
      <c r="M1046" s="10">
        <f t="shared" si="101"/>
        <v>5.9963204397301961E-3</v>
      </c>
      <c r="N1046" s="1"/>
      <c r="O1046" s="2">
        <v>4429.1000000000004</v>
      </c>
      <c r="P1046" s="12"/>
    </row>
    <row r="1047" spans="1:16" ht="15" thickBot="1" x14ac:dyDescent="0.35">
      <c r="A1047" s="1">
        <v>44412</v>
      </c>
      <c r="B1047">
        <v>20.27</v>
      </c>
      <c r="C1047">
        <v>48.78</v>
      </c>
      <c r="D1047">
        <v>236.97</v>
      </c>
      <c r="E1047">
        <v>262.47000000000003</v>
      </c>
      <c r="F1047">
        <v>61.86</v>
      </c>
      <c r="H1047" s="10">
        <f t="shared" si="100"/>
        <v>2.2704339051463185E-2</v>
      </c>
      <c r="I1047" s="10">
        <f t="shared" si="102"/>
        <v>2.0542317173377622E-3</v>
      </c>
      <c r="J1047" s="10">
        <f t="shared" si="103"/>
        <v>1.6484909967029449E-3</v>
      </c>
      <c r="K1047" s="10">
        <f t="shared" si="104"/>
        <v>2.5313488808156537E-2</v>
      </c>
      <c r="L1047" s="10">
        <f t="shared" si="105"/>
        <v>-1.260973663208298E-2</v>
      </c>
      <c r="M1047" s="10">
        <f t="shared" si="101"/>
        <v>-4.6121498496530799E-3</v>
      </c>
      <c r="N1047" s="1"/>
      <c r="O1047" s="2">
        <v>4402.7</v>
      </c>
      <c r="P1047" s="12"/>
    </row>
    <row r="1048" spans="1:16" ht="15" thickBot="1" x14ac:dyDescent="0.35">
      <c r="A1048" s="1">
        <v>44411</v>
      </c>
      <c r="B1048">
        <v>19.82</v>
      </c>
      <c r="C1048">
        <v>48.68</v>
      </c>
      <c r="D1048">
        <v>236.58</v>
      </c>
      <c r="E1048">
        <v>255.99</v>
      </c>
      <c r="F1048">
        <v>62.65</v>
      </c>
      <c r="H1048" s="10">
        <f t="shared" si="100"/>
        <v>3.5443037974682845E-3</v>
      </c>
      <c r="I1048" s="10">
        <f t="shared" si="102"/>
        <v>4.3325768516608854E-3</v>
      </c>
      <c r="J1048" s="10">
        <f t="shared" si="103"/>
        <v>8.4545147108538998E-5</v>
      </c>
      <c r="K1048" s="10">
        <f t="shared" si="104"/>
        <v>3.8077858880778637E-2</v>
      </c>
      <c r="L1048" s="10">
        <f t="shared" si="105"/>
        <v>1.08099386899001E-2</v>
      </c>
      <c r="M1048" s="10">
        <f t="shared" si="101"/>
        <v>8.1828956965719346E-3</v>
      </c>
      <c r="N1048" s="1"/>
      <c r="O1048" s="2">
        <v>4423.1000000000004</v>
      </c>
      <c r="P1048" s="12"/>
    </row>
    <row r="1049" spans="1:16" ht="15" thickBot="1" x14ac:dyDescent="0.35">
      <c r="A1049" s="1">
        <v>44410</v>
      </c>
      <c r="B1049">
        <v>19.75</v>
      </c>
      <c r="C1049">
        <v>48.47</v>
      </c>
      <c r="D1049">
        <v>236.56</v>
      </c>
      <c r="E1049">
        <v>246.6</v>
      </c>
      <c r="F1049">
        <v>61.98</v>
      </c>
      <c r="H1049" s="10">
        <f t="shared" si="100"/>
        <v>1.2820512820512775E-2</v>
      </c>
      <c r="I1049" s="10">
        <f t="shared" si="102"/>
        <v>-1.4421096003296441E-3</v>
      </c>
      <c r="J1049" s="10">
        <f t="shared" si="103"/>
        <v>3.269742873357484E-2</v>
      </c>
      <c r="K1049" s="10">
        <f t="shared" si="104"/>
        <v>1.2731006160164204E-2</v>
      </c>
      <c r="L1049" s="10">
        <f t="shared" si="105"/>
        <v>-1.3371537726838634E-2</v>
      </c>
      <c r="M1049" s="10">
        <f t="shared" si="101"/>
        <v>-1.8428776192752627E-3</v>
      </c>
      <c r="N1049" s="1"/>
      <c r="O1049" s="2">
        <v>4387.2</v>
      </c>
      <c r="P1049" s="12"/>
    </row>
    <row r="1050" spans="1:16" ht="15" thickBot="1" x14ac:dyDescent="0.35">
      <c r="A1050" s="1">
        <v>44407</v>
      </c>
      <c r="B1050">
        <v>19.5</v>
      </c>
      <c r="C1050">
        <v>48.54</v>
      </c>
      <c r="D1050">
        <v>229.07</v>
      </c>
      <c r="E1050">
        <v>243.5</v>
      </c>
      <c r="F1050">
        <v>62.82</v>
      </c>
      <c r="H1050" s="10">
        <f t="shared" si="100"/>
        <v>-8.1383519837232576E-3</v>
      </c>
      <c r="I1050" s="10">
        <f t="shared" si="102"/>
        <v>2.6853955794257089E-3</v>
      </c>
      <c r="J1050" s="10">
        <f t="shared" si="103"/>
        <v>1.4571706971387988E-2</v>
      </c>
      <c r="K1050" s="10">
        <f t="shared" si="104"/>
        <v>-7.4593404801696073E-3</v>
      </c>
      <c r="L1050" s="10">
        <f t="shared" si="105"/>
        <v>1.5943877551021224E-3</v>
      </c>
      <c r="M1050" s="10">
        <f t="shared" si="101"/>
        <v>-5.3857120228101296E-3</v>
      </c>
      <c r="N1050" s="1"/>
      <c r="O1050" s="2">
        <v>4395.3</v>
      </c>
      <c r="P1050" s="12"/>
    </row>
    <row r="1051" spans="1:16" ht="15" thickBot="1" x14ac:dyDescent="0.35">
      <c r="A1051" s="1">
        <v>44406</v>
      </c>
      <c r="B1051">
        <v>19.66</v>
      </c>
      <c r="C1051">
        <v>48.41</v>
      </c>
      <c r="D1051">
        <v>225.78</v>
      </c>
      <c r="E1051">
        <v>245.33</v>
      </c>
      <c r="F1051">
        <v>62.72</v>
      </c>
      <c r="H1051" s="10">
        <f t="shared" si="100"/>
        <v>8.2051282051283092E-3</v>
      </c>
      <c r="I1051" s="10">
        <f t="shared" si="102"/>
        <v>1.3397529830437405E-2</v>
      </c>
      <c r="J1051" s="10">
        <f t="shared" si="103"/>
        <v>4.6925716405453066E-2</v>
      </c>
      <c r="K1051" s="10">
        <f t="shared" si="104"/>
        <v>-4.7868240639323822E-3</v>
      </c>
      <c r="L1051" s="10">
        <f t="shared" si="105"/>
        <v>1.3574660633484115E-2</v>
      </c>
      <c r="M1051" s="10">
        <f t="shared" si="101"/>
        <v>4.2039721856110823E-3</v>
      </c>
      <c r="N1051" s="1"/>
      <c r="O1051" s="2">
        <v>4419.1000000000004</v>
      </c>
      <c r="P1051" s="12"/>
    </row>
    <row r="1052" spans="1:16" ht="15" thickBot="1" x14ac:dyDescent="0.35">
      <c r="A1052" s="1">
        <v>44405</v>
      </c>
      <c r="B1052">
        <v>19.5</v>
      </c>
      <c r="C1052">
        <v>47.77</v>
      </c>
      <c r="D1052">
        <v>215.66</v>
      </c>
      <c r="E1052">
        <v>246.51</v>
      </c>
      <c r="F1052">
        <v>61.88</v>
      </c>
      <c r="H1052" s="10">
        <f t="shared" si="100"/>
        <v>1.5096304008328953E-2</v>
      </c>
      <c r="I1052" s="10">
        <f t="shared" si="102"/>
        <v>4.8380311316786884E-3</v>
      </c>
      <c r="J1052" s="10">
        <f t="shared" si="103"/>
        <v>3.3964546596565448E-3</v>
      </c>
      <c r="K1052" s="10">
        <f t="shared" si="104"/>
        <v>1.2028902208719883E-2</v>
      </c>
      <c r="L1052" s="10">
        <f t="shared" si="105"/>
        <v>9.1324200913243114E-3</v>
      </c>
      <c r="M1052" s="10">
        <f t="shared" si="101"/>
        <v>-2.0447574690440895E-4</v>
      </c>
      <c r="N1052" s="1"/>
      <c r="O1052" s="2">
        <v>4400.6000000000004</v>
      </c>
      <c r="P1052" s="12"/>
    </row>
    <row r="1053" spans="1:16" ht="15" thickBot="1" x14ac:dyDescent="0.35">
      <c r="A1053" s="1">
        <v>44404</v>
      </c>
      <c r="B1053">
        <v>19.21</v>
      </c>
      <c r="C1053">
        <v>47.54</v>
      </c>
      <c r="D1053">
        <v>214.93</v>
      </c>
      <c r="E1053">
        <v>243.58</v>
      </c>
      <c r="F1053">
        <v>61.32</v>
      </c>
      <c r="H1053" s="10">
        <f t="shared" si="100"/>
        <v>-4.147226542249749E-3</v>
      </c>
      <c r="I1053" s="10">
        <f t="shared" si="102"/>
        <v>-1.410203235172125E-2</v>
      </c>
      <c r="J1053" s="10">
        <f t="shared" si="103"/>
        <v>-1.9524656721864875E-2</v>
      </c>
      <c r="K1053" s="10">
        <f t="shared" si="104"/>
        <v>1.5213190247111985E-3</v>
      </c>
      <c r="L1053" s="10">
        <f t="shared" si="105"/>
        <v>1.5399900645802322E-2</v>
      </c>
      <c r="M1053" s="10">
        <f t="shared" si="101"/>
        <v>-4.7034348642109869E-3</v>
      </c>
      <c r="N1053" s="1"/>
      <c r="O1053" s="2">
        <v>4401.5</v>
      </c>
      <c r="P1053" s="12"/>
    </row>
    <row r="1054" spans="1:16" ht="15" thickBot="1" x14ac:dyDescent="0.35">
      <c r="A1054" s="1">
        <v>44403</v>
      </c>
      <c r="B1054">
        <v>19.29</v>
      </c>
      <c r="C1054">
        <v>48.22</v>
      </c>
      <c r="D1054">
        <v>219.21</v>
      </c>
      <c r="E1054">
        <v>243.21</v>
      </c>
      <c r="F1054">
        <v>60.39</v>
      </c>
      <c r="H1054" s="10">
        <f t="shared" si="100"/>
        <v>-1.3803680981595123E-2</v>
      </c>
      <c r="I1054" s="10">
        <f t="shared" si="102"/>
        <v>-1.8629683295384725E-3</v>
      </c>
      <c r="J1054" s="10">
        <f t="shared" si="103"/>
        <v>2.2148652429357485E-2</v>
      </c>
      <c r="K1054" s="10">
        <f t="shared" si="104"/>
        <v>-3.850092156461149E-3</v>
      </c>
      <c r="L1054" s="10">
        <f t="shared" si="105"/>
        <v>4.6581267675926963E-3</v>
      </c>
      <c r="M1054" s="10">
        <f t="shared" si="101"/>
        <v>2.3799809601523503E-3</v>
      </c>
      <c r="N1054" s="1"/>
      <c r="O1054" s="2">
        <v>4422.3</v>
      </c>
      <c r="P1054" s="12"/>
    </row>
    <row r="1055" spans="1:16" ht="15" thickBot="1" x14ac:dyDescent="0.35">
      <c r="A1055" s="1">
        <v>44400</v>
      </c>
      <c r="B1055">
        <v>19.559999999999999</v>
      </c>
      <c r="C1055">
        <v>48.31</v>
      </c>
      <c r="D1055">
        <v>214.46</v>
      </c>
      <c r="E1055">
        <v>244.15</v>
      </c>
      <c r="F1055">
        <v>60.11</v>
      </c>
      <c r="H1055" s="10">
        <f t="shared" si="100"/>
        <v>-1.5313935681470214E-3</v>
      </c>
      <c r="I1055" s="10">
        <f t="shared" si="102"/>
        <v>1.4276716355238195E-2</v>
      </c>
      <c r="J1055" s="10">
        <f t="shared" si="103"/>
        <v>-9.0564642824136898E-3</v>
      </c>
      <c r="K1055" s="10">
        <f t="shared" si="104"/>
        <v>2.3732651264203986E-2</v>
      </c>
      <c r="L1055" s="10">
        <f t="shared" si="105"/>
        <v>-1.6608536787908745E-3</v>
      </c>
      <c r="M1055" s="10">
        <f t="shared" si="101"/>
        <v>1.0143102461362297E-2</v>
      </c>
      <c r="N1055" s="1"/>
      <c r="O1055" s="2">
        <v>4411.8</v>
      </c>
      <c r="P1055" s="12"/>
    </row>
    <row r="1056" spans="1:16" ht="15" thickBot="1" x14ac:dyDescent="0.35">
      <c r="A1056" s="1">
        <v>44399</v>
      </c>
      <c r="B1056">
        <v>19.59</v>
      </c>
      <c r="C1056">
        <v>47.63</v>
      </c>
      <c r="D1056">
        <v>216.42</v>
      </c>
      <c r="E1056">
        <v>238.49</v>
      </c>
      <c r="F1056">
        <v>60.21</v>
      </c>
      <c r="H1056" s="10">
        <f t="shared" si="100"/>
        <v>9.2735703245749868E-3</v>
      </c>
      <c r="I1056" s="10">
        <f t="shared" si="102"/>
        <v>-5.6367432150312702E-3</v>
      </c>
      <c r="J1056" s="10">
        <f t="shared" si="103"/>
        <v>-9.2020326878177183E-3</v>
      </c>
      <c r="K1056" s="10">
        <f t="shared" si="104"/>
        <v>5.0571031227613084E-3</v>
      </c>
      <c r="L1056" s="10">
        <f t="shared" si="105"/>
        <v>-2.4850894632206799E-3</v>
      </c>
      <c r="M1056" s="10">
        <f t="shared" si="101"/>
        <v>2.0189506045380501E-3</v>
      </c>
      <c r="N1056" s="1"/>
      <c r="O1056" s="2">
        <v>4367.5</v>
      </c>
      <c r="P1056" s="12"/>
    </row>
    <row r="1057" spans="1:16" ht="15" thickBot="1" x14ac:dyDescent="0.35">
      <c r="A1057" s="1">
        <v>44398</v>
      </c>
      <c r="B1057">
        <v>19.41</v>
      </c>
      <c r="C1057">
        <v>47.9</v>
      </c>
      <c r="D1057">
        <v>218.43</v>
      </c>
      <c r="E1057">
        <v>237.29</v>
      </c>
      <c r="F1057">
        <v>60.36</v>
      </c>
      <c r="H1057" s="10">
        <f t="shared" si="100"/>
        <v>4.2987641053197301E-2</v>
      </c>
      <c r="I1057" s="10">
        <f t="shared" si="102"/>
        <v>2.2193768672641889E-2</v>
      </c>
      <c r="J1057" s="10">
        <f t="shared" si="103"/>
        <v>-7.9029840577734545E-3</v>
      </c>
      <c r="K1057" s="10">
        <f t="shared" si="104"/>
        <v>9.658752446600305E-3</v>
      </c>
      <c r="L1057" s="10">
        <f t="shared" si="105"/>
        <v>-1.323626737260053E-3</v>
      </c>
      <c r="M1057" s="10">
        <f t="shared" si="101"/>
        <v>8.2348314866644845E-3</v>
      </c>
      <c r="N1057" s="1"/>
      <c r="O1057" s="2">
        <v>4358.7</v>
      </c>
      <c r="P1057" s="12"/>
    </row>
    <row r="1058" spans="1:16" ht="15" thickBot="1" x14ac:dyDescent="0.35">
      <c r="A1058" s="1">
        <v>44397</v>
      </c>
      <c r="B1058">
        <v>18.61</v>
      </c>
      <c r="C1058">
        <v>46.86</v>
      </c>
      <c r="D1058">
        <v>220.17</v>
      </c>
      <c r="E1058">
        <v>235.02</v>
      </c>
      <c r="F1058">
        <v>60.44</v>
      </c>
      <c r="H1058" s="10">
        <f t="shared" si="100"/>
        <v>-9.0521831735890235E-3</v>
      </c>
      <c r="I1058" s="10">
        <f t="shared" si="102"/>
        <v>6.2271848829718035E-3</v>
      </c>
      <c r="J1058" s="10">
        <f t="shared" si="103"/>
        <v>2.209739566408242E-2</v>
      </c>
      <c r="K1058" s="10">
        <f t="shared" si="104"/>
        <v>3.7584351242847536E-3</v>
      </c>
      <c r="L1058" s="10">
        <f t="shared" si="105"/>
        <v>-4.1192947767342281E-3</v>
      </c>
      <c r="M1058" s="10">
        <f t="shared" si="101"/>
        <v>1.5169660678642893E-2</v>
      </c>
      <c r="N1058" s="1"/>
      <c r="O1058" s="2">
        <v>4323.1000000000004</v>
      </c>
      <c r="P1058" s="12"/>
    </row>
    <row r="1059" spans="1:16" ht="15" thickBot="1" x14ac:dyDescent="0.35">
      <c r="A1059" s="1">
        <v>44396</v>
      </c>
      <c r="B1059">
        <v>18.78</v>
      </c>
      <c r="C1059">
        <v>46.57</v>
      </c>
      <c r="D1059">
        <v>215.41</v>
      </c>
      <c r="E1059">
        <v>234.14</v>
      </c>
      <c r="F1059">
        <v>60.69</v>
      </c>
      <c r="H1059" s="10">
        <f t="shared" si="100"/>
        <v>3.4140969162995694E-2</v>
      </c>
      <c r="I1059" s="10">
        <f t="shared" si="102"/>
        <v>-5.1271095919676046E-3</v>
      </c>
      <c r="J1059" s="10">
        <f t="shared" si="103"/>
        <v>3.1200521560956762E-3</v>
      </c>
      <c r="K1059" s="10">
        <f t="shared" si="104"/>
        <v>7.2270498150217577E-3</v>
      </c>
      <c r="L1059" s="10">
        <f t="shared" si="105"/>
        <v>-1.6847561963388991E-2</v>
      </c>
      <c r="M1059" s="10">
        <f t="shared" si="101"/>
        <v>-1.5876317249029381E-2</v>
      </c>
      <c r="N1059" s="1"/>
      <c r="O1059" s="2">
        <v>4258.5</v>
      </c>
      <c r="P1059" s="12"/>
    </row>
    <row r="1060" spans="1:16" ht="15" thickBot="1" x14ac:dyDescent="0.35">
      <c r="A1060" s="1">
        <v>44393</v>
      </c>
      <c r="B1060">
        <v>18.16</v>
      </c>
      <c r="C1060">
        <v>46.81</v>
      </c>
      <c r="D1060">
        <v>214.74</v>
      </c>
      <c r="E1060">
        <v>232.46</v>
      </c>
      <c r="F1060">
        <v>61.73</v>
      </c>
      <c r="H1060" s="10">
        <f t="shared" si="100"/>
        <v>-4.2698998418555512E-2</v>
      </c>
      <c r="I1060" s="10">
        <f t="shared" si="102"/>
        <v>-1.9275089042530835E-2</v>
      </c>
      <c r="J1060" s="10">
        <f t="shared" si="103"/>
        <v>-9.8215520818923929E-3</v>
      </c>
      <c r="K1060" s="10">
        <f t="shared" si="104"/>
        <v>4.2770121398021388E-3</v>
      </c>
      <c r="L1060" s="10">
        <f t="shared" si="105"/>
        <v>-2.7720900929280257E-2</v>
      </c>
      <c r="M1060" s="10">
        <f t="shared" si="101"/>
        <v>-7.522935779816553E-3</v>
      </c>
      <c r="N1060" s="1"/>
      <c r="O1060" s="2">
        <v>4327.2</v>
      </c>
      <c r="P1060" s="12"/>
    </row>
    <row r="1061" spans="1:16" ht="15" thickBot="1" x14ac:dyDescent="0.35">
      <c r="A1061" s="1">
        <v>44392</v>
      </c>
      <c r="B1061">
        <v>18.97</v>
      </c>
      <c r="C1061">
        <v>47.73</v>
      </c>
      <c r="D1061">
        <v>216.87</v>
      </c>
      <c r="E1061">
        <v>231.47</v>
      </c>
      <c r="F1061">
        <v>63.49</v>
      </c>
      <c r="H1061" s="10">
        <f t="shared" si="100"/>
        <v>-4.3850806451612989E-2</v>
      </c>
      <c r="I1061" s="10">
        <f t="shared" si="102"/>
        <v>-8.9285714285713969E-3</v>
      </c>
      <c r="J1061" s="10">
        <f t="shared" si="103"/>
        <v>-4.224252720510524E-3</v>
      </c>
      <c r="K1061" s="10">
        <f t="shared" si="104"/>
        <v>-2.06473450391369E-2</v>
      </c>
      <c r="L1061" s="10">
        <f t="shared" si="105"/>
        <v>2.0517676767677351E-3</v>
      </c>
      <c r="M1061" s="10">
        <f t="shared" si="101"/>
        <v>-3.2690944836888391E-3</v>
      </c>
      <c r="N1061" s="1"/>
      <c r="O1061" s="2">
        <v>4360</v>
      </c>
      <c r="P1061" s="12"/>
    </row>
    <row r="1062" spans="1:16" ht="15" thickBot="1" x14ac:dyDescent="0.35">
      <c r="A1062" s="1">
        <v>44391</v>
      </c>
      <c r="B1062">
        <v>19.84</v>
      </c>
      <c r="C1062">
        <v>48.16</v>
      </c>
      <c r="D1062">
        <v>217.79</v>
      </c>
      <c r="E1062">
        <v>236.35</v>
      </c>
      <c r="F1062">
        <v>63.36</v>
      </c>
      <c r="H1062" s="10">
        <f t="shared" si="100"/>
        <v>-2.0246913580246884E-2</v>
      </c>
      <c r="I1062" s="10">
        <f t="shared" si="102"/>
        <v>-4.9586776859504855E-3</v>
      </c>
      <c r="J1062" s="10">
        <f t="shared" si="103"/>
        <v>-2.2705855956921761E-2</v>
      </c>
      <c r="K1062" s="10">
        <f t="shared" si="104"/>
        <v>4.4623884402890113E-3</v>
      </c>
      <c r="L1062" s="10">
        <f t="shared" si="105"/>
        <v>-1.5780337699222713E-4</v>
      </c>
      <c r="M1062" s="10">
        <f t="shared" si="101"/>
        <v>1.1672617412799013E-3</v>
      </c>
      <c r="N1062" s="1"/>
      <c r="O1062" s="2">
        <v>4374.3</v>
      </c>
      <c r="P1062" s="12"/>
    </row>
    <row r="1063" spans="1:16" ht="15" thickBot="1" x14ac:dyDescent="0.35">
      <c r="A1063" s="1">
        <v>44390</v>
      </c>
      <c r="B1063">
        <v>20.25</v>
      </c>
      <c r="C1063">
        <v>48.4</v>
      </c>
      <c r="D1063">
        <v>222.85</v>
      </c>
      <c r="E1063">
        <v>235.3</v>
      </c>
      <c r="F1063">
        <v>63.37</v>
      </c>
      <c r="H1063" s="10">
        <f t="shared" si="100"/>
        <v>-1.2676743052169703E-2</v>
      </c>
      <c r="I1063" s="10">
        <f t="shared" si="102"/>
        <v>-3.7052284890901621E-3</v>
      </c>
      <c r="J1063" s="10">
        <f t="shared" si="103"/>
        <v>-2.5025156407227578E-2</v>
      </c>
      <c r="K1063" s="10">
        <f t="shared" si="104"/>
        <v>-3.0083471039361598E-3</v>
      </c>
      <c r="L1063" s="10">
        <f t="shared" si="105"/>
        <v>2.8485519860736996E-3</v>
      </c>
      <c r="M1063" s="10">
        <f t="shared" si="101"/>
        <v>-3.5122930255896412E-3</v>
      </c>
      <c r="N1063" s="1"/>
      <c r="O1063" s="2">
        <v>4369.2</v>
      </c>
      <c r="P1063" s="12"/>
    </row>
    <row r="1064" spans="1:16" ht="15" thickBot="1" x14ac:dyDescent="0.35">
      <c r="A1064" s="1">
        <v>44389</v>
      </c>
      <c r="B1064">
        <v>20.51</v>
      </c>
      <c r="C1064">
        <v>48.58</v>
      </c>
      <c r="D1064">
        <v>228.57</v>
      </c>
      <c r="E1064">
        <v>236.01</v>
      </c>
      <c r="F1064">
        <v>63.19</v>
      </c>
      <c r="H1064" s="10">
        <f t="shared" si="100"/>
        <v>2.2942643391521189E-2</v>
      </c>
      <c r="I1064" s="10">
        <f t="shared" si="102"/>
        <v>1.1661807580174877E-2</v>
      </c>
      <c r="J1064" s="10">
        <f t="shared" si="103"/>
        <v>4.3793953785733919E-2</v>
      </c>
      <c r="K1064" s="10">
        <f t="shared" si="104"/>
        <v>4.3406102387335554E-3</v>
      </c>
      <c r="L1064" s="10">
        <f t="shared" si="105"/>
        <v>-1.2347608627696127E-2</v>
      </c>
      <c r="M1064" s="10">
        <f t="shared" si="101"/>
        <v>3.4328084950567828E-3</v>
      </c>
      <c r="N1064" s="1"/>
      <c r="O1064" s="2">
        <v>4384.6000000000004</v>
      </c>
      <c r="P1064" s="12"/>
    </row>
    <row r="1065" spans="1:16" ht="15" thickBot="1" x14ac:dyDescent="0.35">
      <c r="A1065" s="1">
        <v>44386</v>
      </c>
      <c r="B1065">
        <v>20.05</v>
      </c>
      <c r="C1065">
        <v>48.02</v>
      </c>
      <c r="D1065">
        <v>218.98</v>
      </c>
      <c r="E1065">
        <v>234.99</v>
      </c>
      <c r="F1065">
        <v>63.98</v>
      </c>
      <c r="H1065" s="10">
        <f t="shared" si="100"/>
        <v>7.5376884422111434E-3</v>
      </c>
      <c r="I1065" s="10">
        <f t="shared" si="102"/>
        <v>2.0616365568544293E-2</v>
      </c>
      <c r="J1065" s="10">
        <f t="shared" si="103"/>
        <v>6.3419117647058876E-3</v>
      </c>
      <c r="K1065" s="10">
        <f t="shared" si="104"/>
        <v>-8.9827935222671629E-3</v>
      </c>
      <c r="L1065" s="10">
        <f t="shared" si="105"/>
        <v>1.9439133205863657E-2</v>
      </c>
      <c r="M1065" s="10">
        <f t="shared" si="101"/>
        <v>1.1294204776893135E-2</v>
      </c>
      <c r="N1065" s="1"/>
      <c r="O1065" s="2">
        <v>4369.6000000000004</v>
      </c>
      <c r="P1065" s="12"/>
    </row>
    <row r="1066" spans="1:16" ht="15" thickBot="1" x14ac:dyDescent="0.35">
      <c r="A1066" s="1">
        <v>44385</v>
      </c>
      <c r="B1066">
        <v>19.899999999999999</v>
      </c>
      <c r="C1066">
        <v>47.05</v>
      </c>
      <c r="D1066">
        <v>217.6</v>
      </c>
      <c r="E1066">
        <v>237.12</v>
      </c>
      <c r="F1066">
        <v>62.76</v>
      </c>
      <c r="H1066" s="10">
        <f t="shared" si="100"/>
        <v>-2.3073146784487131E-2</v>
      </c>
      <c r="I1066" s="10">
        <f t="shared" si="102"/>
        <v>2.1299254526090383E-3</v>
      </c>
      <c r="J1066" s="10">
        <f t="shared" si="103"/>
        <v>1.2658227848101333E-2</v>
      </c>
      <c r="K1066" s="10">
        <f t="shared" si="104"/>
        <v>5.5126791620727644E-3</v>
      </c>
      <c r="L1066" s="10">
        <f t="shared" si="105"/>
        <v>-1.3672795851013775E-2</v>
      </c>
      <c r="M1066" s="10">
        <f t="shared" si="101"/>
        <v>-8.5587756132259329E-3</v>
      </c>
      <c r="N1066" s="1"/>
      <c r="O1066" s="2">
        <v>4320.8</v>
      </c>
      <c r="P1066" s="12"/>
    </row>
    <row r="1067" spans="1:16" ht="15" thickBot="1" x14ac:dyDescent="0.35">
      <c r="A1067" s="1">
        <v>44384</v>
      </c>
      <c r="B1067">
        <v>20.37</v>
      </c>
      <c r="C1067">
        <v>46.95</v>
      </c>
      <c r="D1067">
        <v>214.88</v>
      </c>
      <c r="E1067">
        <v>235.82</v>
      </c>
      <c r="F1067">
        <v>63.63</v>
      </c>
      <c r="H1067" s="10">
        <f t="shared" si="100"/>
        <v>-1.5942028985507117E-2</v>
      </c>
      <c r="I1067" s="10">
        <f t="shared" si="102"/>
        <v>-8.0287344179166276E-3</v>
      </c>
      <c r="J1067" s="10">
        <f t="shared" si="103"/>
        <v>-2.2650777767670438E-2</v>
      </c>
      <c r="K1067" s="10">
        <f t="shared" si="104"/>
        <v>1.6990909863223713E-3</v>
      </c>
      <c r="L1067" s="10">
        <f t="shared" si="105"/>
        <v>-4.0694944435748504E-3</v>
      </c>
      <c r="M1067" s="10">
        <f t="shared" si="101"/>
        <v>3.3613445378151141E-3</v>
      </c>
      <c r="N1067" s="1"/>
      <c r="O1067" s="2">
        <v>4358.1000000000004</v>
      </c>
      <c r="P1067" s="12"/>
    </row>
    <row r="1068" spans="1:16" ht="15" thickBot="1" x14ac:dyDescent="0.35">
      <c r="A1068" s="1">
        <v>44383</v>
      </c>
      <c r="B1068">
        <v>20.7</v>
      </c>
      <c r="C1068">
        <v>47.33</v>
      </c>
      <c r="D1068">
        <v>219.86</v>
      </c>
      <c r="E1068">
        <v>235.42</v>
      </c>
      <c r="F1068">
        <v>63.89</v>
      </c>
      <c r="H1068" s="10">
        <f t="shared" si="100"/>
        <v>1.024890190336758E-2</v>
      </c>
      <c r="I1068" s="10">
        <f t="shared" si="102"/>
        <v>1.0892780862879148E-2</v>
      </c>
      <c r="J1068" s="10">
        <f t="shared" si="103"/>
        <v>-2.8457799381352178E-2</v>
      </c>
      <c r="K1068" s="10">
        <f t="shared" si="104"/>
        <v>6.2403829714481329E-3</v>
      </c>
      <c r="L1068" s="10">
        <f t="shared" si="105"/>
        <v>8.3648989898990056E-3</v>
      </c>
      <c r="M1068" s="10">
        <f t="shared" si="101"/>
        <v>-2.0219194448912736E-3</v>
      </c>
      <c r="N1068" s="1"/>
      <c r="O1068" s="2">
        <v>4343.5</v>
      </c>
      <c r="P1068" s="12"/>
    </row>
    <row r="1069" spans="1:16" ht="15" thickBot="1" x14ac:dyDescent="0.35">
      <c r="A1069" s="1">
        <v>44379</v>
      </c>
      <c r="B1069">
        <v>20.49</v>
      </c>
      <c r="C1069">
        <v>46.82</v>
      </c>
      <c r="D1069">
        <v>226.3</v>
      </c>
      <c r="E1069">
        <v>233.96</v>
      </c>
      <c r="F1069">
        <v>63.36</v>
      </c>
      <c r="H1069" s="10">
        <f t="shared" si="100"/>
        <v>1.385452746165261E-2</v>
      </c>
      <c r="I1069" s="10">
        <f t="shared" si="102"/>
        <v>-2.9812606473594849E-3</v>
      </c>
      <c r="J1069" s="10">
        <f t="shared" si="103"/>
        <v>1.4603708456875086E-3</v>
      </c>
      <c r="K1069" s="10">
        <f t="shared" si="104"/>
        <v>1.2244191580495833E-2</v>
      </c>
      <c r="L1069" s="10">
        <f t="shared" si="105"/>
        <v>7.9541839007317705E-3</v>
      </c>
      <c r="M1069" s="10">
        <f t="shared" si="101"/>
        <v>7.5001736151301124E-3</v>
      </c>
      <c r="N1069" s="1"/>
      <c r="O1069" s="2">
        <v>4352.3</v>
      </c>
      <c r="P1069" s="12"/>
    </row>
    <row r="1070" spans="1:16" ht="15" thickBot="1" x14ac:dyDescent="0.35">
      <c r="A1070" s="1">
        <v>44378</v>
      </c>
      <c r="B1070">
        <v>20.21</v>
      </c>
      <c r="C1070">
        <v>46.96</v>
      </c>
      <c r="D1070">
        <v>225.97</v>
      </c>
      <c r="E1070">
        <v>231.13</v>
      </c>
      <c r="F1070">
        <v>62.86</v>
      </c>
      <c r="H1070" s="10">
        <f t="shared" si="100"/>
        <v>1.0499999999999954E-2</v>
      </c>
      <c r="I1070" s="10">
        <f t="shared" si="102"/>
        <v>-1.5100671140939603E-2</v>
      </c>
      <c r="J1070" s="10">
        <f t="shared" si="103"/>
        <v>-2.648188197907908E-3</v>
      </c>
      <c r="K1070" s="10">
        <f t="shared" si="104"/>
        <v>7.0146392471244212E-3</v>
      </c>
      <c r="L1070" s="10">
        <f t="shared" si="105"/>
        <v>-8.2044809088041015E-3</v>
      </c>
      <c r="M1070" s="10">
        <f t="shared" si="101"/>
        <v>5.2123327515996021E-3</v>
      </c>
      <c r="N1070" s="1"/>
      <c r="O1070" s="2">
        <v>4319.8999999999996</v>
      </c>
      <c r="P1070" s="12"/>
    </row>
    <row r="1071" spans="1:16" ht="15" thickBot="1" x14ac:dyDescent="0.35">
      <c r="A1071" s="1">
        <v>44377</v>
      </c>
      <c r="B1071">
        <v>20</v>
      </c>
      <c r="C1071">
        <v>47.68</v>
      </c>
      <c r="D1071">
        <v>226.57</v>
      </c>
      <c r="E1071">
        <v>229.52</v>
      </c>
      <c r="F1071">
        <v>63.38</v>
      </c>
      <c r="H1071" s="10">
        <f t="shared" si="100"/>
        <v>-1.4977533699451762E-3</v>
      </c>
      <c r="I1071" s="10">
        <f t="shared" si="102"/>
        <v>-8.382229673092878E-4</v>
      </c>
      <c r="J1071" s="10">
        <f t="shared" si="103"/>
        <v>-1.5423937951700717E-3</v>
      </c>
      <c r="K1071" s="10">
        <f t="shared" si="104"/>
        <v>6.5396520905092181E-4</v>
      </c>
      <c r="L1071" s="10">
        <f t="shared" si="105"/>
        <v>1.2783636944710741E-2</v>
      </c>
      <c r="M1071" s="10">
        <f t="shared" si="101"/>
        <v>1.3281140780092571E-3</v>
      </c>
      <c r="N1071" s="1"/>
      <c r="O1071" s="2">
        <v>4297.5</v>
      </c>
      <c r="P1071" s="12"/>
    </row>
    <row r="1072" spans="1:16" ht="15" thickBot="1" x14ac:dyDescent="0.35">
      <c r="A1072" s="1">
        <v>44376</v>
      </c>
      <c r="B1072">
        <v>20.03</v>
      </c>
      <c r="C1072">
        <v>47.72</v>
      </c>
      <c r="D1072">
        <v>226.92</v>
      </c>
      <c r="E1072">
        <v>229.37</v>
      </c>
      <c r="F1072">
        <v>62.58</v>
      </c>
      <c r="H1072" s="10">
        <f t="shared" si="100"/>
        <v>2.5025025025025016E-3</v>
      </c>
      <c r="I1072" s="10">
        <f t="shared" si="102"/>
        <v>9.3062605752960437E-3</v>
      </c>
      <c r="J1072" s="10">
        <f t="shared" si="103"/>
        <v>-1.1543320120224743E-2</v>
      </c>
      <c r="K1072" s="10">
        <f t="shared" si="104"/>
        <v>5.0389974585927089E-3</v>
      </c>
      <c r="L1072" s="10">
        <f t="shared" si="105"/>
        <v>-1.1173184357542443E-3</v>
      </c>
      <c r="M1072" s="10">
        <f t="shared" si="101"/>
        <v>2.796811634735441E-4</v>
      </c>
      <c r="N1072" s="1"/>
      <c r="O1072" s="2">
        <v>4291.8</v>
      </c>
      <c r="P1072" s="12"/>
    </row>
    <row r="1073" spans="1:16" ht="15" thickBot="1" x14ac:dyDescent="0.35">
      <c r="A1073" s="1">
        <v>44375</v>
      </c>
      <c r="B1073">
        <v>19.98</v>
      </c>
      <c r="C1073">
        <v>47.28</v>
      </c>
      <c r="D1073">
        <v>229.57</v>
      </c>
      <c r="E1073">
        <v>228.22</v>
      </c>
      <c r="F1073">
        <v>62.65</v>
      </c>
      <c r="H1073" s="10">
        <f t="shared" si="100"/>
        <v>4.9921177088807056E-2</v>
      </c>
      <c r="I1073" s="10">
        <f t="shared" si="102"/>
        <v>2.2933794893985393E-2</v>
      </c>
      <c r="J1073" s="10">
        <f t="shared" si="103"/>
        <v>2.5049115913555964E-2</v>
      </c>
      <c r="K1073" s="10">
        <f t="shared" si="104"/>
        <v>-8.6873425419163874E-3</v>
      </c>
      <c r="L1073" s="10">
        <f t="shared" si="105"/>
        <v>-4.7862156987876769E-4</v>
      </c>
      <c r="M1073" s="10">
        <f t="shared" si="101"/>
        <v>2.3127058658631849E-3</v>
      </c>
      <c r="N1073" s="1"/>
      <c r="O1073" s="2">
        <v>4290.6000000000004</v>
      </c>
      <c r="P1073" s="12"/>
    </row>
    <row r="1074" spans="1:16" ht="15" thickBot="1" x14ac:dyDescent="0.35">
      <c r="A1074" s="1">
        <v>44372</v>
      </c>
      <c r="B1074">
        <v>19.03</v>
      </c>
      <c r="C1074">
        <v>46.22</v>
      </c>
      <c r="D1074">
        <v>223.96</v>
      </c>
      <c r="E1074">
        <v>230.22</v>
      </c>
      <c r="F1074">
        <v>62.68</v>
      </c>
      <c r="H1074" s="10">
        <f t="shared" si="100"/>
        <v>-9.3701197293076799E-3</v>
      </c>
      <c r="I1074" s="10">
        <f t="shared" si="102"/>
        <v>-1.6804935120187214E-2</v>
      </c>
      <c r="J1074" s="10">
        <f t="shared" si="103"/>
        <v>-1.1694099995587126E-2</v>
      </c>
      <c r="K1074" s="10">
        <f t="shared" si="104"/>
        <v>-1.1804094947847399E-2</v>
      </c>
      <c r="L1074" s="10">
        <f t="shared" si="105"/>
        <v>6.0995184590690865E-3</v>
      </c>
      <c r="M1074" s="10">
        <f t="shared" si="101"/>
        <v>3.3282550099613673E-3</v>
      </c>
      <c r="N1074" s="1"/>
      <c r="O1074" s="2">
        <v>4280.7</v>
      </c>
      <c r="P1074" s="12"/>
    </row>
    <row r="1075" spans="1:16" ht="15" thickBot="1" x14ac:dyDescent="0.35">
      <c r="A1075" s="1">
        <v>44371</v>
      </c>
      <c r="B1075">
        <v>19.21</v>
      </c>
      <c r="C1075">
        <v>47.01</v>
      </c>
      <c r="D1075">
        <v>226.61</v>
      </c>
      <c r="E1075">
        <v>232.97</v>
      </c>
      <c r="F1075">
        <v>62.3</v>
      </c>
      <c r="H1075" s="10">
        <f t="shared" si="100"/>
        <v>7.8698845750262425E-3</v>
      </c>
      <c r="I1075" s="10">
        <f t="shared" si="102"/>
        <v>7.2851939147202671E-3</v>
      </c>
      <c r="J1075" s="10">
        <f t="shared" si="103"/>
        <v>3.5410764872521261E-2</v>
      </c>
      <c r="K1075" s="10">
        <f t="shared" si="104"/>
        <v>7.3099953938277284E-2</v>
      </c>
      <c r="L1075" s="10">
        <f t="shared" si="105"/>
        <v>-5.7452920523459738E-3</v>
      </c>
      <c r="M1075" s="10">
        <f t="shared" si="101"/>
        <v>5.8229996699514786E-3</v>
      </c>
      <c r="N1075" s="1"/>
      <c r="O1075" s="2">
        <v>4266.5</v>
      </c>
      <c r="P1075" s="12"/>
    </row>
    <row r="1076" spans="1:16" ht="15" thickBot="1" x14ac:dyDescent="0.35">
      <c r="A1076" s="1">
        <v>44370</v>
      </c>
      <c r="B1076">
        <v>19.059999999999999</v>
      </c>
      <c r="C1076">
        <v>46.67</v>
      </c>
      <c r="D1076">
        <v>218.86</v>
      </c>
      <c r="E1076">
        <v>217.1</v>
      </c>
      <c r="F1076">
        <v>62.66</v>
      </c>
      <c r="H1076" s="10">
        <f t="shared" si="100"/>
        <v>8.9994706193752272E-3</v>
      </c>
      <c r="I1076" s="10">
        <f t="shared" si="102"/>
        <v>4.7362755651236821E-3</v>
      </c>
      <c r="J1076" s="10">
        <f t="shared" si="103"/>
        <v>5.2717652717652719E-2</v>
      </c>
      <c r="K1076" s="10">
        <f t="shared" si="104"/>
        <v>-1.9598988439306408E-2</v>
      </c>
      <c r="L1076" s="10">
        <f t="shared" si="105"/>
        <v>-4.1322314049587749E-3</v>
      </c>
      <c r="M1076" s="10">
        <f t="shared" si="101"/>
        <v>-1.0832705350413141E-3</v>
      </c>
      <c r="N1076" s="1"/>
      <c r="O1076" s="2">
        <v>4241.8</v>
      </c>
      <c r="P1076" s="12"/>
    </row>
    <row r="1077" spans="1:16" ht="15" thickBot="1" x14ac:dyDescent="0.35">
      <c r="A1077" s="1">
        <v>44369</v>
      </c>
      <c r="B1077">
        <v>18.89</v>
      </c>
      <c r="C1077">
        <v>46.45</v>
      </c>
      <c r="D1077">
        <v>207.9</v>
      </c>
      <c r="E1077">
        <v>221.44</v>
      </c>
      <c r="F1077">
        <v>62.92</v>
      </c>
      <c r="H1077" s="10">
        <f t="shared" si="100"/>
        <v>2.4959305480195315E-2</v>
      </c>
      <c r="I1077" s="10">
        <f t="shared" si="102"/>
        <v>-2.1523891519581451E-4</v>
      </c>
      <c r="J1077" s="10">
        <f t="shared" si="103"/>
        <v>4.6390258045809762E-3</v>
      </c>
      <c r="K1077" s="10">
        <f t="shared" si="104"/>
        <v>-5.523869403152637E-3</v>
      </c>
      <c r="L1077" s="10">
        <f t="shared" si="105"/>
        <v>-8.0403594513637211E-3</v>
      </c>
      <c r="M1077" s="10">
        <f t="shared" si="101"/>
        <v>5.1126680552924242E-3</v>
      </c>
      <c r="N1077" s="1"/>
      <c r="O1077" s="2">
        <v>4246.3999999999996</v>
      </c>
      <c r="P1077" s="12"/>
    </row>
    <row r="1078" spans="1:16" ht="15" thickBot="1" x14ac:dyDescent="0.35">
      <c r="A1078" s="1">
        <v>44368</v>
      </c>
      <c r="B1078">
        <v>18.43</v>
      </c>
      <c r="C1078">
        <v>46.46</v>
      </c>
      <c r="D1078">
        <v>206.94</v>
      </c>
      <c r="E1078">
        <v>222.67</v>
      </c>
      <c r="F1078">
        <v>63.43</v>
      </c>
      <c r="H1078" s="10">
        <f t="shared" si="100"/>
        <v>-1.1266094420600892E-2</v>
      </c>
      <c r="I1078" s="10">
        <f t="shared" si="102"/>
        <v>2.373247033441217E-3</v>
      </c>
      <c r="J1078" s="10">
        <f t="shared" si="103"/>
        <v>-3.9948019444578931E-3</v>
      </c>
      <c r="K1078" s="10">
        <f t="shared" si="104"/>
        <v>1.8851521390985893E-2</v>
      </c>
      <c r="L1078" s="10">
        <f t="shared" si="105"/>
        <v>1.2935164484190409E-2</v>
      </c>
      <c r="M1078" s="10">
        <f t="shared" si="101"/>
        <v>1.4016897081413404E-2</v>
      </c>
      <c r="N1078" s="1"/>
      <c r="O1078" s="2">
        <v>4224.8</v>
      </c>
      <c r="P1078" s="12"/>
    </row>
    <row r="1079" spans="1:16" ht="15" thickBot="1" x14ac:dyDescent="0.35">
      <c r="A1079" s="1">
        <v>44365</v>
      </c>
      <c r="B1079">
        <v>18.64</v>
      </c>
      <c r="C1079">
        <v>46.35</v>
      </c>
      <c r="D1079">
        <v>207.77</v>
      </c>
      <c r="E1079">
        <v>218.55</v>
      </c>
      <c r="F1079">
        <v>62.62</v>
      </c>
      <c r="H1079" s="10">
        <f t="shared" si="100"/>
        <v>-1.071811361200381E-3</v>
      </c>
      <c r="I1079" s="10">
        <f t="shared" si="102"/>
        <v>-1.6341256366723123E-2</v>
      </c>
      <c r="J1079" s="10">
        <f t="shared" si="103"/>
        <v>1.0898652264876185E-2</v>
      </c>
      <c r="K1079" s="10">
        <f t="shared" si="104"/>
        <v>-1.6470905899824473E-2</v>
      </c>
      <c r="L1079" s="10">
        <f t="shared" si="105"/>
        <v>-1.6491283178891258E-2</v>
      </c>
      <c r="M1079" s="10">
        <f t="shared" si="101"/>
        <v>-1.3145740069636869E-2</v>
      </c>
      <c r="N1079" s="1"/>
      <c r="O1079" s="2">
        <v>4166.3999999999996</v>
      </c>
      <c r="P1079" s="12"/>
    </row>
    <row r="1080" spans="1:16" ht="15" thickBot="1" x14ac:dyDescent="0.35">
      <c r="A1080" s="1">
        <v>44364</v>
      </c>
      <c r="B1080">
        <v>18.66</v>
      </c>
      <c r="C1080">
        <v>47.12</v>
      </c>
      <c r="D1080">
        <v>205.53</v>
      </c>
      <c r="E1080">
        <v>222.21</v>
      </c>
      <c r="F1080">
        <v>63.67</v>
      </c>
      <c r="H1080" s="10">
        <f t="shared" si="100"/>
        <v>4.7725996631106105E-2</v>
      </c>
      <c r="I1080" s="10">
        <f t="shared" si="102"/>
        <v>1.1592958351223759E-2</v>
      </c>
      <c r="J1080" s="10">
        <f t="shared" si="103"/>
        <v>1.9392917369308593E-2</v>
      </c>
      <c r="K1080" s="10">
        <f t="shared" si="104"/>
        <v>6.5682188802320685E-3</v>
      </c>
      <c r="L1080" s="10">
        <f t="shared" si="105"/>
        <v>-6.9831994156318467E-2</v>
      </c>
      <c r="M1080" s="10">
        <f t="shared" si="101"/>
        <v>-4.2616663115280229E-4</v>
      </c>
      <c r="N1080" s="1"/>
      <c r="O1080" s="2">
        <v>4221.8999999999996</v>
      </c>
      <c r="P1080" s="12"/>
    </row>
    <row r="1081" spans="1:16" ht="15" thickBot="1" x14ac:dyDescent="0.35">
      <c r="A1081" s="1">
        <v>44363</v>
      </c>
      <c r="B1081">
        <v>17.809999999999999</v>
      </c>
      <c r="C1081">
        <v>46.58</v>
      </c>
      <c r="D1081">
        <v>201.62</v>
      </c>
      <c r="E1081">
        <v>220.76</v>
      </c>
      <c r="F1081">
        <v>68.45</v>
      </c>
      <c r="H1081" s="10">
        <f t="shared" si="100"/>
        <v>1.1242270938729426E-3</v>
      </c>
      <c r="I1081" s="10">
        <f t="shared" si="102"/>
        <v>-1.0410027618440676E-2</v>
      </c>
      <c r="J1081" s="10">
        <f t="shared" si="103"/>
        <v>9.1596175984784978E-3</v>
      </c>
      <c r="K1081" s="10">
        <f t="shared" si="104"/>
        <v>-1.23478883321404E-2</v>
      </c>
      <c r="L1081" s="10">
        <f t="shared" si="105"/>
        <v>-9.1198610306889583E-3</v>
      </c>
      <c r="M1081" s="10">
        <f t="shared" si="101"/>
        <v>-5.3925493335846841E-3</v>
      </c>
      <c r="N1081" s="1"/>
      <c r="O1081" s="2">
        <v>4223.7</v>
      </c>
      <c r="P1081" s="12"/>
    </row>
    <row r="1082" spans="1:16" ht="15" thickBot="1" x14ac:dyDescent="0.35">
      <c r="A1082" s="1">
        <v>44362</v>
      </c>
      <c r="B1082">
        <v>17.79</v>
      </c>
      <c r="C1082">
        <v>47.07</v>
      </c>
      <c r="D1082">
        <v>199.79</v>
      </c>
      <c r="E1082">
        <v>223.52</v>
      </c>
      <c r="F1082">
        <v>69.08</v>
      </c>
      <c r="H1082" s="10">
        <f t="shared" si="100"/>
        <v>-1.2763596004439548E-2</v>
      </c>
      <c r="I1082" s="10">
        <f t="shared" si="102"/>
        <v>-1.0718789407313967E-2</v>
      </c>
      <c r="J1082" s="10">
        <f t="shared" si="103"/>
        <v>-2.9674599320058337E-2</v>
      </c>
      <c r="K1082" s="10">
        <f t="shared" si="104"/>
        <v>-1.1410880141530244E-2</v>
      </c>
      <c r="L1082" s="10">
        <f t="shared" si="105"/>
        <v>-1.074036946870971E-2</v>
      </c>
      <c r="M1082" s="10">
        <f t="shared" si="101"/>
        <v>-1.9976028765481546E-3</v>
      </c>
      <c r="N1082" s="1"/>
      <c r="O1082" s="2">
        <v>4246.6000000000004</v>
      </c>
      <c r="P1082" s="12"/>
    </row>
    <row r="1083" spans="1:16" ht="15" thickBot="1" x14ac:dyDescent="0.35">
      <c r="A1083" s="1">
        <v>44361</v>
      </c>
      <c r="B1083">
        <v>18.02</v>
      </c>
      <c r="C1083">
        <v>47.58</v>
      </c>
      <c r="D1083">
        <v>205.9</v>
      </c>
      <c r="E1083">
        <v>226.1</v>
      </c>
      <c r="F1083">
        <v>69.83</v>
      </c>
      <c r="H1083" s="10">
        <f t="shared" si="100"/>
        <v>1.0656197420078506E-2</v>
      </c>
      <c r="I1083" s="10">
        <f t="shared" si="102"/>
        <v>1.0834926704907488E-2</v>
      </c>
      <c r="J1083" s="10">
        <f t="shared" si="103"/>
        <v>1.2788981800295085E-2</v>
      </c>
      <c r="K1083" s="10">
        <f t="shared" si="104"/>
        <v>8.9696104243830455E-3</v>
      </c>
      <c r="L1083" s="10">
        <f t="shared" si="105"/>
        <v>-6.8269094012232134E-3</v>
      </c>
      <c r="M1083" s="10">
        <f t="shared" si="101"/>
        <v>1.8128737580638266E-3</v>
      </c>
      <c r="N1083" s="1"/>
      <c r="O1083" s="2">
        <v>4255.1000000000004</v>
      </c>
      <c r="P1083" s="12"/>
    </row>
    <row r="1084" spans="1:16" ht="15" thickBot="1" x14ac:dyDescent="0.35">
      <c r="A1084" s="1">
        <v>44358</v>
      </c>
      <c r="B1084">
        <v>17.829999999999998</v>
      </c>
      <c r="C1084">
        <v>47.07</v>
      </c>
      <c r="D1084">
        <v>203.3</v>
      </c>
      <c r="E1084">
        <v>224.09</v>
      </c>
      <c r="F1084">
        <v>70.31</v>
      </c>
      <c r="H1084" s="10">
        <f t="shared" si="100"/>
        <v>2.2948938611589087E-2</v>
      </c>
      <c r="I1084" s="10">
        <f t="shared" si="102"/>
        <v>4.2671218263281574E-3</v>
      </c>
      <c r="J1084" s="10">
        <f t="shared" si="103"/>
        <v>-3.442002261886401E-4</v>
      </c>
      <c r="K1084" s="10">
        <f t="shared" si="104"/>
        <v>-4.0464160315149433E-2</v>
      </c>
      <c r="L1084" s="10">
        <f t="shared" si="105"/>
        <v>-1.0554461018857264E-2</v>
      </c>
      <c r="M1084" s="10">
        <f t="shared" si="101"/>
        <v>1.934327231553068E-3</v>
      </c>
      <c r="N1084" s="1"/>
      <c r="O1084" s="2">
        <v>4247.3999999999996</v>
      </c>
      <c r="P1084" s="12"/>
    </row>
    <row r="1085" spans="1:16" ht="15" thickBot="1" x14ac:dyDescent="0.35">
      <c r="A1085" s="1">
        <v>44357</v>
      </c>
      <c r="B1085">
        <v>17.43</v>
      </c>
      <c r="C1085">
        <v>46.87</v>
      </c>
      <c r="D1085">
        <v>203.37</v>
      </c>
      <c r="E1085">
        <v>233.54</v>
      </c>
      <c r="F1085">
        <v>71.06</v>
      </c>
      <c r="H1085" s="10">
        <f t="shared" si="100"/>
        <v>4.0322580645162365E-3</v>
      </c>
      <c r="I1085" s="10">
        <f t="shared" si="102"/>
        <v>1.0347057555507577E-2</v>
      </c>
      <c r="J1085" s="10">
        <f t="shared" si="103"/>
        <v>1.8938824590410297E-2</v>
      </c>
      <c r="K1085" s="10">
        <f t="shared" si="104"/>
        <v>3.3362831858406938E-2</v>
      </c>
      <c r="L1085" s="10">
        <f t="shared" si="105"/>
        <v>1.528789827118171E-2</v>
      </c>
      <c r="M1085" s="10">
        <f t="shared" si="101"/>
        <v>4.644990046449804E-3</v>
      </c>
      <c r="N1085" s="1"/>
      <c r="O1085" s="2">
        <v>4239.2</v>
      </c>
      <c r="P1085" s="12"/>
    </row>
    <row r="1086" spans="1:16" ht="15" thickBot="1" x14ac:dyDescent="0.35">
      <c r="A1086" s="1">
        <v>44356</v>
      </c>
      <c r="B1086">
        <v>17.36</v>
      </c>
      <c r="C1086">
        <v>46.39</v>
      </c>
      <c r="D1086">
        <v>199.59</v>
      </c>
      <c r="E1086">
        <v>226</v>
      </c>
      <c r="F1086">
        <v>69.989999999999995</v>
      </c>
      <c r="H1086" s="10">
        <f t="shared" si="100"/>
        <v>-5.7273768613975706E-3</v>
      </c>
      <c r="I1086" s="10">
        <f t="shared" si="102"/>
        <v>8.629989212514122E-4</v>
      </c>
      <c r="J1086" s="10">
        <f t="shared" si="103"/>
        <v>-8.0019880715704872E-3</v>
      </c>
      <c r="K1086" s="10">
        <f t="shared" si="104"/>
        <v>2.4014499320344385E-2</v>
      </c>
      <c r="L1086" s="10">
        <f t="shared" si="105"/>
        <v>8.580008580005849E-4</v>
      </c>
      <c r="M1086" s="10">
        <f t="shared" si="101"/>
        <v>-1.8214936247722413E-3</v>
      </c>
      <c r="N1086" s="1"/>
      <c r="O1086" s="2">
        <v>4219.6000000000004</v>
      </c>
      <c r="P1086" s="12"/>
    </row>
    <row r="1087" spans="1:16" ht="15" thickBot="1" x14ac:dyDescent="0.35">
      <c r="A1087" s="1">
        <v>44355</v>
      </c>
      <c r="B1087">
        <v>17.46</v>
      </c>
      <c r="C1087">
        <v>46.35</v>
      </c>
      <c r="D1087">
        <v>201.2</v>
      </c>
      <c r="E1087">
        <v>220.7</v>
      </c>
      <c r="F1087">
        <v>69.930000000000007</v>
      </c>
      <c r="H1087" s="10">
        <f t="shared" si="100"/>
        <v>-9.0805902383654935E-3</v>
      </c>
      <c r="I1087" s="10">
        <f t="shared" si="102"/>
        <v>-6.4683053040104355E-4</v>
      </c>
      <c r="J1087" s="10">
        <f t="shared" si="103"/>
        <v>-2.5283823310694453E-3</v>
      </c>
      <c r="K1087" s="10">
        <f t="shared" si="104"/>
        <v>-8.1790400862844503E-3</v>
      </c>
      <c r="L1087" s="10">
        <f t="shared" si="105"/>
        <v>-2.2094811914417534E-2</v>
      </c>
      <c r="M1087" s="10">
        <f t="shared" si="101"/>
        <v>1.8928191174727438E-4</v>
      </c>
      <c r="N1087" s="1"/>
      <c r="O1087" s="2">
        <v>4227.3</v>
      </c>
      <c r="P1087" s="12"/>
    </row>
    <row r="1088" spans="1:16" ht="15" thickBot="1" x14ac:dyDescent="0.35">
      <c r="A1088" s="1">
        <v>44354</v>
      </c>
      <c r="B1088">
        <v>17.62</v>
      </c>
      <c r="C1088">
        <v>46.38</v>
      </c>
      <c r="D1088">
        <v>201.71</v>
      </c>
      <c r="E1088">
        <v>222.52</v>
      </c>
      <c r="F1088">
        <v>71.510000000000005</v>
      </c>
      <c r="H1088" s="10">
        <f t="shared" si="100"/>
        <v>2.2753128555177415E-3</v>
      </c>
      <c r="I1088" s="10">
        <f t="shared" si="102"/>
        <v>-2.3578947368421033E-2</v>
      </c>
      <c r="J1088" s="10">
        <f t="shared" si="103"/>
        <v>1.0166266025640969E-2</v>
      </c>
      <c r="K1088" s="10">
        <f t="shared" si="104"/>
        <v>0.10147510147510141</v>
      </c>
      <c r="L1088" s="10">
        <f t="shared" si="105"/>
        <v>8.3974807557729569E-4</v>
      </c>
      <c r="M1088" s="10">
        <f t="shared" si="101"/>
        <v>-8.0380150830983155E-4</v>
      </c>
      <c r="N1088" s="1"/>
      <c r="O1088" s="2">
        <v>4226.5</v>
      </c>
      <c r="P1088" s="12"/>
    </row>
    <row r="1089" spans="1:16" ht="15" thickBot="1" x14ac:dyDescent="0.35">
      <c r="A1089" s="1">
        <v>44351</v>
      </c>
      <c r="B1089">
        <v>17.579999999999998</v>
      </c>
      <c r="C1089">
        <v>47.5</v>
      </c>
      <c r="D1089">
        <v>199.68</v>
      </c>
      <c r="E1089">
        <v>202.02</v>
      </c>
      <c r="F1089">
        <v>71.45</v>
      </c>
      <c r="H1089" s="10">
        <f t="shared" si="100"/>
        <v>3.5945786682380687E-2</v>
      </c>
      <c r="I1089" s="10">
        <f t="shared" si="102"/>
        <v>2.1944922547332268E-2</v>
      </c>
      <c r="J1089" s="10">
        <f t="shared" si="103"/>
        <v>4.5718774548311192E-2</v>
      </c>
      <c r="K1089" s="10">
        <f t="shared" si="104"/>
        <v>-3.3547113961518438E-3</v>
      </c>
      <c r="L1089" s="10">
        <f t="shared" si="105"/>
        <v>5.4883197298059017E-3</v>
      </c>
      <c r="M1089" s="10">
        <f t="shared" si="101"/>
        <v>8.8244413174651815E-3</v>
      </c>
      <c r="N1089" s="1"/>
      <c r="O1089" s="2">
        <v>4229.8999999999996</v>
      </c>
      <c r="P1089" s="12"/>
    </row>
    <row r="1090" spans="1:16" ht="15" thickBot="1" x14ac:dyDescent="0.35">
      <c r="A1090" s="1">
        <v>44350</v>
      </c>
      <c r="B1090">
        <v>16.97</v>
      </c>
      <c r="C1090">
        <v>46.48</v>
      </c>
      <c r="D1090">
        <v>190.95</v>
      </c>
      <c r="E1090">
        <v>202.7</v>
      </c>
      <c r="F1090">
        <v>71.06</v>
      </c>
      <c r="H1090" s="10">
        <f t="shared" si="100"/>
        <v>1.1323003575685275E-2</v>
      </c>
      <c r="I1090" s="10">
        <f t="shared" si="102"/>
        <v>-1.8788262613468443E-2</v>
      </c>
      <c r="J1090" s="10">
        <f t="shared" si="103"/>
        <v>-5.3343909573149717E-2</v>
      </c>
      <c r="K1090" s="10">
        <f t="shared" si="104"/>
        <v>1.7927986742329205E-2</v>
      </c>
      <c r="L1090" s="10">
        <f t="shared" si="105"/>
        <v>-2.2558459422283406E-2</v>
      </c>
      <c r="M1090" s="10">
        <f t="shared" si="101"/>
        <v>-3.6120814619425845E-3</v>
      </c>
      <c r="N1090" s="1"/>
      <c r="O1090" s="2">
        <v>4192.8999999999996</v>
      </c>
      <c r="P1090" s="12"/>
    </row>
    <row r="1091" spans="1:16" ht="15" thickBot="1" x14ac:dyDescent="0.35">
      <c r="A1091" s="1">
        <v>44349</v>
      </c>
      <c r="B1091">
        <v>16.78</v>
      </c>
      <c r="C1091">
        <v>47.37</v>
      </c>
      <c r="D1091">
        <v>201.71</v>
      </c>
      <c r="E1091">
        <v>199.13</v>
      </c>
      <c r="F1091">
        <v>72.7</v>
      </c>
      <c r="H1091" s="10">
        <f t="shared" si="100"/>
        <v>3.1980319803198043E-2</v>
      </c>
      <c r="I1091" s="10">
        <f t="shared" si="102"/>
        <v>1.1531069827033891E-2</v>
      </c>
      <c r="J1091" s="10">
        <f t="shared" si="103"/>
        <v>-3.0100495263739924E-2</v>
      </c>
      <c r="K1091" s="10">
        <f t="shared" si="104"/>
        <v>3.5782683197258525E-3</v>
      </c>
      <c r="L1091" s="10">
        <f t="shared" si="105"/>
        <v>-1.690331304935766E-2</v>
      </c>
      <c r="M1091" s="10">
        <f t="shared" si="101"/>
        <v>1.4516896715850436E-3</v>
      </c>
      <c r="N1091" s="1"/>
      <c r="O1091" s="2">
        <v>4208.1000000000004</v>
      </c>
      <c r="P1091" s="12"/>
    </row>
    <row r="1092" spans="1:16" ht="15" thickBot="1" x14ac:dyDescent="0.35">
      <c r="A1092" s="1">
        <v>44348</v>
      </c>
      <c r="B1092">
        <v>16.260000000000002</v>
      </c>
      <c r="C1092">
        <v>46.83</v>
      </c>
      <c r="D1092">
        <v>207.97</v>
      </c>
      <c r="E1092">
        <v>198.42</v>
      </c>
      <c r="F1092">
        <v>73.95</v>
      </c>
      <c r="H1092" s="10">
        <f t="shared" ref="H1092:H1155" si="106">(B1092/B1093)-1</f>
        <v>1.2315270935963074E-3</v>
      </c>
      <c r="I1092" s="10">
        <f t="shared" si="102"/>
        <v>-8.469193309337264E-3</v>
      </c>
      <c r="J1092" s="10">
        <f t="shared" si="103"/>
        <v>-2.1112230699102952E-3</v>
      </c>
      <c r="K1092" s="10">
        <f t="shared" si="104"/>
        <v>-6.6085911685191956E-3</v>
      </c>
      <c r="L1092" s="10">
        <f t="shared" si="105"/>
        <v>6.396298312465909E-3</v>
      </c>
      <c r="M1092" s="10">
        <f t="shared" ref="M1092:M1155" si="107">(O1092/O1093)-1</f>
        <v>-4.9951238077128313E-4</v>
      </c>
      <c r="N1092" s="1"/>
      <c r="O1092" s="2">
        <v>4202</v>
      </c>
      <c r="P1092" s="12"/>
    </row>
    <row r="1093" spans="1:16" ht="15" thickBot="1" x14ac:dyDescent="0.35">
      <c r="A1093" s="1">
        <v>44344</v>
      </c>
      <c r="B1093">
        <v>16.239999999999998</v>
      </c>
      <c r="C1093">
        <v>47.23</v>
      </c>
      <c r="D1093">
        <v>208.41</v>
      </c>
      <c r="E1093">
        <v>199.74</v>
      </c>
      <c r="F1093">
        <v>73.48</v>
      </c>
      <c r="H1093" s="10">
        <f t="shared" si="106"/>
        <v>4.8418334409296104E-2</v>
      </c>
      <c r="I1093" s="10">
        <f t="shared" si="102"/>
        <v>9.835364549924952E-3</v>
      </c>
      <c r="J1093" s="10">
        <f t="shared" si="103"/>
        <v>-8.8929046984972393E-3</v>
      </c>
      <c r="K1093" s="10">
        <f t="shared" si="104"/>
        <v>2.7108433734941428E-3</v>
      </c>
      <c r="L1093" s="10">
        <f t="shared" si="105"/>
        <v>5.335887262279293E-3</v>
      </c>
      <c r="M1093" s="10">
        <f t="shared" si="107"/>
        <v>7.6174153157682056E-4</v>
      </c>
      <c r="N1093" s="1"/>
      <c r="O1093" s="2">
        <v>4204.1000000000004</v>
      </c>
      <c r="P1093" s="12"/>
    </row>
    <row r="1094" spans="1:16" ht="15" thickBot="1" x14ac:dyDescent="0.35">
      <c r="A1094" s="1">
        <v>44343</v>
      </c>
      <c r="B1094">
        <v>15.49</v>
      </c>
      <c r="C1094">
        <v>46.77</v>
      </c>
      <c r="D1094">
        <v>210.28</v>
      </c>
      <c r="E1094">
        <v>199.2</v>
      </c>
      <c r="F1094">
        <v>73.09</v>
      </c>
      <c r="H1094" s="10">
        <f t="shared" si="106"/>
        <v>-1.3375796178343946E-2</v>
      </c>
      <c r="I1094" s="10">
        <f t="shared" si="102"/>
        <v>1.5635179153094647E-2</v>
      </c>
      <c r="J1094" s="10">
        <f t="shared" si="103"/>
        <v>1.8897179959298516E-2</v>
      </c>
      <c r="K1094" s="10">
        <f t="shared" si="104"/>
        <v>-8.9059157172000081E-3</v>
      </c>
      <c r="L1094" s="10">
        <f t="shared" si="105"/>
        <v>-1.3663068725234817E-3</v>
      </c>
      <c r="M1094" s="10">
        <f t="shared" si="107"/>
        <v>1.1677788369874875E-3</v>
      </c>
      <c r="N1094" s="1"/>
      <c r="O1094" s="2">
        <v>4200.8999999999996</v>
      </c>
      <c r="P1094" s="12"/>
    </row>
    <row r="1095" spans="1:16" ht="15" thickBot="1" x14ac:dyDescent="0.35">
      <c r="A1095" s="1">
        <v>44342</v>
      </c>
      <c r="B1095">
        <v>15.7</v>
      </c>
      <c r="C1095">
        <v>46.05</v>
      </c>
      <c r="D1095">
        <v>206.38</v>
      </c>
      <c r="E1095">
        <v>200.99</v>
      </c>
      <c r="F1095">
        <v>73.19</v>
      </c>
      <c r="H1095" s="10">
        <f t="shared" si="106"/>
        <v>3.1948881789136685E-3</v>
      </c>
      <c r="I1095" s="10">
        <f t="shared" si="102"/>
        <v>2.1762785636560977E-3</v>
      </c>
      <c r="J1095" s="10">
        <f t="shared" si="103"/>
        <v>2.3913474895812525E-2</v>
      </c>
      <c r="K1095" s="10">
        <f t="shared" si="104"/>
        <v>8.8846501355286378E-3</v>
      </c>
      <c r="L1095" s="10">
        <f t="shared" si="105"/>
        <v>-1.3661202185799581E-4</v>
      </c>
      <c r="M1095" s="10">
        <f t="shared" si="107"/>
        <v>1.8862968888038179E-3</v>
      </c>
      <c r="N1095" s="1"/>
      <c r="O1095" s="2">
        <v>4196</v>
      </c>
      <c r="P1095" s="12"/>
    </row>
    <row r="1096" spans="1:16" ht="15" thickBot="1" x14ac:dyDescent="0.35">
      <c r="A1096" s="1">
        <v>44341</v>
      </c>
      <c r="B1096">
        <v>15.65</v>
      </c>
      <c r="C1096">
        <v>45.95</v>
      </c>
      <c r="D1096">
        <v>201.56</v>
      </c>
      <c r="E1096">
        <v>199.22</v>
      </c>
      <c r="F1096">
        <v>73.2</v>
      </c>
      <c r="H1096" s="10">
        <f t="shared" si="106"/>
        <v>2.5624599615632349E-3</v>
      </c>
      <c r="I1096" s="10">
        <f t="shared" si="102"/>
        <v>6.5331010452962524E-4</v>
      </c>
      <c r="J1096" s="10">
        <f t="shared" si="103"/>
        <v>-2.9186247835765178E-3</v>
      </c>
      <c r="K1096" s="10">
        <f t="shared" si="104"/>
        <v>-8.9543329021988249E-3</v>
      </c>
      <c r="L1096" s="10">
        <f t="shared" si="105"/>
        <v>-1.1879049676025821E-2</v>
      </c>
      <c r="M1096" s="10">
        <f t="shared" si="107"/>
        <v>-2.1443377570227184E-3</v>
      </c>
      <c r="N1096" s="1"/>
      <c r="O1096" s="2">
        <v>4188.1000000000004</v>
      </c>
      <c r="P1096" s="12"/>
    </row>
    <row r="1097" spans="1:16" ht="15" thickBot="1" x14ac:dyDescent="0.35">
      <c r="A1097" s="1">
        <v>44340</v>
      </c>
      <c r="B1097">
        <v>15.61</v>
      </c>
      <c r="C1097">
        <v>45.92</v>
      </c>
      <c r="D1097">
        <v>202.15</v>
      </c>
      <c r="E1097">
        <v>201.02</v>
      </c>
      <c r="F1097">
        <v>74.08</v>
      </c>
      <c r="H1097" s="10">
        <f t="shared" si="106"/>
        <v>4.1360907271514202E-2</v>
      </c>
      <c r="I1097" s="10">
        <f t="shared" si="102"/>
        <v>1.7730496453900901E-2</v>
      </c>
      <c r="J1097" s="10">
        <f t="shared" si="103"/>
        <v>4.4001446056912696E-2</v>
      </c>
      <c r="K1097" s="10">
        <f t="shared" si="104"/>
        <v>5.7034220532319324E-3</v>
      </c>
      <c r="L1097" s="10">
        <f t="shared" si="105"/>
        <v>7.4799401604785931E-3</v>
      </c>
      <c r="M1097" s="10">
        <f t="shared" si="107"/>
        <v>9.913616785774515E-3</v>
      </c>
      <c r="N1097" s="1"/>
      <c r="O1097" s="2">
        <v>4197.1000000000004</v>
      </c>
      <c r="P1097" s="12"/>
    </row>
    <row r="1098" spans="1:16" ht="15" thickBot="1" x14ac:dyDescent="0.35">
      <c r="A1098" s="1">
        <v>44337</v>
      </c>
      <c r="B1098">
        <v>14.99</v>
      </c>
      <c r="C1098">
        <v>45.12</v>
      </c>
      <c r="D1098">
        <v>193.63</v>
      </c>
      <c r="E1098">
        <v>199.88</v>
      </c>
      <c r="F1098">
        <v>73.53</v>
      </c>
      <c r="H1098" s="10">
        <f t="shared" si="106"/>
        <v>2.6009582477755089E-2</v>
      </c>
      <c r="I1098" s="10">
        <f t="shared" si="102"/>
        <v>-8.3516483516483664E-3</v>
      </c>
      <c r="J1098" s="10">
        <f t="shared" si="103"/>
        <v>-1.0020962216882312E-2</v>
      </c>
      <c r="K1098" s="10">
        <f t="shared" si="104"/>
        <v>1.7541221871397727E-3</v>
      </c>
      <c r="L1098" s="10">
        <f t="shared" si="105"/>
        <v>-4.3331076506430977E-3</v>
      </c>
      <c r="M1098" s="10">
        <f t="shared" si="107"/>
        <v>-7.693972253614012E-4</v>
      </c>
      <c r="N1098" s="1"/>
      <c r="O1098" s="2">
        <v>4155.8999999999996</v>
      </c>
      <c r="P1098" s="12"/>
    </row>
    <row r="1099" spans="1:16" ht="15" thickBot="1" x14ac:dyDescent="0.35">
      <c r="A1099" s="1">
        <v>44336</v>
      </c>
      <c r="B1099">
        <v>14.61</v>
      </c>
      <c r="C1099">
        <v>45.5</v>
      </c>
      <c r="D1099">
        <v>195.59</v>
      </c>
      <c r="E1099">
        <v>199.53</v>
      </c>
      <c r="F1099">
        <v>73.849999999999994</v>
      </c>
      <c r="H1099" s="10">
        <f t="shared" si="106"/>
        <v>3.8379530916844207E-2</v>
      </c>
      <c r="I1099" s="10">
        <f t="shared" si="102"/>
        <v>3.0110935023771823E-2</v>
      </c>
      <c r="J1099" s="10">
        <f t="shared" si="103"/>
        <v>4.1369396230433342E-2</v>
      </c>
      <c r="K1099" s="10">
        <f t="shared" si="104"/>
        <v>1.5368174647600652E-2</v>
      </c>
      <c r="L1099" s="10">
        <f t="shared" si="105"/>
        <v>2.579418951941248E-3</v>
      </c>
      <c r="M1099" s="10">
        <f t="shared" si="107"/>
        <v>1.0544986272080115E-2</v>
      </c>
      <c r="N1099" s="1"/>
      <c r="O1099" s="2">
        <v>4159.1000000000004</v>
      </c>
      <c r="P1099" s="12"/>
    </row>
    <row r="1100" spans="1:16" ht="15" thickBot="1" x14ac:dyDescent="0.35">
      <c r="A1100" s="1">
        <v>44335</v>
      </c>
      <c r="B1100">
        <v>14.07</v>
      </c>
      <c r="C1100">
        <v>44.17</v>
      </c>
      <c r="D1100">
        <v>187.82</v>
      </c>
      <c r="E1100">
        <v>196.51</v>
      </c>
      <c r="F1100">
        <v>73.66</v>
      </c>
      <c r="H1100" s="10">
        <f t="shared" si="106"/>
        <v>3.566333808844524E-3</v>
      </c>
      <c r="I1100" s="10">
        <f t="shared" si="102"/>
        <v>1.8445930366612906E-2</v>
      </c>
      <c r="J1100" s="10">
        <f t="shared" si="103"/>
        <v>-2.4919530682172231E-2</v>
      </c>
      <c r="K1100" s="10">
        <f t="shared" si="104"/>
        <v>9.659353645378399E-3</v>
      </c>
      <c r="L1100" s="10">
        <f t="shared" si="105"/>
        <v>-9.6800215111588761E-3</v>
      </c>
      <c r="M1100" s="10">
        <f t="shared" si="107"/>
        <v>-2.9313435728476334E-3</v>
      </c>
      <c r="N1100" s="1"/>
      <c r="O1100" s="2">
        <v>4115.7</v>
      </c>
      <c r="P1100" s="12"/>
    </row>
    <row r="1101" spans="1:16" ht="15" thickBot="1" x14ac:dyDescent="0.35">
      <c r="A1101" s="1">
        <v>44334</v>
      </c>
      <c r="B1101">
        <v>14.02</v>
      </c>
      <c r="C1101">
        <v>43.37</v>
      </c>
      <c r="D1101">
        <v>192.62</v>
      </c>
      <c r="E1101">
        <v>194.63</v>
      </c>
      <c r="F1101">
        <v>74.38</v>
      </c>
      <c r="H1101" s="10">
        <f t="shared" si="106"/>
        <v>-1.0585744530698715E-2</v>
      </c>
      <c r="I1101" s="10">
        <f t="shared" si="102"/>
        <v>-1.409411229824975E-2</v>
      </c>
      <c r="J1101" s="10">
        <f t="shared" si="103"/>
        <v>1.7682546286665879E-3</v>
      </c>
      <c r="K1101" s="10">
        <f t="shared" si="104"/>
        <v>-4.6028742392472122E-3</v>
      </c>
      <c r="L1101" s="10">
        <f t="shared" si="105"/>
        <v>5.1351351351349717E-3</v>
      </c>
      <c r="M1101" s="10">
        <f t="shared" si="107"/>
        <v>-8.5268897268993005E-3</v>
      </c>
      <c r="N1101" s="1"/>
      <c r="O1101" s="2">
        <v>4127.8</v>
      </c>
      <c r="P1101" s="12"/>
    </row>
    <row r="1102" spans="1:16" ht="15" thickBot="1" x14ac:dyDescent="0.35">
      <c r="A1102" s="1">
        <v>44333</v>
      </c>
      <c r="B1102">
        <v>14.17</v>
      </c>
      <c r="C1102">
        <v>43.99</v>
      </c>
      <c r="D1102">
        <v>192.28</v>
      </c>
      <c r="E1102">
        <v>195.53</v>
      </c>
      <c r="F1102">
        <v>74</v>
      </c>
      <c r="H1102" s="10">
        <f t="shared" si="106"/>
        <v>-4.9157303370787053E-3</v>
      </c>
      <c r="I1102" s="10">
        <f t="shared" si="102"/>
        <v>-3.8496376811593125E-3</v>
      </c>
      <c r="J1102" s="10">
        <f t="shared" si="103"/>
        <v>-2.1874046189846452E-2</v>
      </c>
      <c r="K1102" s="10">
        <f t="shared" si="104"/>
        <v>-3.4656745323887739E-3</v>
      </c>
      <c r="L1102" s="10">
        <f t="shared" si="105"/>
        <v>4.5936395759717419E-2</v>
      </c>
      <c r="M1102" s="10">
        <f t="shared" si="107"/>
        <v>-2.5395912695559408E-3</v>
      </c>
      <c r="N1102" s="1"/>
      <c r="O1102" s="2">
        <v>4163.3</v>
      </c>
      <c r="P1102" s="12"/>
    </row>
    <row r="1103" spans="1:16" ht="15" thickBot="1" x14ac:dyDescent="0.35">
      <c r="A1103" s="1">
        <v>44330</v>
      </c>
      <c r="B1103">
        <v>14.24</v>
      </c>
      <c r="C1103">
        <v>44.16</v>
      </c>
      <c r="D1103">
        <v>196.58</v>
      </c>
      <c r="E1103">
        <v>196.21</v>
      </c>
      <c r="F1103">
        <v>70.75</v>
      </c>
      <c r="H1103" s="10">
        <f t="shared" si="106"/>
        <v>4.169714703730798E-2</v>
      </c>
      <c r="I1103" s="10">
        <f t="shared" si="102"/>
        <v>2.5545750116116928E-2</v>
      </c>
      <c r="J1103" s="10">
        <f t="shared" si="103"/>
        <v>3.1591099916036924E-2</v>
      </c>
      <c r="K1103" s="10">
        <f t="shared" si="104"/>
        <v>6.5148250743818359E-3</v>
      </c>
      <c r="L1103" s="10">
        <f t="shared" si="105"/>
        <v>2.6552524666279664E-2</v>
      </c>
      <c r="M1103" s="10">
        <f t="shared" si="107"/>
        <v>1.4930091185410221E-2</v>
      </c>
      <c r="N1103" s="1"/>
      <c r="O1103" s="2">
        <v>4173.8999999999996</v>
      </c>
      <c r="P1103" s="12"/>
    </row>
    <row r="1104" spans="1:16" ht="15" thickBot="1" x14ac:dyDescent="0.35">
      <c r="A1104" s="1">
        <v>44329</v>
      </c>
      <c r="B1104">
        <v>13.67</v>
      </c>
      <c r="C1104">
        <v>43.06</v>
      </c>
      <c r="D1104">
        <v>190.56</v>
      </c>
      <c r="E1104">
        <v>194.94</v>
      </c>
      <c r="F1104">
        <v>68.92</v>
      </c>
      <c r="H1104" s="10">
        <f t="shared" si="106"/>
        <v>-6.5406976744185608E-3</v>
      </c>
      <c r="I1104" s="10">
        <f t="shared" si="102"/>
        <v>1.9412878787878896E-2</v>
      </c>
      <c r="J1104" s="10">
        <f t="shared" si="103"/>
        <v>-3.08701622336367E-2</v>
      </c>
      <c r="K1104" s="10">
        <f t="shared" si="104"/>
        <v>9.0062111801243461E-3</v>
      </c>
      <c r="L1104" s="10">
        <f t="shared" si="105"/>
        <v>1.5620394930739856E-2</v>
      </c>
      <c r="M1104" s="10">
        <f t="shared" si="107"/>
        <v>1.2183115924193855E-2</v>
      </c>
      <c r="N1104" s="1"/>
      <c r="O1104" s="2">
        <v>4112.5</v>
      </c>
      <c r="P1104" s="12"/>
    </row>
    <row r="1105" spans="1:16" ht="15" thickBot="1" x14ac:dyDescent="0.35">
      <c r="A1105" s="1">
        <v>44328</v>
      </c>
      <c r="B1105">
        <v>13.76</v>
      </c>
      <c r="C1105">
        <v>42.24</v>
      </c>
      <c r="D1105">
        <v>196.63</v>
      </c>
      <c r="E1105">
        <v>193.2</v>
      </c>
      <c r="F1105">
        <v>67.86</v>
      </c>
      <c r="H1105" s="10">
        <f t="shared" si="106"/>
        <v>-3.8434661076170551E-2</v>
      </c>
      <c r="I1105" s="10">
        <f t="shared" si="102"/>
        <v>-4.0218132242672011E-2</v>
      </c>
      <c r="J1105" s="10">
        <f t="shared" si="103"/>
        <v>-4.4232732221844095E-2</v>
      </c>
      <c r="K1105" s="10">
        <f t="shared" si="104"/>
        <v>-7.9589216944802033E-3</v>
      </c>
      <c r="L1105" s="10">
        <f t="shared" si="105"/>
        <v>-1.3375981389939007E-2</v>
      </c>
      <c r="M1105" s="10">
        <f t="shared" si="107"/>
        <v>-2.145902073649486E-2</v>
      </c>
      <c r="N1105" s="1"/>
      <c r="O1105" s="2">
        <v>4063</v>
      </c>
      <c r="P1105" s="12"/>
    </row>
    <row r="1106" spans="1:16" ht="15" thickBot="1" x14ac:dyDescent="0.35">
      <c r="A1106" s="1">
        <v>44327</v>
      </c>
      <c r="B1106">
        <v>14.31</v>
      </c>
      <c r="C1106">
        <v>44.01</v>
      </c>
      <c r="D1106">
        <v>205.73</v>
      </c>
      <c r="E1106">
        <v>194.75</v>
      </c>
      <c r="F1106">
        <v>68.78</v>
      </c>
      <c r="H1106" s="10">
        <f t="shared" si="106"/>
        <v>2.803083391730965E-3</v>
      </c>
      <c r="I1106" s="10">
        <f t="shared" si="102"/>
        <v>9.1722082091263424E-3</v>
      </c>
      <c r="J1106" s="10">
        <f t="shared" si="103"/>
        <v>-1.8838229683327046E-2</v>
      </c>
      <c r="K1106" s="10">
        <f t="shared" si="104"/>
        <v>-5.1345245430267639E-5</v>
      </c>
      <c r="L1106" s="10">
        <f t="shared" si="105"/>
        <v>6.2911485003658285E-3</v>
      </c>
      <c r="M1106" s="10">
        <f t="shared" si="107"/>
        <v>-8.6667940024828249E-3</v>
      </c>
      <c r="N1106" s="1"/>
      <c r="O1106" s="2">
        <v>4152.1000000000004</v>
      </c>
      <c r="P1106" s="12"/>
    </row>
    <row r="1107" spans="1:16" ht="15" thickBot="1" x14ac:dyDescent="0.35">
      <c r="A1107" s="1">
        <v>44326</v>
      </c>
      <c r="B1107">
        <v>14.27</v>
      </c>
      <c r="C1107">
        <v>43.61</v>
      </c>
      <c r="D1107">
        <v>209.68</v>
      </c>
      <c r="E1107">
        <v>194.76</v>
      </c>
      <c r="F1107">
        <v>68.349999999999994</v>
      </c>
      <c r="H1107" s="10">
        <f t="shared" si="106"/>
        <v>-3.6461850101283E-2</v>
      </c>
      <c r="I1107" s="10">
        <f t="shared" ref="I1107:I1170" si="108">(C1107/C1108)-1</f>
        <v>-3.6456031816173184E-2</v>
      </c>
      <c r="J1107" s="10">
        <f t="shared" ref="J1107:J1170" si="109">(D1107/D1108)-1</f>
        <v>-6.4429769766196632E-2</v>
      </c>
      <c r="K1107" s="10">
        <f t="shared" ref="K1107:K1170" si="110">(E1107/E1108)-1</f>
        <v>-3.37734111145227E-3</v>
      </c>
      <c r="L1107" s="10">
        <f t="shared" ref="L1107:L1170" si="111">(F1107/F1108)-1</f>
        <v>1.5149264815089714E-2</v>
      </c>
      <c r="M1107" s="10">
        <f t="shared" si="107"/>
        <v>-1.0442753862874077E-2</v>
      </c>
      <c r="N1107" s="1"/>
      <c r="O1107" s="2">
        <v>4188.3999999999996</v>
      </c>
      <c r="P1107" s="12"/>
    </row>
    <row r="1108" spans="1:16" ht="15" thickBot="1" x14ac:dyDescent="0.35">
      <c r="A1108" s="1">
        <v>44323</v>
      </c>
      <c r="B1108">
        <v>14.81</v>
      </c>
      <c r="C1108">
        <v>45.26</v>
      </c>
      <c r="D1108">
        <v>224.12</v>
      </c>
      <c r="E1108">
        <v>195.42</v>
      </c>
      <c r="F1108">
        <v>67.33</v>
      </c>
      <c r="H1108" s="10">
        <f t="shared" si="106"/>
        <v>1.9972451790633672E-2</v>
      </c>
      <c r="I1108" s="10">
        <f t="shared" si="108"/>
        <v>8.9166295140437057E-3</v>
      </c>
      <c r="J1108" s="10">
        <f t="shared" si="109"/>
        <v>1.3292341079663705E-2</v>
      </c>
      <c r="K1108" s="10">
        <f t="shared" si="110"/>
        <v>7.8910722574656589E-3</v>
      </c>
      <c r="L1108" s="10">
        <f t="shared" si="111"/>
        <v>6.5779638211989067E-3</v>
      </c>
      <c r="M1108" s="10">
        <f t="shared" si="107"/>
        <v>7.3781416603198036E-3</v>
      </c>
      <c r="N1108" s="1"/>
      <c r="O1108" s="2">
        <v>4232.6000000000004</v>
      </c>
      <c r="P1108" s="12"/>
    </row>
    <row r="1109" spans="1:16" ht="15" thickBot="1" x14ac:dyDescent="0.35">
      <c r="A1109" s="1">
        <v>44322</v>
      </c>
      <c r="B1109">
        <v>14.52</v>
      </c>
      <c r="C1109">
        <v>44.86</v>
      </c>
      <c r="D1109">
        <v>221.18</v>
      </c>
      <c r="E1109">
        <v>193.89</v>
      </c>
      <c r="F1109">
        <v>66.89</v>
      </c>
      <c r="H1109" s="10">
        <f t="shared" si="106"/>
        <v>4.1493775933609811E-3</v>
      </c>
      <c r="I1109" s="10">
        <f t="shared" si="108"/>
        <v>1.0815682739972798E-2</v>
      </c>
      <c r="J1109" s="10">
        <f t="shared" si="109"/>
        <v>-1.1044042029957568E-2</v>
      </c>
      <c r="K1109" s="10">
        <f t="shared" si="110"/>
        <v>5.6013692235878931E-3</v>
      </c>
      <c r="L1109" s="10">
        <f t="shared" si="111"/>
        <v>3.1616286243059788E-2</v>
      </c>
      <c r="M1109" s="10">
        <f t="shared" si="107"/>
        <v>8.1581725693444795E-3</v>
      </c>
      <c r="N1109" s="1"/>
      <c r="O1109" s="2">
        <v>4201.6000000000004</v>
      </c>
      <c r="P1109" s="12"/>
    </row>
    <row r="1110" spans="1:16" ht="15" thickBot="1" x14ac:dyDescent="0.35">
      <c r="A1110" s="1">
        <v>44321</v>
      </c>
      <c r="B1110">
        <v>14.46</v>
      </c>
      <c r="C1110">
        <v>44.38</v>
      </c>
      <c r="D1110">
        <v>223.65</v>
      </c>
      <c r="E1110">
        <v>192.81</v>
      </c>
      <c r="F1110">
        <v>64.84</v>
      </c>
      <c r="H1110" s="10">
        <f t="shared" si="106"/>
        <v>7.6655052264809065E-3</v>
      </c>
      <c r="I1110" s="10">
        <f t="shared" si="108"/>
        <v>-1.5748031496063408E-3</v>
      </c>
      <c r="J1110" s="10">
        <f t="shared" si="109"/>
        <v>-3.9192980893422158E-3</v>
      </c>
      <c r="K1110" s="10">
        <f t="shared" si="110"/>
        <v>2.4495217853347517E-2</v>
      </c>
      <c r="L1110" s="10">
        <f t="shared" si="111"/>
        <v>1.2808497344579894E-2</v>
      </c>
      <c r="M1110" s="10">
        <f t="shared" si="107"/>
        <v>6.9632866713109642E-4</v>
      </c>
      <c r="N1110" s="1"/>
      <c r="O1110" s="2">
        <v>4167.6000000000004</v>
      </c>
      <c r="P1110" s="12"/>
    </row>
    <row r="1111" spans="1:16" ht="15" thickBot="1" x14ac:dyDescent="0.35">
      <c r="A1111" s="1">
        <v>44320</v>
      </c>
      <c r="B1111">
        <v>14.35</v>
      </c>
      <c r="C1111">
        <v>44.45</v>
      </c>
      <c r="D1111">
        <v>224.53</v>
      </c>
      <c r="E1111">
        <v>188.2</v>
      </c>
      <c r="F1111">
        <v>64.02</v>
      </c>
      <c r="H1111" s="10">
        <f t="shared" si="106"/>
        <v>-3.301886792452835E-2</v>
      </c>
      <c r="I1111" s="10">
        <f t="shared" si="108"/>
        <v>-1.2441679626749469E-2</v>
      </c>
      <c r="J1111" s="10">
        <f t="shared" si="109"/>
        <v>-1.6513359614542367E-2</v>
      </c>
      <c r="K1111" s="10">
        <f t="shared" si="110"/>
        <v>1.226333907056798E-2</v>
      </c>
      <c r="L1111" s="10">
        <f t="shared" si="111"/>
        <v>-6.8259385665528916E-3</v>
      </c>
      <c r="M1111" s="10">
        <f t="shared" si="107"/>
        <v>-6.6782741431535841E-3</v>
      </c>
      <c r="N1111" s="1"/>
      <c r="O1111" s="2">
        <v>4164.7</v>
      </c>
      <c r="P1111" s="12"/>
    </row>
    <row r="1112" spans="1:16" ht="15" thickBot="1" x14ac:dyDescent="0.35">
      <c r="A1112" s="1">
        <v>44319</v>
      </c>
      <c r="B1112">
        <v>14.84</v>
      </c>
      <c r="C1112">
        <v>45.01</v>
      </c>
      <c r="D1112">
        <v>228.3</v>
      </c>
      <c r="E1112">
        <v>185.92</v>
      </c>
      <c r="F1112">
        <v>64.459999999999994</v>
      </c>
      <c r="H1112" s="10">
        <f t="shared" si="106"/>
        <v>-1.1325782811459018E-2</v>
      </c>
      <c r="I1112" s="10">
        <f t="shared" si="108"/>
        <v>-1.33713283647523E-2</v>
      </c>
      <c r="J1112" s="10">
        <f t="shared" si="109"/>
        <v>-3.4590663058186699E-2</v>
      </c>
      <c r="K1112" s="10">
        <f t="shared" si="110"/>
        <v>1.7234775947912562E-2</v>
      </c>
      <c r="L1112" s="10">
        <f t="shared" si="111"/>
        <v>3.2847300112161415E-2</v>
      </c>
      <c r="M1112" s="10">
        <f t="shared" si="107"/>
        <v>2.7504065818424461E-3</v>
      </c>
      <c r="N1112" s="1"/>
      <c r="O1112" s="2">
        <v>4192.7</v>
      </c>
      <c r="P1112" s="12"/>
    </row>
    <row r="1113" spans="1:16" ht="15" thickBot="1" x14ac:dyDescent="0.35">
      <c r="A1113" s="1">
        <v>44316</v>
      </c>
      <c r="B1113">
        <v>15.01</v>
      </c>
      <c r="C1113">
        <v>45.62</v>
      </c>
      <c r="D1113">
        <v>236.48</v>
      </c>
      <c r="E1113">
        <v>182.77</v>
      </c>
      <c r="F1113">
        <v>62.41</v>
      </c>
      <c r="H1113" s="10">
        <f t="shared" si="106"/>
        <v>-2.0234986945169786E-2</v>
      </c>
      <c r="I1113" s="10">
        <f t="shared" si="108"/>
        <v>-2.1659875616556024E-2</v>
      </c>
      <c r="J1113" s="10">
        <f t="shared" si="109"/>
        <v>4.7901803518411779E-2</v>
      </c>
      <c r="K1113" s="10">
        <f t="shared" si="110"/>
        <v>3.12843029637766E-3</v>
      </c>
      <c r="L1113" s="10">
        <f t="shared" si="111"/>
        <v>1.60487883164806E-3</v>
      </c>
      <c r="M1113" s="10">
        <f t="shared" si="107"/>
        <v>-7.194586251929258E-3</v>
      </c>
      <c r="N1113" s="1"/>
      <c r="O1113" s="2">
        <v>4181.2</v>
      </c>
      <c r="P1113" s="12"/>
    </row>
    <row r="1114" spans="1:16" ht="15" thickBot="1" x14ac:dyDescent="0.35">
      <c r="A1114" s="1">
        <v>44315</v>
      </c>
      <c r="B1114">
        <v>15.32</v>
      </c>
      <c r="C1114">
        <v>46.63</v>
      </c>
      <c r="D1114">
        <v>225.67</v>
      </c>
      <c r="E1114">
        <v>182.2</v>
      </c>
      <c r="F1114">
        <v>62.31</v>
      </c>
      <c r="H1114" s="10">
        <f t="shared" si="106"/>
        <v>2.6178010471205049E-3</v>
      </c>
      <c r="I1114" s="10">
        <f t="shared" si="108"/>
        <v>1.5461672473867649E-2</v>
      </c>
      <c r="J1114" s="10">
        <f t="shared" si="109"/>
        <v>-2.5057242839244931E-2</v>
      </c>
      <c r="K1114" s="10">
        <f t="shared" si="110"/>
        <v>9.1387427305453794E-3</v>
      </c>
      <c r="L1114" s="10">
        <f t="shared" si="111"/>
        <v>-2.9439252336448618E-2</v>
      </c>
      <c r="M1114" s="10">
        <f t="shared" si="107"/>
        <v>6.7651558615413609E-3</v>
      </c>
      <c r="N1114" s="1"/>
      <c r="O1114" s="2">
        <v>4211.5</v>
      </c>
      <c r="P1114" s="12"/>
    </row>
    <row r="1115" spans="1:16" ht="15" thickBot="1" x14ac:dyDescent="0.35">
      <c r="A1115" s="1">
        <v>44314</v>
      </c>
      <c r="B1115">
        <v>15.28</v>
      </c>
      <c r="C1115">
        <v>45.92</v>
      </c>
      <c r="D1115">
        <v>231.47</v>
      </c>
      <c r="E1115">
        <v>180.55</v>
      </c>
      <c r="F1115">
        <v>64.2</v>
      </c>
      <c r="H1115" s="10">
        <f t="shared" si="106"/>
        <v>-6.5019505851756643E-3</v>
      </c>
      <c r="I1115" s="10">
        <f t="shared" si="108"/>
        <v>-1.5226249195796737E-2</v>
      </c>
      <c r="J1115" s="10">
        <f t="shared" si="109"/>
        <v>-1.4643906176833643E-2</v>
      </c>
      <c r="K1115" s="10">
        <f t="shared" si="110"/>
        <v>-9.1103671587727808E-3</v>
      </c>
      <c r="L1115" s="10">
        <f t="shared" si="111"/>
        <v>-1.5573898146692411E-4</v>
      </c>
      <c r="M1115" s="10">
        <f t="shared" si="107"/>
        <v>-8.3598060524991968E-4</v>
      </c>
      <c r="N1115" s="1"/>
      <c r="O1115" s="2">
        <v>4183.2</v>
      </c>
      <c r="P1115" s="12"/>
    </row>
    <row r="1116" spans="1:16" ht="15" thickBot="1" x14ac:dyDescent="0.35">
      <c r="A1116" s="1">
        <v>44313</v>
      </c>
      <c r="B1116">
        <v>15.38</v>
      </c>
      <c r="C1116">
        <v>46.63</v>
      </c>
      <c r="D1116">
        <v>234.91</v>
      </c>
      <c r="E1116">
        <v>182.21</v>
      </c>
      <c r="F1116">
        <v>64.209999999999994</v>
      </c>
      <c r="H1116" s="10">
        <f t="shared" si="106"/>
        <v>-6.4599483204134112E-3</v>
      </c>
      <c r="I1116" s="10">
        <f t="shared" si="108"/>
        <v>-1.186692095782993E-2</v>
      </c>
      <c r="J1116" s="10">
        <f t="shared" si="109"/>
        <v>-4.5352948348031052E-2</v>
      </c>
      <c r="K1116" s="10">
        <f t="shared" si="110"/>
        <v>-2.675996154257021E-2</v>
      </c>
      <c r="L1116" s="10">
        <f t="shared" si="111"/>
        <v>-1.63909313725491E-2</v>
      </c>
      <c r="M1116" s="10">
        <f t="shared" si="107"/>
        <v>-2.1492024071079197E-4</v>
      </c>
      <c r="N1116" s="1"/>
      <c r="O1116" s="2">
        <v>4186.7</v>
      </c>
      <c r="P1116" s="12"/>
    </row>
    <row r="1117" spans="1:16" ht="15" thickBot="1" x14ac:dyDescent="0.35">
      <c r="A1117" s="1">
        <v>44312</v>
      </c>
      <c r="B1117">
        <v>15.48</v>
      </c>
      <c r="C1117">
        <v>47.19</v>
      </c>
      <c r="D1117">
        <v>246.07</v>
      </c>
      <c r="E1117">
        <v>187.22</v>
      </c>
      <c r="F1117">
        <v>65.28</v>
      </c>
      <c r="H1117" s="10">
        <f t="shared" si="106"/>
        <v>1.3752455795677854E-2</v>
      </c>
      <c r="I1117" s="10">
        <f t="shared" si="108"/>
        <v>1.2443681613387714E-2</v>
      </c>
      <c r="J1117" s="10">
        <f t="shared" si="109"/>
        <v>1.2092296302389727E-2</v>
      </c>
      <c r="K1117" s="10">
        <f t="shared" si="110"/>
        <v>-7.9482831708350687E-3</v>
      </c>
      <c r="L1117" s="10">
        <f t="shared" si="111"/>
        <v>-6.6950699939135605E-3</v>
      </c>
      <c r="M1117" s="10">
        <f t="shared" si="107"/>
        <v>1.7702502272620713E-3</v>
      </c>
      <c r="N1117" s="1"/>
      <c r="O1117" s="2">
        <v>4187.6000000000004</v>
      </c>
      <c r="P1117" s="12"/>
    </row>
    <row r="1118" spans="1:16" ht="15" thickBot="1" x14ac:dyDescent="0.35">
      <c r="A1118" s="1">
        <v>44309</v>
      </c>
      <c r="B1118">
        <v>15.27</v>
      </c>
      <c r="C1118">
        <v>46.61</v>
      </c>
      <c r="D1118">
        <v>243.13</v>
      </c>
      <c r="E1118">
        <v>188.72</v>
      </c>
      <c r="F1118">
        <v>65.72</v>
      </c>
      <c r="H1118" s="10">
        <f t="shared" si="106"/>
        <v>2.8282828282828243E-2</v>
      </c>
      <c r="I1118" s="10">
        <f t="shared" si="108"/>
        <v>2.4170511975390108E-2</v>
      </c>
      <c r="J1118" s="10">
        <f t="shared" si="109"/>
        <v>1.3463943309712345E-2</v>
      </c>
      <c r="K1118" s="10">
        <f t="shared" si="110"/>
        <v>8.9280940924885144E-3</v>
      </c>
      <c r="L1118" s="10">
        <f t="shared" si="111"/>
        <v>3.0441400304415112E-4</v>
      </c>
      <c r="M1118" s="10">
        <f t="shared" si="107"/>
        <v>1.0931076178960053E-2</v>
      </c>
      <c r="N1118" s="1"/>
      <c r="O1118" s="2">
        <v>4180.2</v>
      </c>
      <c r="P1118" s="12"/>
    </row>
    <row r="1119" spans="1:16" ht="15" thickBot="1" x14ac:dyDescent="0.35">
      <c r="A1119" s="1">
        <v>44308</v>
      </c>
      <c r="B1119">
        <v>14.85</v>
      </c>
      <c r="C1119">
        <v>45.51</v>
      </c>
      <c r="D1119">
        <v>239.9</v>
      </c>
      <c r="E1119">
        <v>187.05</v>
      </c>
      <c r="F1119">
        <v>65.7</v>
      </c>
      <c r="H1119" s="10">
        <f t="shared" si="106"/>
        <v>-3.3203125E-2</v>
      </c>
      <c r="I1119" s="10">
        <f t="shared" si="108"/>
        <v>-1.0221835580687233E-2</v>
      </c>
      <c r="J1119" s="10">
        <f t="shared" si="109"/>
        <v>-3.2817287534268602E-2</v>
      </c>
      <c r="K1119" s="10">
        <f t="shared" si="110"/>
        <v>-2.042419481539659E-2</v>
      </c>
      <c r="L1119" s="10">
        <f t="shared" si="111"/>
        <v>-1.6761448668063283E-2</v>
      </c>
      <c r="M1119" s="10">
        <f t="shared" si="107"/>
        <v>-9.2011309723486479E-3</v>
      </c>
      <c r="N1119" s="1"/>
      <c r="O1119" s="2">
        <v>4135</v>
      </c>
      <c r="P1119" s="12"/>
    </row>
    <row r="1120" spans="1:16" ht="15" thickBot="1" x14ac:dyDescent="0.35">
      <c r="A1120" s="1">
        <v>44307</v>
      </c>
      <c r="B1120">
        <v>15.36</v>
      </c>
      <c r="C1120">
        <v>45.98</v>
      </c>
      <c r="D1120">
        <v>248.04</v>
      </c>
      <c r="E1120">
        <v>190.95</v>
      </c>
      <c r="F1120">
        <v>66.819999999999993</v>
      </c>
      <c r="H1120" s="10">
        <f t="shared" si="106"/>
        <v>1.2524719841793042E-2</v>
      </c>
      <c r="I1120" s="10">
        <f t="shared" si="108"/>
        <v>5.4668707631750912E-3</v>
      </c>
      <c r="J1120" s="10">
        <f t="shared" si="109"/>
        <v>3.4966202119669498E-2</v>
      </c>
      <c r="K1120" s="10">
        <f t="shared" si="110"/>
        <v>1.7837469177901522E-3</v>
      </c>
      <c r="L1120" s="10">
        <f t="shared" si="111"/>
        <v>1.4884568651275742E-2</v>
      </c>
      <c r="M1120" s="10">
        <f t="shared" si="107"/>
        <v>9.3109869646181842E-3</v>
      </c>
      <c r="N1120" s="1"/>
      <c r="O1120" s="2">
        <v>4173.3999999999996</v>
      </c>
      <c r="P1120" s="12"/>
    </row>
    <row r="1121" spans="1:16" ht="15" thickBot="1" x14ac:dyDescent="0.35">
      <c r="A1121" s="1">
        <v>44306</v>
      </c>
      <c r="B1121">
        <v>15.17</v>
      </c>
      <c r="C1121">
        <v>45.73</v>
      </c>
      <c r="D1121">
        <v>239.66</v>
      </c>
      <c r="E1121">
        <v>190.61</v>
      </c>
      <c r="F1121">
        <v>65.84</v>
      </c>
      <c r="H1121" s="10">
        <f t="shared" si="106"/>
        <v>-1.236979166666663E-2</v>
      </c>
      <c r="I1121" s="10">
        <f t="shared" si="108"/>
        <v>-1.0173160173160278E-2</v>
      </c>
      <c r="J1121" s="10">
        <f t="shared" si="109"/>
        <v>6.0870660341714178E-3</v>
      </c>
      <c r="K1121" s="10">
        <f t="shared" si="110"/>
        <v>5.1149546509177135E-3</v>
      </c>
      <c r="L1121" s="10">
        <f t="shared" si="111"/>
        <v>1.5265998457980157E-2</v>
      </c>
      <c r="M1121" s="10">
        <f t="shared" si="107"/>
        <v>-6.8215117815195736E-3</v>
      </c>
      <c r="N1121" s="1"/>
      <c r="O1121" s="2">
        <v>4134.8999999999996</v>
      </c>
      <c r="P1121" s="12"/>
    </row>
    <row r="1122" spans="1:16" ht="15" thickBot="1" x14ac:dyDescent="0.35">
      <c r="A1122" s="1">
        <v>44305</v>
      </c>
      <c r="B1122">
        <v>15.36</v>
      </c>
      <c r="C1122">
        <v>46.2</v>
      </c>
      <c r="D1122">
        <v>238.21</v>
      </c>
      <c r="E1122">
        <v>189.64</v>
      </c>
      <c r="F1122">
        <v>64.849999999999994</v>
      </c>
      <c r="H1122" s="10">
        <f t="shared" si="106"/>
        <v>-3.4569453174104425E-2</v>
      </c>
      <c r="I1122" s="10">
        <f t="shared" si="108"/>
        <v>-3.5087719298245612E-2</v>
      </c>
      <c r="J1122" s="10">
        <f t="shared" si="109"/>
        <v>-3.3983535423172007E-2</v>
      </c>
      <c r="K1122" s="10">
        <f t="shared" si="110"/>
        <v>2.0607661822984458E-3</v>
      </c>
      <c r="L1122" s="10">
        <f t="shared" si="111"/>
        <v>-8.5613820516741157E-3</v>
      </c>
      <c r="M1122" s="10">
        <f t="shared" si="107"/>
        <v>-5.3040258033687504E-3</v>
      </c>
      <c r="N1122" s="1"/>
      <c r="O1122" s="2">
        <v>4163.3</v>
      </c>
      <c r="P1122" s="12"/>
    </row>
    <row r="1123" spans="1:16" ht="15" thickBot="1" x14ac:dyDescent="0.35">
      <c r="A1123" s="1">
        <v>44302</v>
      </c>
      <c r="B1123">
        <v>15.91</v>
      </c>
      <c r="C1123">
        <v>47.88</v>
      </c>
      <c r="D1123">
        <v>246.59</v>
      </c>
      <c r="E1123">
        <v>189.25</v>
      </c>
      <c r="F1123">
        <v>65.41</v>
      </c>
      <c r="H1123" s="10">
        <f t="shared" si="106"/>
        <v>-1.4250309789343274E-2</v>
      </c>
      <c r="I1123" s="10">
        <f t="shared" si="108"/>
        <v>-2.4999999999999467E-3</v>
      </c>
      <c r="J1123" s="10">
        <f t="shared" si="109"/>
        <v>1.2587299009256814E-3</v>
      </c>
      <c r="K1123" s="10">
        <f t="shared" si="110"/>
        <v>1.7910929432013889E-2</v>
      </c>
      <c r="L1123" s="10">
        <f t="shared" si="111"/>
        <v>9.725223834516683E-3</v>
      </c>
      <c r="M1123" s="10">
        <f t="shared" si="107"/>
        <v>3.6207558028007458E-3</v>
      </c>
      <c r="N1123" s="1"/>
      <c r="O1123" s="2">
        <v>4185.5</v>
      </c>
      <c r="P1123" s="12"/>
    </row>
    <row r="1124" spans="1:16" ht="15" thickBot="1" x14ac:dyDescent="0.35">
      <c r="A1124" s="1">
        <v>44301</v>
      </c>
      <c r="B1124">
        <v>16.14</v>
      </c>
      <c r="C1124">
        <v>48</v>
      </c>
      <c r="D1124">
        <v>246.28</v>
      </c>
      <c r="E1124">
        <v>185.92</v>
      </c>
      <c r="F1124">
        <v>64.78</v>
      </c>
      <c r="H1124" s="10">
        <f t="shared" si="106"/>
        <v>5.6282722513089078E-2</v>
      </c>
      <c r="I1124" s="10">
        <f t="shared" si="108"/>
        <v>5.6568196103079504E-3</v>
      </c>
      <c r="J1124" s="10">
        <f t="shared" si="109"/>
        <v>9.0134382169779759E-3</v>
      </c>
      <c r="K1124" s="10">
        <f t="shared" si="110"/>
        <v>1.5956284153005429E-2</v>
      </c>
      <c r="L1124" s="10">
        <f t="shared" si="111"/>
        <v>4.7372675828617705E-2</v>
      </c>
      <c r="M1124" s="10">
        <f t="shared" si="107"/>
        <v>1.1079593667418175E-2</v>
      </c>
      <c r="N1124" s="1"/>
      <c r="O1124" s="2">
        <v>4170.3999999999996</v>
      </c>
      <c r="P1124" s="12"/>
    </row>
    <row r="1125" spans="1:16" ht="15" thickBot="1" x14ac:dyDescent="0.35">
      <c r="A1125" s="1">
        <v>44300</v>
      </c>
      <c r="B1125">
        <v>15.28</v>
      </c>
      <c r="C1125">
        <v>47.73</v>
      </c>
      <c r="D1125">
        <v>244.08</v>
      </c>
      <c r="E1125">
        <v>183</v>
      </c>
      <c r="F1125">
        <v>61.85</v>
      </c>
      <c r="H1125" s="10">
        <f t="shared" si="106"/>
        <v>-2.5510204081632626E-2</v>
      </c>
      <c r="I1125" s="10">
        <f t="shared" si="108"/>
        <v>-1.5876288659793847E-2</v>
      </c>
      <c r="J1125" s="10">
        <f t="shared" si="109"/>
        <v>-3.9471095194994255E-2</v>
      </c>
      <c r="K1125" s="10">
        <f t="shared" si="110"/>
        <v>2.5749191913657654E-3</v>
      </c>
      <c r="L1125" s="10">
        <f t="shared" si="111"/>
        <v>-6.4257028112449932E-3</v>
      </c>
      <c r="M1125" s="10">
        <f t="shared" si="107"/>
        <v>-4.0805485802589692E-3</v>
      </c>
      <c r="N1125" s="1"/>
      <c r="O1125" s="2">
        <v>4124.7</v>
      </c>
      <c r="P1125" s="12"/>
    </row>
    <row r="1126" spans="1:16" ht="15" thickBot="1" x14ac:dyDescent="0.35">
      <c r="A1126" s="1">
        <v>44299</v>
      </c>
      <c r="B1126">
        <v>15.68</v>
      </c>
      <c r="C1126">
        <v>48.5</v>
      </c>
      <c r="D1126">
        <v>254.11</v>
      </c>
      <c r="E1126">
        <v>182.53</v>
      </c>
      <c r="F1126">
        <v>62.25</v>
      </c>
      <c r="H1126" s="10">
        <f t="shared" si="106"/>
        <v>3.0900723208415526E-2</v>
      </c>
      <c r="I1126" s="10">
        <f t="shared" si="108"/>
        <v>2.6876162910896007E-3</v>
      </c>
      <c r="J1126" s="10">
        <f t="shared" si="109"/>
        <v>8.5986580623103492E-2</v>
      </c>
      <c r="K1126" s="10">
        <f t="shared" si="110"/>
        <v>3.9049609503905014E-3</v>
      </c>
      <c r="L1126" s="10">
        <f t="shared" si="111"/>
        <v>2.7058241214320988E-2</v>
      </c>
      <c r="M1126" s="10">
        <f t="shared" si="107"/>
        <v>3.294573643410903E-3</v>
      </c>
      <c r="N1126" s="1"/>
      <c r="O1126" s="2">
        <v>4141.6000000000004</v>
      </c>
      <c r="P1126" s="12"/>
    </row>
    <row r="1127" spans="1:16" ht="15" thickBot="1" x14ac:dyDescent="0.35">
      <c r="A1127" s="1">
        <v>44298</v>
      </c>
      <c r="B1127">
        <v>15.21</v>
      </c>
      <c r="C1127">
        <v>48.37</v>
      </c>
      <c r="D1127">
        <v>233.99</v>
      </c>
      <c r="E1127">
        <v>181.82</v>
      </c>
      <c r="F1127">
        <v>60.61</v>
      </c>
      <c r="H1127" s="10">
        <f t="shared" si="106"/>
        <v>5.6250000000000133E-2</v>
      </c>
      <c r="I1127" s="10">
        <f t="shared" si="108"/>
        <v>-2.8860028860029363E-3</v>
      </c>
      <c r="J1127" s="10">
        <f t="shared" si="109"/>
        <v>3.6867993087251305E-2</v>
      </c>
      <c r="K1127" s="10">
        <f t="shared" si="110"/>
        <v>-1.4472329123529803E-2</v>
      </c>
      <c r="L1127" s="10">
        <f t="shared" si="111"/>
        <v>-1.4631767192326395E-2</v>
      </c>
      <c r="M1127" s="10">
        <f t="shared" si="107"/>
        <v>-1.9376089905065452E-4</v>
      </c>
      <c r="N1127" s="1"/>
      <c r="O1127" s="2">
        <v>4128</v>
      </c>
      <c r="P1127" s="12"/>
    </row>
    <row r="1128" spans="1:16" ht="15" thickBot="1" x14ac:dyDescent="0.35">
      <c r="A1128" s="1">
        <v>44295</v>
      </c>
      <c r="B1128">
        <v>14.4</v>
      </c>
      <c r="C1128">
        <v>48.51</v>
      </c>
      <c r="D1128">
        <v>225.67</v>
      </c>
      <c r="E1128">
        <v>184.49</v>
      </c>
      <c r="F1128">
        <v>61.51</v>
      </c>
      <c r="H1128" s="10">
        <f t="shared" si="106"/>
        <v>5.5865921787709993E-3</v>
      </c>
      <c r="I1128" s="10">
        <f t="shared" si="108"/>
        <v>-8.2389289392381659E-4</v>
      </c>
      <c r="J1128" s="10">
        <f t="shared" si="109"/>
        <v>-9.915324880445886E-3</v>
      </c>
      <c r="K1128" s="10">
        <f t="shared" si="110"/>
        <v>1.0295164558348446E-2</v>
      </c>
      <c r="L1128" s="10">
        <f t="shared" si="111"/>
        <v>-4.6925566343042346E-3</v>
      </c>
      <c r="M1128" s="10">
        <f t="shared" si="107"/>
        <v>7.7125842038465731E-3</v>
      </c>
      <c r="N1128" s="1"/>
      <c r="O1128" s="2">
        <v>4128.8</v>
      </c>
      <c r="P1128" s="12"/>
    </row>
    <row r="1129" spans="1:16" ht="15" thickBot="1" x14ac:dyDescent="0.35">
      <c r="A1129" s="1">
        <v>44294</v>
      </c>
      <c r="B1129">
        <v>14.32</v>
      </c>
      <c r="C1129">
        <v>48.55</v>
      </c>
      <c r="D1129">
        <v>227.93</v>
      </c>
      <c r="E1129">
        <v>182.61</v>
      </c>
      <c r="F1129">
        <v>61.8</v>
      </c>
      <c r="H1129" s="10">
        <f t="shared" si="106"/>
        <v>1.2729844413012614E-2</v>
      </c>
      <c r="I1129" s="10">
        <f t="shared" si="108"/>
        <v>6.2176165803107253E-3</v>
      </c>
      <c r="J1129" s="10">
        <f t="shared" si="109"/>
        <v>1.9091478136457063E-2</v>
      </c>
      <c r="K1129" s="10">
        <f t="shared" si="110"/>
        <v>1.5906099166302923E-3</v>
      </c>
      <c r="L1129" s="10">
        <f t="shared" si="111"/>
        <v>-3.3865505563619447E-3</v>
      </c>
      <c r="M1129" s="10">
        <f t="shared" si="107"/>
        <v>4.2403000073529817E-3</v>
      </c>
      <c r="N1129" s="1"/>
      <c r="O1129" s="2">
        <v>4097.2</v>
      </c>
      <c r="P1129" s="12"/>
    </row>
    <row r="1130" spans="1:16" ht="15" thickBot="1" x14ac:dyDescent="0.35">
      <c r="A1130" s="1">
        <v>44293</v>
      </c>
      <c r="B1130">
        <v>14.14</v>
      </c>
      <c r="C1130">
        <v>48.25</v>
      </c>
      <c r="D1130">
        <v>223.66</v>
      </c>
      <c r="E1130">
        <v>182.32</v>
      </c>
      <c r="F1130">
        <v>62.01</v>
      </c>
      <c r="H1130" s="10">
        <f t="shared" si="106"/>
        <v>2.0202020202020332E-2</v>
      </c>
      <c r="I1130" s="10">
        <f t="shared" si="108"/>
        <v>-2.8931597437487078E-3</v>
      </c>
      <c r="J1130" s="10">
        <f t="shared" si="109"/>
        <v>-2.9842977357508405E-2</v>
      </c>
      <c r="K1130" s="10">
        <f t="shared" si="110"/>
        <v>-2.6258205689279057E-3</v>
      </c>
      <c r="L1130" s="10">
        <f t="shared" si="111"/>
        <v>-1.2579617834394874E-2</v>
      </c>
      <c r="M1130" s="10">
        <f t="shared" si="107"/>
        <v>1.4727902010358562E-3</v>
      </c>
      <c r="N1130" s="1"/>
      <c r="O1130" s="2">
        <v>4079.9</v>
      </c>
      <c r="P1130" s="12"/>
    </row>
    <row r="1131" spans="1:16" ht="15" thickBot="1" x14ac:dyDescent="0.35">
      <c r="A1131" s="1">
        <v>44292</v>
      </c>
      <c r="B1131">
        <v>13.86</v>
      </c>
      <c r="C1131">
        <v>48.39</v>
      </c>
      <c r="D1131">
        <v>230.54</v>
      </c>
      <c r="E1131">
        <v>182.8</v>
      </c>
      <c r="F1131">
        <v>62.8</v>
      </c>
      <c r="H1131" s="10">
        <f t="shared" si="106"/>
        <v>-9.2923516797712713E-3</v>
      </c>
      <c r="I1131" s="10">
        <f t="shared" si="108"/>
        <v>-9.4165813715455515E-3</v>
      </c>
      <c r="J1131" s="10">
        <f t="shared" si="109"/>
        <v>8.2483177772951777E-4</v>
      </c>
      <c r="K1131" s="10">
        <f t="shared" si="110"/>
        <v>-1.1304018605657329E-2</v>
      </c>
      <c r="L1131" s="10">
        <f t="shared" si="111"/>
        <v>4.9607937269962044E-3</v>
      </c>
      <c r="M1131" s="10">
        <f t="shared" si="107"/>
        <v>-9.8089703033421571E-4</v>
      </c>
      <c r="N1131" s="1"/>
      <c r="O1131" s="2">
        <v>4073.9</v>
      </c>
      <c r="P1131" s="12"/>
    </row>
    <row r="1132" spans="1:16" ht="15" thickBot="1" x14ac:dyDescent="0.35">
      <c r="A1132" s="1">
        <v>44291</v>
      </c>
      <c r="B1132">
        <v>13.99</v>
      </c>
      <c r="C1132">
        <v>48.85</v>
      </c>
      <c r="D1132">
        <v>230.35</v>
      </c>
      <c r="E1132">
        <v>184.89</v>
      </c>
      <c r="F1132">
        <v>62.49</v>
      </c>
      <c r="H1132" s="10">
        <f t="shared" si="106"/>
        <v>1.303403330919628E-2</v>
      </c>
      <c r="I1132" s="10">
        <f t="shared" si="108"/>
        <v>2.6476150451775649E-2</v>
      </c>
      <c r="J1132" s="10">
        <f t="shared" si="109"/>
        <v>4.4292320246622552E-2</v>
      </c>
      <c r="K1132" s="10">
        <f t="shared" si="110"/>
        <v>-1.8894407255453105E-3</v>
      </c>
      <c r="L1132" s="10">
        <f t="shared" si="111"/>
        <v>1.1001456075068861E-2</v>
      </c>
      <c r="M1132" s="10">
        <f t="shared" si="107"/>
        <v>1.4428219607452997E-2</v>
      </c>
      <c r="N1132" s="1"/>
      <c r="O1132" s="2">
        <v>4077.9</v>
      </c>
      <c r="P1132" s="12"/>
    </row>
    <row r="1133" spans="1:16" ht="15" thickBot="1" x14ac:dyDescent="0.35">
      <c r="A1133" s="1">
        <v>44287</v>
      </c>
      <c r="B1133">
        <v>13.81</v>
      </c>
      <c r="C1133">
        <v>47.59</v>
      </c>
      <c r="D1133">
        <v>220.58</v>
      </c>
      <c r="E1133">
        <v>185.24</v>
      </c>
      <c r="F1133">
        <v>61.81</v>
      </c>
      <c r="H1133" s="10">
        <f t="shared" si="106"/>
        <v>3.4456928838951351E-2</v>
      </c>
      <c r="I1133" s="10">
        <f t="shared" si="108"/>
        <v>2.6310114298037757E-2</v>
      </c>
      <c r="J1133" s="10">
        <f t="shared" si="109"/>
        <v>-9.2526051024073297E-3</v>
      </c>
      <c r="K1133" s="10">
        <f t="shared" si="110"/>
        <v>-8.4573386147092089E-3</v>
      </c>
      <c r="L1133" s="10">
        <f t="shared" si="111"/>
        <v>2.5551684088269466E-2</v>
      </c>
      <c r="M1133" s="10">
        <f t="shared" si="107"/>
        <v>1.1830149261244927E-2</v>
      </c>
      <c r="N1133" s="1"/>
      <c r="O1133" s="2">
        <v>4019.9</v>
      </c>
      <c r="P1133" s="12"/>
    </row>
    <row r="1134" spans="1:16" ht="15" thickBot="1" x14ac:dyDescent="0.35">
      <c r="A1134" s="1">
        <v>44286</v>
      </c>
      <c r="B1134">
        <v>13.35</v>
      </c>
      <c r="C1134">
        <v>46.37</v>
      </c>
      <c r="D1134">
        <v>222.64</v>
      </c>
      <c r="E1134">
        <v>186.82</v>
      </c>
      <c r="F1134">
        <v>60.27</v>
      </c>
      <c r="H1134" s="10">
        <f t="shared" si="106"/>
        <v>3.7296037296037365E-2</v>
      </c>
      <c r="I1134" s="10">
        <f t="shared" si="108"/>
        <v>1.6440157825515112E-2</v>
      </c>
      <c r="J1134" s="10">
        <f t="shared" si="109"/>
        <v>5.083305800726845E-2</v>
      </c>
      <c r="K1134" s="10">
        <f t="shared" si="110"/>
        <v>7.115902964959453E-3</v>
      </c>
      <c r="L1134" s="10">
        <f t="shared" si="111"/>
        <v>6.5130260521042427E-3</v>
      </c>
      <c r="M1134" s="10">
        <f t="shared" si="107"/>
        <v>3.6123882180569833E-3</v>
      </c>
      <c r="N1134" s="1"/>
      <c r="O1134" s="2">
        <v>3972.9</v>
      </c>
      <c r="P1134" s="12"/>
    </row>
    <row r="1135" spans="1:16" ht="15" thickBot="1" x14ac:dyDescent="0.35">
      <c r="A1135" s="1">
        <v>44285</v>
      </c>
      <c r="B1135">
        <v>12.87</v>
      </c>
      <c r="C1135">
        <v>45.62</v>
      </c>
      <c r="D1135">
        <v>211.87</v>
      </c>
      <c r="E1135">
        <v>185.5</v>
      </c>
      <c r="F1135">
        <v>59.88</v>
      </c>
      <c r="H1135" s="10">
        <f t="shared" si="106"/>
        <v>-6.1776061776062097E-3</v>
      </c>
      <c r="I1135" s="10">
        <f t="shared" si="108"/>
        <v>-3.4701650444350363E-2</v>
      </c>
      <c r="J1135" s="10">
        <f t="shared" si="109"/>
        <v>3.9801727522575714E-2</v>
      </c>
      <c r="K1135" s="10">
        <f t="shared" si="110"/>
        <v>-4.5078888054095323E-3</v>
      </c>
      <c r="L1135" s="10">
        <f t="shared" si="111"/>
        <v>-3.6679536679536606E-2</v>
      </c>
      <c r="M1135" s="10">
        <f t="shared" si="107"/>
        <v>-3.1477424391226361E-3</v>
      </c>
      <c r="N1135" s="1"/>
      <c r="O1135" s="2">
        <v>3958.6</v>
      </c>
      <c r="P1135" s="12"/>
    </row>
    <row r="1136" spans="1:16" ht="15" thickBot="1" x14ac:dyDescent="0.35">
      <c r="A1136" s="1">
        <v>44284</v>
      </c>
      <c r="B1136">
        <v>12.95</v>
      </c>
      <c r="C1136">
        <v>47.26</v>
      </c>
      <c r="D1136">
        <v>203.76</v>
      </c>
      <c r="E1136">
        <v>186.34</v>
      </c>
      <c r="F1136">
        <v>62.16</v>
      </c>
      <c r="H1136" s="10">
        <f t="shared" si="106"/>
        <v>8.5669781931463351E-3</v>
      </c>
      <c r="I1136" s="10">
        <f t="shared" si="108"/>
        <v>-1.9502074688796833E-2</v>
      </c>
      <c r="J1136" s="10">
        <f t="shared" si="109"/>
        <v>-1.2024825446082299E-2</v>
      </c>
      <c r="K1136" s="10">
        <f t="shared" si="110"/>
        <v>5.5582537369813778E-3</v>
      </c>
      <c r="L1136" s="10">
        <f t="shared" si="111"/>
        <v>1.073170731707318E-2</v>
      </c>
      <c r="M1136" s="10">
        <f t="shared" si="107"/>
        <v>-8.5545351616556076E-4</v>
      </c>
      <c r="N1136" s="1"/>
      <c r="O1136" s="2">
        <v>3971.1</v>
      </c>
      <c r="P1136" s="12"/>
    </row>
    <row r="1137" spans="1:16" ht="15" thickBot="1" x14ac:dyDescent="0.35">
      <c r="A1137" s="1">
        <v>44281</v>
      </c>
      <c r="B1137">
        <v>12.84</v>
      </c>
      <c r="C1137">
        <v>48.2</v>
      </c>
      <c r="D1137">
        <v>206.24</v>
      </c>
      <c r="E1137">
        <v>185.31</v>
      </c>
      <c r="F1137">
        <v>61.5</v>
      </c>
      <c r="H1137" s="10">
        <f t="shared" si="106"/>
        <v>2.3923444976076569E-2</v>
      </c>
      <c r="I1137" s="10">
        <f t="shared" si="108"/>
        <v>4.396794455273989E-2</v>
      </c>
      <c r="J1137" s="10">
        <f t="shared" si="109"/>
        <v>-3.3823667197601437E-2</v>
      </c>
      <c r="K1137" s="10">
        <f t="shared" si="110"/>
        <v>1.2125184335572747E-2</v>
      </c>
      <c r="L1137" s="10">
        <f t="shared" si="111"/>
        <v>2.7054108216432837E-2</v>
      </c>
      <c r="M1137" s="10">
        <f t="shared" si="107"/>
        <v>1.6626167029031746E-2</v>
      </c>
      <c r="N1137" s="1"/>
      <c r="O1137" s="2">
        <v>3974.5</v>
      </c>
      <c r="P1137" s="12"/>
    </row>
    <row r="1138" spans="1:16" ht="15" thickBot="1" x14ac:dyDescent="0.35">
      <c r="A1138" s="1">
        <v>44280</v>
      </c>
      <c r="B1138">
        <v>12.54</v>
      </c>
      <c r="C1138">
        <v>46.17</v>
      </c>
      <c r="D1138">
        <v>213.46</v>
      </c>
      <c r="E1138">
        <v>183.09</v>
      </c>
      <c r="F1138">
        <v>59.88</v>
      </c>
      <c r="H1138" s="10">
        <f t="shared" si="106"/>
        <v>-7.9113924050634443E-3</v>
      </c>
      <c r="I1138" s="10">
        <f t="shared" si="108"/>
        <v>9.6216925431884537E-3</v>
      </c>
      <c r="J1138" s="10">
        <f t="shared" si="109"/>
        <v>1.6040744442857857E-2</v>
      </c>
      <c r="K1138" s="10">
        <f t="shared" si="110"/>
        <v>1.6206915690736512E-2</v>
      </c>
      <c r="L1138" s="10">
        <f t="shared" si="111"/>
        <v>-8.1166142123570983E-3</v>
      </c>
      <c r="M1138" s="10">
        <f t="shared" si="107"/>
        <v>5.2454295338253409E-3</v>
      </c>
      <c r="N1138" s="1"/>
      <c r="O1138" s="2">
        <v>3909.5</v>
      </c>
      <c r="P1138" s="12"/>
    </row>
    <row r="1139" spans="1:16" ht="15" thickBot="1" x14ac:dyDescent="0.35">
      <c r="A1139" s="1">
        <v>44279</v>
      </c>
      <c r="B1139">
        <v>12.64</v>
      </c>
      <c r="C1139">
        <v>45.73</v>
      </c>
      <c r="D1139">
        <v>210.09</v>
      </c>
      <c r="E1139">
        <v>180.17</v>
      </c>
      <c r="F1139">
        <v>60.37</v>
      </c>
      <c r="H1139" s="10">
        <f t="shared" si="106"/>
        <v>-3.2899770466717659E-2</v>
      </c>
      <c r="I1139" s="10">
        <f t="shared" si="108"/>
        <v>-1.46520146520146E-2</v>
      </c>
      <c r="J1139" s="10">
        <f t="shared" si="109"/>
        <v>-4.8160565422254442E-2</v>
      </c>
      <c r="K1139" s="10">
        <f t="shared" si="110"/>
        <v>-1.9109320557491372E-2</v>
      </c>
      <c r="L1139" s="10">
        <f t="shared" si="111"/>
        <v>4.1583499667332546E-3</v>
      </c>
      <c r="M1139" s="10">
        <f t="shared" si="107"/>
        <v>-5.4724459787751645E-3</v>
      </c>
      <c r="N1139" s="1"/>
      <c r="O1139" s="2">
        <v>3889.1</v>
      </c>
      <c r="P1139" s="12"/>
    </row>
    <row r="1140" spans="1:16" ht="15" thickBot="1" x14ac:dyDescent="0.35">
      <c r="A1140" s="1">
        <v>44278</v>
      </c>
      <c r="B1140">
        <v>13.07</v>
      </c>
      <c r="C1140">
        <v>46.41</v>
      </c>
      <c r="D1140">
        <v>220.72</v>
      </c>
      <c r="E1140">
        <v>183.68</v>
      </c>
      <c r="F1140">
        <v>60.12</v>
      </c>
      <c r="H1140" s="10">
        <f t="shared" si="106"/>
        <v>-9.0978013646701994E-3</v>
      </c>
      <c r="I1140" s="10">
        <f t="shared" si="108"/>
        <v>-2.3564064801178342E-2</v>
      </c>
      <c r="J1140" s="10">
        <f t="shared" si="109"/>
        <v>-1.168674159315819E-2</v>
      </c>
      <c r="K1140" s="10">
        <f t="shared" si="110"/>
        <v>-1.162290142057687E-2</v>
      </c>
      <c r="L1140" s="10">
        <f t="shared" si="111"/>
        <v>-1.2645754639513895E-2</v>
      </c>
      <c r="M1140" s="10">
        <f t="shared" si="107"/>
        <v>-7.6384306958331427E-3</v>
      </c>
      <c r="N1140" s="1"/>
      <c r="O1140" s="2">
        <v>3910.5</v>
      </c>
      <c r="P1140" s="12"/>
    </row>
    <row r="1141" spans="1:16" ht="15" thickBot="1" x14ac:dyDescent="0.35">
      <c r="A1141" s="1">
        <v>44277</v>
      </c>
      <c r="B1141">
        <v>13.19</v>
      </c>
      <c r="C1141">
        <v>47.53</v>
      </c>
      <c r="D1141">
        <v>223.33</v>
      </c>
      <c r="E1141">
        <v>185.84</v>
      </c>
      <c r="F1141">
        <v>60.89</v>
      </c>
      <c r="H1141" s="10">
        <f t="shared" si="106"/>
        <v>2.6459143968871501E-2</v>
      </c>
      <c r="I1141" s="10">
        <f t="shared" si="108"/>
        <v>1.6859852476289738E-3</v>
      </c>
      <c r="J1141" s="10">
        <f t="shared" si="109"/>
        <v>2.3088551926336631E-2</v>
      </c>
      <c r="K1141" s="10">
        <f t="shared" si="110"/>
        <v>8.4106571165012411E-3</v>
      </c>
      <c r="L1141" s="10">
        <f t="shared" si="111"/>
        <v>-1.6793153560471508E-2</v>
      </c>
      <c r="M1141" s="10">
        <f t="shared" si="107"/>
        <v>7.027676266898375E-3</v>
      </c>
      <c r="N1141" s="1"/>
      <c r="O1141" s="2">
        <v>3940.6</v>
      </c>
      <c r="P1141" s="12"/>
    </row>
    <row r="1142" spans="1:16" ht="15" thickBot="1" x14ac:dyDescent="0.35">
      <c r="A1142" s="1">
        <v>44274</v>
      </c>
      <c r="B1142">
        <v>12.85</v>
      </c>
      <c r="C1142">
        <v>47.45</v>
      </c>
      <c r="D1142">
        <v>218.29</v>
      </c>
      <c r="E1142">
        <v>184.29</v>
      </c>
      <c r="F1142">
        <v>61.93</v>
      </c>
      <c r="H1142" s="10">
        <f t="shared" si="106"/>
        <v>1.0220125786163381E-2</v>
      </c>
      <c r="I1142" s="10">
        <f t="shared" si="108"/>
        <v>2.2408963585434316E-2</v>
      </c>
      <c r="J1142" s="10">
        <f t="shared" si="109"/>
        <v>2.6180415212198049E-3</v>
      </c>
      <c r="K1142" s="10">
        <f t="shared" si="110"/>
        <v>1.957266351329201E-3</v>
      </c>
      <c r="L1142" s="10">
        <f t="shared" si="111"/>
        <v>-5.300353356890386E-3</v>
      </c>
      <c r="M1142" s="10">
        <f t="shared" si="107"/>
        <v>-6.1294853786231229E-4</v>
      </c>
      <c r="N1142" s="1"/>
      <c r="O1142" s="2">
        <v>3913.1</v>
      </c>
      <c r="P1142" s="12"/>
    </row>
    <row r="1143" spans="1:16" ht="15" thickBot="1" x14ac:dyDescent="0.35">
      <c r="A1143" s="1">
        <v>44273</v>
      </c>
      <c r="B1143">
        <v>12.72</v>
      </c>
      <c r="C1143">
        <v>46.41</v>
      </c>
      <c r="D1143">
        <v>217.72</v>
      </c>
      <c r="E1143">
        <v>183.93</v>
      </c>
      <c r="F1143">
        <v>62.26</v>
      </c>
      <c r="H1143" s="10">
        <f t="shared" si="106"/>
        <v>-4.6476761619190343E-2</v>
      </c>
      <c r="I1143" s="10">
        <f t="shared" si="108"/>
        <v>-4.0322580645161366E-2</v>
      </c>
      <c r="J1143" s="10">
        <f t="shared" si="109"/>
        <v>-6.9334017269385262E-2</v>
      </c>
      <c r="K1143" s="10">
        <f t="shared" si="110"/>
        <v>-1.4994912440421948E-2</v>
      </c>
      <c r="L1143" s="10">
        <f t="shared" si="111"/>
        <v>-1.127521041765922E-2</v>
      </c>
      <c r="M1143" s="10">
        <f t="shared" si="107"/>
        <v>-1.4745476963337611E-2</v>
      </c>
      <c r="N1143" s="1"/>
      <c r="O1143" s="2">
        <v>3915.5</v>
      </c>
      <c r="P1143" s="12"/>
    </row>
    <row r="1144" spans="1:16" ht="15" thickBot="1" x14ac:dyDescent="0.35">
      <c r="A1144" s="1">
        <v>44272</v>
      </c>
      <c r="B1144">
        <v>13.34</v>
      </c>
      <c r="C1144">
        <v>48.36</v>
      </c>
      <c r="D1144">
        <v>233.94</v>
      </c>
      <c r="E1144">
        <v>186.73</v>
      </c>
      <c r="F1144">
        <v>62.97</v>
      </c>
      <c r="H1144" s="10">
        <f t="shared" si="106"/>
        <v>3.762227238525151E-3</v>
      </c>
      <c r="I1144" s="10">
        <f t="shared" si="108"/>
        <v>1.129234629861986E-2</v>
      </c>
      <c r="J1144" s="10">
        <f t="shared" si="109"/>
        <v>3.6830208748836579E-2</v>
      </c>
      <c r="K1144" s="10">
        <f t="shared" si="110"/>
        <v>-2.1843897328444273E-2</v>
      </c>
      <c r="L1144" s="10">
        <f t="shared" si="111"/>
        <v>1.8602394047233961E-2</v>
      </c>
      <c r="M1144" s="10">
        <f t="shared" si="107"/>
        <v>2.8768264062382087E-3</v>
      </c>
      <c r="N1144" s="1"/>
      <c r="O1144" s="2">
        <v>3974.1</v>
      </c>
      <c r="P1144" s="12"/>
    </row>
    <row r="1145" spans="1:16" ht="15" thickBot="1" x14ac:dyDescent="0.35">
      <c r="A1145" s="1">
        <v>44271</v>
      </c>
      <c r="B1145">
        <v>13.29</v>
      </c>
      <c r="C1145">
        <v>47.82</v>
      </c>
      <c r="D1145">
        <v>225.63</v>
      </c>
      <c r="E1145">
        <v>190.9</v>
      </c>
      <c r="F1145">
        <v>61.82</v>
      </c>
      <c r="H1145" s="10">
        <f t="shared" si="106"/>
        <v>7.5815011372251107E-3</v>
      </c>
      <c r="I1145" s="10">
        <f t="shared" si="108"/>
        <v>1.5717926932880211E-2</v>
      </c>
      <c r="J1145" s="10">
        <f t="shared" si="109"/>
        <v>-4.3859649122807043E-2</v>
      </c>
      <c r="K1145" s="10">
        <f t="shared" si="110"/>
        <v>9.1985620638612708E-3</v>
      </c>
      <c r="L1145" s="10">
        <f t="shared" si="111"/>
        <v>6.5125366330185397E-3</v>
      </c>
      <c r="M1145" s="10">
        <f t="shared" si="107"/>
        <v>-1.5621456826829805E-3</v>
      </c>
      <c r="N1145" s="1"/>
      <c r="O1145" s="2">
        <v>3962.7</v>
      </c>
      <c r="P1145" s="12"/>
    </row>
    <row r="1146" spans="1:16" ht="15" thickBot="1" x14ac:dyDescent="0.35">
      <c r="A1146" s="1">
        <v>44270</v>
      </c>
      <c r="B1146">
        <v>13.19</v>
      </c>
      <c r="C1146">
        <v>47.08</v>
      </c>
      <c r="D1146">
        <v>235.98</v>
      </c>
      <c r="E1146">
        <v>189.16</v>
      </c>
      <c r="F1146">
        <v>61.42</v>
      </c>
      <c r="H1146" s="10">
        <f t="shared" si="106"/>
        <v>2.5660964230171057E-2</v>
      </c>
      <c r="I1146" s="10">
        <f t="shared" si="108"/>
        <v>4.3439716312056786E-2</v>
      </c>
      <c r="J1146" s="10">
        <f t="shared" si="109"/>
        <v>2.0498183705241146E-2</v>
      </c>
      <c r="K1146" s="10">
        <f t="shared" si="110"/>
        <v>-9.0926566705113454E-2</v>
      </c>
      <c r="L1146" s="10">
        <f t="shared" si="111"/>
        <v>4.1193422614002273E-2</v>
      </c>
      <c r="M1146" s="10">
        <f t="shared" si="107"/>
        <v>6.4920244465296317E-3</v>
      </c>
      <c r="N1146" s="1"/>
      <c r="O1146" s="2">
        <v>3968.9</v>
      </c>
      <c r="P1146" s="12"/>
    </row>
    <row r="1147" spans="1:16" ht="15" thickBot="1" x14ac:dyDescent="0.35">
      <c r="A1147" s="1">
        <v>44267</v>
      </c>
      <c r="B1147">
        <v>12.86</v>
      </c>
      <c r="C1147">
        <v>45.12</v>
      </c>
      <c r="D1147">
        <v>231.24</v>
      </c>
      <c r="E1147">
        <v>208.08</v>
      </c>
      <c r="F1147">
        <v>58.99</v>
      </c>
      <c r="H1147" s="10">
        <f t="shared" si="106"/>
        <v>-1.000769822940728E-2</v>
      </c>
      <c r="I1147" s="10">
        <f t="shared" si="108"/>
        <v>-5.5102490632576995E-3</v>
      </c>
      <c r="J1147" s="10">
        <f t="shared" si="109"/>
        <v>-8.4048027444253437E-3</v>
      </c>
      <c r="K1147" s="10">
        <f t="shared" si="110"/>
        <v>1.3985673212806304E-2</v>
      </c>
      <c r="L1147" s="10">
        <f t="shared" si="111"/>
        <v>9.2386655260907613E-3</v>
      </c>
      <c r="M1147" s="10">
        <f t="shared" si="107"/>
        <v>1.0154088289797691E-3</v>
      </c>
      <c r="N1147" s="1"/>
      <c r="O1147" s="2">
        <v>3943.3</v>
      </c>
      <c r="P1147" s="12"/>
    </row>
    <row r="1148" spans="1:16" ht="15" thickBot="1" x14ac:dyDescent="0.35">
      <c r="A1148" s="1">
        <v>44266</v>
      </c>
      <c r="B1148">
        <v>12.99</v>
      </c>
      <c r="C1148">
        <v>45.37</v>
      </c>
      <c r="D1148">
        <v>233.2</v>
      </c>
      <c r="E1148">
        <v>205.21</v>
      </c>
      <c r="F1148">
        <v>58.45</v>
      </c>
      <c r="H1148" s="10">
        <f t="shared" si="106"/>
        <v>4.1700080192461852E-2</v>
      </c>
      <c r="I1148" s="10">
        <f t="shared" si="108"/>
        <v>3.6791590493601367E-2</v>
      </c>
      <c r="J1148" s="10">
        <f t="shared" si="109"/>
        <v>4.7195653150118977E-2</v>
      </c>
      <c r="K1148" s="10">
        <f t="shared" si="110"/>
        <v>-1.1681674373326123E-3</v>
      </c>
      <c r="L1148" s="10">
        <f t="shared" si="111"/>
        <v>4.6407700240633787E-3</v>
      </c>
      <c r="M1148" s="10">
        <f t="shared" si="107"/>
        <v>1.0387811634348987E-2</v>
      </c>
      <c r="N1148" s="1"/>
      <c r="O1148" s="2">
        <v>3939.3</v>
      </c>
      <c r="P1148" s="12"/>
    </row>
    <row r="1149" spans="1:16" ht="15" thickBot="1" x14ac:dyDescent="0.35">
      <c r="A1149" s="1">
        <v>44265</v>
      </c>
      <c r="B1149">
        <v>12.47</v>
      </c>
      <c r="C1149">
        <v>43.76</v>
      </c>
      <c r="D1149">
        <v>222.69</v>
      </c>
      <c r="E1149">
        <v>205.45</v>
      </c>
      <c r="F1149">
        <v>58.18</v>
      </c>
      <c r="H1149" s="10">
        <f t="shared" si="106"/>
        <v>-3.9936102236420856E-3</v>
      </c>
      <c r="I1149" s="10">
        <f t="shared" si="108"/>
        <v>-1.352569882777277E-2</v>
      </c>
      <c r="J1149" s="10">
        <f t="shared" si="109"/>
        <v>-8.1948960049882391E-3</v>
      </c>
      <c r="K1149" s="10">
        <f t="shared" si="110"/>
        <v>-3.2021735966233367E-3</v>
      </c>
      <c r="L1149" s="10">
        <f t="shared" si="111"/>
        <v>1.6244541484716102E-2</v>
      </c>
      <c r="M1149" s="10">
        <f t="shared" si="107"/>
        <v>6.0380863910822757E-3</v>
      </c>
      <c r="N1149" s="1"/>
      <c r="O1149" s="2">
        <v>3898.8</v>
      </c>
      <c r="P1149" s="12"/>
    </row>
    <row r="1150" spans="1:16" ht="15" thickBot="1" x14ac:dyDescent="0.35">
      <c r="A1150" s="1">
        <v>44264</v>
      </c>
      <c r="B1150">
        <v>12.52</v>
      </c>
      <c r="C1150">
        <v>44.36</v>
      </c>
      <c r="D1150">
        <v>224.53</v>
      </c>
      <c r="E1150">
        <v>206.11</v>
      </c>
      <c r="F1150">
        <v>57.25</v>
      </c>
      <c r="H1150" s="10">
        <f t="shared" si="106"/>
        <v>8.0241587575496043E-2</v>
      </c>
      <c r="I1150" s="10">
        <f t="shared" si="108"/>
        <v>5.3181386514719931E-2</v>
      </c>
      <c r="J1150" s="10">
        <f t="shared" si="109"/>
        <v>0.1964085895454788</v>
      </c>
      <c r="K1150" s="10">
        <f t="shared" si="110"/>
        <v>-4.4438004153987132E-3</v>
      </c>
      <c r="L1150" s="10">
        <f t="shared" si="111"/>
        <v>1.5250931016137503E-2</v>
      </c>
      <c r="M1150" s="10">
        <f t="shared" si="107"/>
        <v>1.4157485672415149E-2</v>
      </c>
      <c r="N1150" s="1"/>
      <c r="O1150" s="2">
        <v>3875.4</v>
      </c>
      <c r="P1150" s="12"/>
    </row>
    <row r="1151" spans="1:16" ht="15" thickBot="1" x14ac:dyDescent="0.35">
      <c r="A1151" s="1">
        <v>44263</v>
      </c>
      <c r="B1151">
        <v>11.59</v>
      </c>
      <c r="C1151">
        <v>42.12</v>
      </c>
      <c r="D1151">
        <v>187.67</v>
      </c>
      <c r="E1151">
        <v>207.03</v>
      </c>
      <c r="F1151">
        <v>56.39</v>
      </c>
      <c r="H1151" s="10">
        <f t="shared" si="106"/>
        <v>-6.9823434991974409E-2</v>
      </c>
      <c r="I1151" s="10">
        <f t="shared" si="108"/>
        <v>-6.4207953788047112E-2</v>
      </c>
      <c r="J1151" s="10">
        <f t="shared" si="109"/>
        <v>-5.8448725667268775E-2</v>
      </c>
      <c r="K1151" s="10">
        <f t="shared" si="110"/>
        <v>5.3160641793925656E-4</v>
      </c>
      <c r="L1151" s="10">
        <f t="shared" si="111"/>
        <v>-6.168487839266823E-3</v>
      </c>
      <c r="M1151" s="10">
        <f t="shared" si="107"/>
        <v>-5.3619302949061698E-3</v>
      </c>
      <c r="N1151" s="1"/>
      <c r="O1151" s="2">
        <v>3821.3</v>
      </c>
      <c r="P1151" s="12"/>
    </row>
    <row r="1152" spans="1:16" ht="15" thickBot="1" x14ac:dyDescent="0.35">
      <c r="A1152" s="1">
        <v>44260</v>
      </c>
      <c r="B1152">
        <v>12.46</v>
      </c>
      <c r="C1152">
        <v>45.01</v>
      </c>
      <c r="D1152">
        <v>199.32</v>
      </c>
      <c r="E1152">
        <v>206.92</v>
      </c>
      <c r="F1152">
        <v>56.74</v>
      </c>
      <c r="H1152" s="10">
        <f t="shared" si="106"/>
        <v>7.275666936136016E-3</v>
      </c>
      <c r="I1152" s="10">
        <f t="shared" si="108"/>
        <v>1.4652840396753852E-2</v>
      </c>
      <c r="J1152" s="10">
        <f t="shared" si="109"/>
        <v>-3.7798696596669124E-2</v>
      </c>
      <c r="K1152" s="10">
        <f t="shared" si="110"/>
        <v>3.1814101924803051E-2</v>
      </c>
      <c r="L1152" s="10">
        <f t="shared" si="111"/>
        <v>2.3818116203536688E-2</v>
      </c>
      <c r="M1152" s="10">
        <f t="shared" si="107"/>
        <v>1.9477245588430447E-2</v>
      </c>
      <c r="N1152" s="1"/>
      <c r="O1152" s="2">
        <v>3841.9</v>
      </c>
      <c r="P1152" s="12"/>
    </row>
    <row r="1153" spans="1:16" ht="15" thickBot="1" x14ac:dyDescent="0.35">
      <c r="A1153" s="1">
        <v>44259</v>
      </c>
      <c r="B1153">
        <v>12.37</v>
      </c>
      <c r="C1153">
        <v>44.36</v>
      </c>
      <c r="D1153">
        <v>207.15</v>
      </c>
      <c r="E1153">
        <v>200.54</v>
      </c>
      <c r="F1153">
        <v>55.42</v>
      </c>
      <c r="H1153" s="10">
        <f t="shared" si="106"/>
        <v>-3.3593750000000089E-2</v>
      </c>
      <c r="I1153" s="10">
        <f t="shared" si="108"/>
        <v>-4.2107536169293969E-2</v>
      </c>
      <c r="J1153" s="10">
        <f t="shared" si="109"/>
        <v>-4.8592293207183168E-2</v>
      </c>
      <c r="K1153" s="10">
        <f t="shared" si="110"/>
        <v>-7.2277227722772341E-3</v>
      </c>
      <c r="L1153" s="10">
        <f t="shared" si="111"/>
        <v>1.6266040122898673E-3</v>
      </c>
      <c r="M1153" s="10">
        <f t="shared" si="107"/>
        <v>-1.3404194046652829E-2</v>
      </c>
      <c r="N1153" s="1"/>
      <c r="O1153" s="2">
        <v>3768.5</v>
      </c>
      <c r="P1153" s="12"/>
    </row>
    <row r="1154" spans="1:16" ht="15" thickBot="1" x14ac:dyDescent="0.35">
      <c r="A1154" s="1">
        <v>44258</v>
      </c>
      <c r="B1154">
        <v>12.8</v>
      </c>
      <c r="C1154">
        <v>46.31</v>
      </c>
      <c r="D1154">
        <v>217.73</v>
      </c>
      <c r="E1154">
        <v>202</v>
      </c>
      <c r="F1154">
        <v>55.33</v>
      </c>
      <c r="H1154" s="10">
        <f t="shared" si="106"/>
        <v>-4.5488441461595808E-2</v>
      </c>
      <c r="I1154" s="10">
        <f t="shared" si="108"/>
        <v>-3.6212278876170512E-2</v>
      </c>
      <c r="J1154" s="10">
        <f t="shared" si="109"/>
        <v>-4.8424456973034435E-2</v>
      </c>
      <c r="K1154" s="10">
        <f t="shared" si="110"/>
        <v>-1.0483001861467556E-2</v>
      </c>
      <c r="L1154" s="10">
        <f t="shared" si="111"/>
        <v>-2.5880281690140783E-2</v>
      </c>
      <c r="M1154" s="10">
        <f t="shared" si="107"/>
        <v>-1.3073921918197673E-2</v>
      </c>
      <c r="N1154" s="1"/>
      <c r="O1154" s="2">
        <v>3819.7</v>
      </c>
      <c r="P1154" s="12"/>
    </row>
    <row r="1155" spans="1:16" ht="15" thickBot="1" x14ac:dyDescent="0.35">
      <c r="A1155" s="1">
        <v>44257</v>
      </c>
      <c r="B1155">
        <v>13.41</v>
      </c>
      <c r="C1155">
        <v>48.05</v>
      </c>
      <c r="D1155">
        <v>228.81</v>
      </c>
      <c r="E1155">
        <v>204.14</v>
      </c>
      <c r="F1155">
        <v>56.8</v>
      </c>
      <c r="H1155" s="10">
        <f t="shared" si="106"/>
        <v>-3.1069364161849689E-2</v>
      </c>
      <c r="I1155" s="10">
        <f t="shared" si="108"/>
        <v>-1.8586601307189587E-2</v>
      </c>
      <c r="J1155" s="10">
        <f t="shared" si="109"/>
        <v>-4.4554868882578869E-2</v>
      </c>
      <c r="K1155" s="10">
        <f t="shared" si="110"/>
        <v>-1.1284932435705053E-2</v>
      </c>
      <c r="L1155" s="10">
        <f t="shared" si="111"/>
        <v>3.9341262580054881E-2</v>
      </c>
      <c r="M1155" s="10">
        <f t="shared" si="107"/>
        <v>-8.0731969860065034E-3</v>
      </c>
      <c r="N1155" s="1"/>
      <c r="O1155" s="2">
        <v>3870.3</v>
      </c>
      <c r="P1155" s="12"/>
    </row>
    <row r="1156" spans="1:16" ht="15" thickBot="1" x14ac:dyDescent="0.35">
      <c r="A1156" s="1">
        <v>44256</v>
      </c>
      <c r="B1156">
        <v>13.84</v>
      </c>
      <c r="C1156">
        <v>48.96</v>
      </c>
      <c r="D1156">
        <v>239.48</v>
      </c>
      <c r="E1156">
        <v>206.47</v>
      </c>
      <c r="F1156">
        <v>54.65</v>
      </c>
      <c r="H1156" s="10">
        <f t="shared" ref="H1156:H1219" si="112">(B1156/B1157)-1</f>
        <v>9.4821298322391723E-3</v>
      </c>
      <c r="I1156" s="10">
        <f t="shared" si="108"/>
        <v>4.192381357735675E-2</v>
      </c>
      <c r="J1156" s="10">
        <f t="shared" si="109"/>
        <v>6.3551982946218333E-2</v>
      </c>
      <c r="K1156" s="10">
        <f t="shared" si="110"/>
        <v>7.7114549270340671E-3</v>
      </c>
      <c r="L1156" s="10">
        <f t="shared" si="111"/>
        <v>4.9650606840749845E-3</v>
      </c>
      <c r="M1156" s="10">
        <f t="shared" ref="M1156:M1219" si="113">(O1156/O1157)-1</f>
        <v>2.3772040302267206E-2</v>
      </c>
      <c r="N1156" s="1"/>
      <c r="O1156" s="2">
        <v>3901.8</v>
      </c>
      <c r="P1156" s="12"/>
    </row>
    <row r="1157" spans="1:16" ht="15" thickBot="1" x14ac:dyDescent="0.35">
      <c r="A1157" s="1">
        <v>44253</v>
      </c>
      <c r="B1157">
        <v>13.71</v>
      </c>
      <c r="C1157">
        <v>46.99</v>
      </c>
      <c r="D1157">
        <v>225.17</v>
      </c>
      <c r="E1157">
        <v>204.89</v>
      </c>
      <c r="F1157">
        <v>54.38</v>
      </c>
      <c r="H1157" s="10">
        <f t="shared" si="112"/>
        <v>3.0052592036063031E-2</v>
      </c>
      <c r="I1157" s="10">
        <f t="shared" si="108"/>
        <v>2.7777777777777901E-2</v>
      </c>
      <c r="J1157" s="10">
        <f t="shared" si="109"/>
        <v>-9.8500505694560925E-3</v>
      </c>
      <c r="K1157" s="10">
        <f t="shared" si="110"/>
        <v>5.249730154057497E-3</v>
      </c>
      <c r="L1157" s="10">
        <f t="shared" si="111"/>
        <v>-3.1004989308624276E-2</v>
      </c>
      <c r="M1157" s="10">
        <f t="shared" si="113"/>
        <v>-4.7267124539733807E-3</v>
      </c>
      <c r="N1157" s="1"/>
      <c r="O1157" s="2">
        <v>3811.2</v>
      </c>
      <c r="P1157" s="12"/>
    </row>
    <row r="1158" spans="1:16" ht="15" thickBot="1" x14ac:dyDescent="0.35">
      <c r="A1158" s="1">
        <v>44252</v>
      </c>
      <c r="B1158">
        <v>13.31</v>
      </c>
      <c r="C1158">
        <v>45.72</v>
      </c>
      <c r="D1158">
        <v>227.41</v>
      </c>
      <c r="E1158">
        <v>203.82</v>
      </c>
      <c r="F1158">
        <v>56.12</v>
      </c>
      <c r="H1158" s="10">
        <f t="shared" si="112"/>
        <v>-8.2068965517241299E-2</v>
      </c>
      <c r="I1158" s="10">
        <f t="shared" si="108"/>
        <v>-4.9282595134123586E-2</v>
      </c>
      <c r="J1158" s="10">
        <f t="shared" si="109"/>
        <v>-8.0577342928762064E-2</v>
      </c>
      <c r="K1158" s="10">
        <f t="shared" si="110"/>
        <v>-3.4226481517700691E-3</v>
      </c>
      <c r="L1158" s="10">
        <f t="shared" si="111"/>
        <v>-1.6818500350385457E-2</v>
      </c>
      <c r="M1158" s="10">
        <f t="shared" si="113"/>
        <v>-2.4481581494879445E-2</v>
      </c>
      <c r="N1158" s="1"/>
      <c r="O1158" s="2">
        <v>3829.3</v>
      </c>
      <c r="P1158" s="12"/>
    </row>
    <row r="1159" spans="1:16" ht="15" thickBot="1" x14ac:dyDescent="0.35">
      <c r="A1159" s="1">
        <v>44251</v>
      </c>
      <c r="B1159">
        <v>14.5</v>
      </c>
      <c r="C1159">
        <v>48.09</v>
      </c>
      <c r="D1159">
        <v>247.34</v>
      </c>
      <c r="E1159">
        <v>204.52</v>
      </c>
      <c r="F1159">
        <v>57.08</v>
      </c>
      <c r="H1159" s="10">
        <f t="shared" si="112"/>
        <v>2.5459688826025451E-2</v>
      </c>
      <c r="I1159" s="10">
        <f t="shared" si="108"/>
        <v>1.9071837253655577E-2</v>
      </c>
      <c r="J1159" s="10">
        <f t="shared" si="109"/>
        <v>6.1772912642197975E-2</v>
      </c>
      <c r="K1159" s="10">
        <f t="shared" si="110"/>
        <v>1.0075069142631454E-2</v>
      </c>
      <c r="L1159" s="10">
        <f t="shared" si="111"/>
        <v>4.2223786066148961E-3</v>
      </c>
      <c r="M1159" s="10">
        <f t="shared" si="113"/>
        <v>1.1336115834492677E-2</v>
      </c>
      <c r="N1159" s="1"/>
      <c r="O1159" s="2">
        <v>3925.4</v>
      </c>
      <c r="P1159" s="12"/>
    </row>
    <row r="1160" spans="1:16" ht="15" thickBot="1" x14ac:dyDescent="0.35">
      <c r="A1160" s="1">
        <v>44250</v>
      </c>
      <c r="B1160">
        <v>14.14</v>
      </c>
      <c r="C1160">
        <v>47.19</v>
      </c>
      <c r="D1160">
        <v>232.95</v>
      </c>
      <c r="E1160">
        <v>202.48</v>
      </c>
      <c r="F1160">
        <v>56.84</v>
      </c>
      <c r="H1160" s="10">
        <f t="shared" si="112"/>
        <v>-1.532033426183832E-2</v>
      </c>
      <c r="I1160" s="10">
        <f t="shared" si="108"/>
        <v>-9.4458438287153834E-3</v>
      </c>
      <c r="J1160" s="10">
        <f t="shared" si="109"/>
        <v>-2.1917118024940119E-2</v>
      </c>
      <c r="K1160" s="10">
        <f t="shared" si="110"/>
        <v>8.9695036874626322E-3</v>
      </c>
      <c r="L1160" s="10">
        <f t="shared" si="111"/>
        <v>-1.1306314141589779E-2</v>
      </c>
      <c r="M1160" s="10">
        <f t="shared" si="113"/>
        <v>1.2640268283246048E-3</v>
      </c>
      <c r="N1160" s="1"/>
      <c r="O1160" s="2">
        <v>3881.4</v>
      </c>
      <c r="P1160" s="12"/>
    </row>
    <row r="1161" spans="1:16" ht="15" thickBot="1" x14ac:dyDescent="0.35">
      <c r="A1161" s="1">
        <v>44249</v>
      </c>
      <c r="B1161">
        <v>14.36</v>
      </c>
      <c r="C1161">
        <v>47.64</v>
      </c>
      <c r="D1161">
        <v>238.17</v>
      </c>
      <c r="E1161">
        <v>200.68</v>
      </c>
      <c r="F1161">
        <v>57.49</v>
      </c>
      <c r="H1161" s="10">
        <f t="shared" si="112"/>
        <v>-3.8178164768921663E-2</v>
      </c>
      <c r="I1161" s="10">
        <f t="shared" si="108"/>
        <v>-2.7755102040816326E-2</v>
      </c>
      <c r="J1161" s="10">
        <f t="shared" si="109"/>
        <v>-8.5474023729985138E-2</v>
      </c>
      <c r="K1161" s="10">
        <f t="shared" si="110"/>
        <v>-1.1945052757315056E-3</v>
      </c>
      <c r="L1161" s="10">
        <f t="shared" si="111"/>
        <v>1.4469737074289668E-2</v>
      </c>
      <c r="M1161" s="10">
        <f t="shared" si="113"/>
        <v>-7.7303094683491835E-3</v>
      </c>
      <c r="N1161" s="1"/>
      <c r="O1161" s="2">
        <v>3876.5</v>
      </c>
      <c r="P1161" s="12"/>
    </row>
    <row r="1162" spans="1:16" ht="15" thickBot="1" x14ac:dyDescent="0.35">
      <c r="A1162" s="1">
        <v>44246</v>
      </c>
      <c r="B1162">
        <v>14.93</v>
      </c>
      <c r="C1162">
        <v>49</v>
      </c>
      <c r="D1162">
        <v>260.43</v>
      </c>
      <c r="E1162">
        <v>200.92</v>
      </c>
      <c r="F1162">
        <v>56.67</v>
      </c>
      <c r="H1162" s="10">
        <f t="shared" si="112"/>
        <v>6.7430883344572479E-3</v>
      </c>
      <c r="I1162" s="10">
        <f t="shared" si="108"/>
        <v>1.3863025036209509E-2</v>
      </c>
      <c r="J1162" s="10">
        <f t="shared" si="109"/>
        <v>-7.7345119256266859E-3</v>
      </c>
      <c r="K1162" s="10">
        <f t="shared" si="110"/>
        <v>-9.9443118536202135E-4</v>
      </c>
      <c r="L1162" s="10">
        <f t="shared" si="111"/>
        <v>-1.2029288702928853E-2</v>
      </c>
      <c r="M1162" s="10">
        <f t="shared" si="113"/>
        <v>-1.8650996423097421E-3</v>
      </c>
      <c r="N1162" s="1"/>
      <c r="O1162" s="2">
        <v>3906.7</v>
      </c>
      <c r="P1162" s="12"/>
    </row>
    <row r="1163" spans="1:16" ht="15" thickBot="1" x14ac:dyDescent="0.35">
      <c r="A1163" s="1">
        <v>44245</v>
      </c>
      <c r="B1163">
        <v>14.83</v>
      </c>
      <c r="C1163">
        <v>48.33</v>
      </c>
      <c r="D1163">
        <v>262.45999999999998</v>
      </c>
      <c r="E1163">
        <v>201.12</v>
      </c>
      <c r="F1163">
        <v>57.36</v>
      </c>
      <c r="H1163" s="10">
        <f t="shared" si="112"/>
        <v>-5.3655264922870538E-3</v>
      </c>
      <c r="I1163" s="10">
        <f t="shared" si="108"/>
        <v>1.6580310880829341E-3</v>
      </c>
      <c r="J1163" s="10">
        <f t="shared" si="109"/>
        <v>-1.3493704190941647E-2</v>
      </c>
      <c r="K1163" s="10">
        <f t="shared" si="110"/>
        <v>-2.5864574251670991E-2</v>
      </c>
      <c r="L1163" s="10">
        <f t="shared" si="111"/>
        <v>6.492367081944117E-3</v>
      </c>
      <c r="M1163" s="10">
        <f t="shared" si="113"/>
        <v>-4.4005799608272111E-3</v>
      </c>
      <c r="N1163" s="1"/>
      <c r="O1163" s="2">
        <v>3914</v>
      </c>
      <c r="P1163" s="12"/>
    </row>
    <row r="1164" spans="1:16" ht="15" thickBot="1" x14ac:dyDescent="0.35">
      <c r="A1164" s="1">
        <v>44244</v>
      </c>
      <c r="B1164">
        <v>14.91</v>
      </c>
      <c r="C1164">
        <v>48.25</v>
      </c>
      <c r="D1164">
        <v>266.05</v>
      </c>
      <c r="E1164">
        <v>206.46</v>
      </c>
      <c r="F1164">
        <v>56.99</v>
      </c>
      <c r="H1164" s="10">
        <f t="shared" si="112"/>
        <v>-2.7397260273972601E-2</v>
      </c>
      <c r="I1164" s="10">
        <f t="shared" si="108"/>
        <v>-1.3494172970762608E-2</v>
      </c>
      <c r="J1164" s="10">
        <f t="shared" si="109"/>
        <v>2.4113635507327924E-3</v>
      </c>
      <c r="K1164" s="10">
        <f t="shared" si="110"/>
        <v>3.4020217729393565E-3</v>
      </c>
      <c r="L1164" s="10">
        <f t="shared" si="111"/>
        <v>-1.4013840830449764E-2</v>
      </c>
      <c r="M1164" s="10">
        <f t="shared" si="113"/>
        <v>-3.30570106290895E-4</v>
      </c>
      <c r="N1164" s="1"/>
      <c r="O1164" s="2">
        <v>3931.3</v>
      </c>
      <c r="P1164" s="12"/>
    </row>
    <row r="1165" spans="1:16" ht="15" thickBot="1" x14ac:dyDescent="0.35">
      <c r="A1165" s="1">
        <v>44243</v>
      </c>
      <c r="B1165">
        <v>15.33</v>
      </c>
      <c r="C1165">
        <v>48.91</v>
      </c>
      <c r="D1165">
        <v>265.41000000000003</v>
      </c>
      <c r="E1165">
        <v>205.76</v>
      </c>
      <c r="F1165">
        <v>57.8</v>
      </c>
      <c r="H1165" s="10">
        <f t="shared" si="112"/>
        <v>2.4732620320855547E-2</v>
      </c>
      <c r="I1165" s="10">
        <f t="shared" si="108"/>
        <v>5.7577626979230523E-3</v>
      </c>
      <c r="J1165" s="10">
        <f t="shared" si="109"/>
        <v>-2.4371415968239996E-2</v>
      </c>
      <c r="K1165" s="10">
        <f t="shared" si="110"/>
        <v>-7.3809638670461197E-3</v>
      </c>
      <c r="L1165" s="10">
        <f t="shared" si="111"/>
        <v>-1.9341703427214085E-2</v>
      </c>
      <c r="M1165" s="10">
        <f t="shared" si="113"/>
        <v>-5.5911355087945314E-4</v>
      </c>
      <c r="N1165" s="1"/>
      <c r="O1165" s="2">
        <v>3932.6</v>
      </c>
      <c r="P1165" s="12"/>
    </row>
    <row r="1166" spans="1:16" ht="15" thickBot="1" x14ac:dyDescent="0.35">
      <c r="A1166" s="1">
        <v>44239</v>
      </c>
      <c r="B1166">
        <v>14.96</v>
      </c>
      <c r="C1166">
        <v>48.63</v>
      </c>
      <c r="D1166">
        <v>272.04000000000002</v>
      </c>
      <c r="E1166">
        <v>207.29</v>
      </c>
      <c r="F1166">
        <v>58.94</v>
      </c>
      <c r="H1166" s="10">
        <f t="shared" si="112"/>
        <v>-1.9016393442622848E-2</v>
      </c>
      <c r="I1166" s="10">
        <f t="shared" si="108"/>
        <v>1.6513377926421491E-2</v>
      </c>
      <c r="J1166" s="10">
        <f t="shared" si="109"/>
        <v>5.5072999445573423E-3</v>
      </c>
      <c r="K1166" s="10">
        <f t="shared" si="110"/>
        <v>2.32500740448216E-2</v>
      </c>
      <c r="L1166" s="10">
        <f t="shared" si="111"/>
        <v>9.5923261390886694E-3</v>
      </c>
      <c r="M1166" s="10">
        <f t="shared" si="113"/>
        <v>4.6981922173425783E-3</v>
      </c>
      <c r="N1166" s="1"/>
      <c r="O1166" s="2">
        <v>3934.8</v>
      </c>
      <c r="P1166" s="12"/>
    </row>
    <row r="1167" spans="1:16" ht="15" thickBot="1" x14ac:dyDescent="0.35">
      <c r="A1167" s="1">
        <v>44238</v>
      </c>
      <c r="B1167">
        <v>15.25</v>
      </c>
      <c r="C1167">
        <v>47.84</v>
      </c>
      <c r="D1167">
        <v>270.55</v>
      </c>
      <c r="E1167">
        <v>202.58</v>
      </c>
      <c r="F1167">
        <v>58.38</v>
      </c>
      <c r="H1167" s="10">
        <f t="shared" si="112"/>
        <v>3.3197831978319714E-2</v>
      </c>
      <c r="I1167" s="10">
        <f t="shared" si="108"/>
        <v>1.7655817911082838E-2</v>
      </c>
      <c r="J1167" s="10">
        <f t="shared" si="109"/>
        <v>8.4989003615760783E-3</v>
      </c>
      <c r="K1167" s="10">
        <f t="shared" si="110"/>
        <v>-8.85561915944999E-3</v>
      </c>
      <c r="L1167" s="10">
        <f t="shared" si="111"/>
        <v>-2.2110552763819125E-2</v>
      </c>
      <c r="M1167" s="10">
        <f t="shared" si="113"/>
        <v>1.662446609887791E-3</v>
      </c>
      <c r="N1167" s="1"/>
      <c r="O1167" s="2">
        <v>3916.4</v>
      </c>
      <c r="P1167" s="12"/>
    </row>
    <row r="1168" spans="1:16" ht="15" thickBot="1" x14ac:dyDescent="0.35">
      <c r="A1168" s="1">
        <v>44237</v>
      </c>
      <c r="B1168">
        <v>14.76</v>
      </c>
      <c r="C1168">
        <v>47.01</v>
      </c>
      <c r="D1168">
        <v>268.27</v>
      </c>
      <c r="E1168">
        <v>204.39</v>
      </c>
      <c r="F1168">
        <v>59.7</v>
      </c>
      <c r="H1168" s="10">
        <f t="shared" si="112"/>
        <v>3.5063113604488105E-2</v>
      </c>
      <c r="I1168" s="10">
        <f t="shared" si="108"/>
        <v>-9.481668773704266E-3</v>
      </c>
      <c r="J1168" s="10">
        <f t="shared" si="109"/>
        <v>-5.2551651068338368E-2</v>
      </c>
      <c r="K1168" s="10">
        <f t="shared" si="110"/>
        <v>1.3286401269148707E-2</v>
      </c>
      <c r="L1168" s="10">
        <f t="shared" si="111"/>
        <v>-5.1658056990501189E-3</v>
      </c>
      <c r="M1168" s="10">
        <f t="shared" si="113"/>
        <v>-3.3237880957248667E-4</v>
      </c>
      <c r="N1168" s="1"/>
      <c r="O1168" s="2">
        <v>3909.9</v>
      </c>
      <c r="P1168" s="12"/>
    </row>
    <row r="1169" spans="1:16" ht="15" thickBot="1" x14ac:dyDescent="0.35">
      <c r="A1169" s="1">
        <v>44236</v>
      </c>
      <c r="B1169">
        <v>14.26</v>
      </c>
      <c r="C1169">
        <v>47.46</v>
      </c>
      <c r="D1169">
        <v>283.14999999999998</v>
      </c>
      <c r="E1169">
        <v>201.71</v>
      </c>
      <c r="F1169">
        <v>60.01</v>
      </c>
      <c r="H1169" s="10">
        <f t="shared" si="112"/>
        <v>-1.2465373961218829E-2</v>
      </c>
      <c r="I1169" s="10">
        <f t="shared" si="108"/>
        <v>4.0194626613072604E-3</v>
      </c>
      <c r="J1169" s="10">
        <f t="shared" si="109"/>
        <v>-1.6191237274590931E-2</v>
      </c>
      <c r="K1169" s="10">
        <f t="shared" si="110"/>
        <v>-1.9730767361617385E-2</v>
      </c>
      <c r="L1169" s="10">
        <f t="shared" si="111"/>
        <v>-6.7858325057928992E-3</v>
      </c>
      <c r="M1169" s="10">
        <f t="shared" si="113"/>
        <v>-1.1237102870569338E-3</v>
      </c>
      <c r="N1169" s="1"/>
      <c r="O1169" s="2">
        <v>3911.2</v>
      </c>
      <c r="P1169" s="12"/>
    </row>
    <row r="1170" spans="1:16" ht="15" thickBot="1" x14ac:dyDescent="0.35">
      <c r="A1170" s="1">
        <v>44235</v>
      </c>
      <c r="B1170">
        <v>14.44</v>
      </c>
      <c r="C1170">
        <v>47.27</v>
      </c>
      <c r="D1170">
        <v>287.81</v>
      </c>
      <c r="E1170">
        <v>205.77</v>
      </c>
      <c r="F1170">
        <v>60.42</v>
      </c>
      <c r="H1170" s="10">
        <f t="shared" si="112"/>
        <v>6.2545989698307602E-2</v>
      </c>
      <c r="I1170" s="10">
        <f t="shared" si="108"/>
        <v>1.4377682403433623E-2</v>
      </c>
      <c r="J1170" s="10">
        <f t="shared" si="109"/>
        <v>1.3130104196001247E-2</v>
      </c>
      <c r="K1170" s="10">
        <f t="shared" si="110"/>
        <v>1.9824552708529453E-2</v>
      </c>
      <c r="L1170" s="10">
        <f t="shared" si="111"/>
        <v>1.8887015177065924E-2</v>
      </c>
      <c r="M1170" s="10">
        <f t="shared" si="113"/>
        <v>7.4096943501080759E-3</v>
      </c>
      <c r="N1170" s="1"/>
      <c r="O1170" s="2">
        <v>3915.6</v>
      </c>
      <c r="P1170" s="12"/>
    </row>
    <row r="1171" spans="1:16" ht="15" thickBot="1" x14ac:dyDescent="0.35">
      <c r="A1171" s="1">
        <v>44232</v>
      </c>
      <c r="B1171">
        <v>13.59</v>
      </c>
      <c r="C1171">
        <v>46.6</v>
      </c>
      <c r="D1171">
        <v>284.08</v>
      </c>
      <c r="E1171">
        <v>201.77</v>
      </c>
      <c r="F1171">
        <v>59.3</v>
      </c>
      <c r="H1171" s="10">
        <f t="shared" si="112"/>
        <v>-5.1244509516837899E-3</v>
      </c>
      <c r="I1171" s="10">
        <f t="shared" ref="I1171:I1234" si="114">(C1171/C1172)-1</f>
        <v>-9.7747556311091888E-3</v>
      </c>
      <c r="J1171" s="10">
        <f t="shared" ref="J1171:J1234" si="115">(D1171/D1172)-1</f>
        <v>2.6470899657642377E-3</v>
      </c>
      <c r="K1171" s="10">
        <f t="shared" ref="K1171:K1234" si="116">(E1171/E1172)-1</f>
        <v>7.4397381212176761E-4</v>
      </c>
      <c r="L1171" s="10">
        <f t="shared" ref="L1171:L1234" si="117">(F1171/F1172)-1</f>
        <v>2.844259451959763E-2</v>
      </c>
      <c r="M1171" s="10">
        <f t="shared" si="113"/>
        <v>3.9000955652557234E-3</v>
      </c>
      <c r="N1171" s="1"/>
      <c r="O1171" s="2">
        <v>3886.8</v>
      </c>
      <c r="P1171" s="12"/>
    </row>
    <row r="1172" spans="1:16" ht="15" thickBot="1" x14ac:dyDescent="0.35">
      <c r="A1172" s="1">
        <v>44231</v>
      </c>
      <c r="B1172">
        <v>13.66</v>
      </c>
      <c r="C1172">
        <v>47.06</v>
      </c>
      <c r="D1172">
        <v>283.33</v>
      </c>
      <c r="E1172">
        <v>201.62</v>
      </c>
      <c r="F1172">
        <v>57.66</v>
      </c>
      <c r="H1172" s="10">
        <f t="shared" si="112"/>
        <v>9.6082779009609709E-3</v>
      </c>
      <c r="I1172" s="10">
        <f t="shared" si="114"/>
        <v>1.1607910576096225E-2</v>
      </c>
      <c r="J1172" s="10">
        <f t="shared" si="115"/>
        <v>-5.510705510705538E-3</v>
      </c>
      <c r="K1172" s="10">
        <f t="shared" si="116"/>
        <v>2.3659626320065019E-2</v>
      </c>
      <c r="L1172" s="10">
        <f t="shared" si="117"/>
        <v>-2.1218808351722962E-2</v>
      </c>
      <c r="M1172" s="10">
        <f t="shared" si="113"/>
        <v>1.0834943344995018E-2</v>
      </c>
      <c r="N1172" s="1"/>
      <c r="O1172" s="2">
        <v>3871.7</v>
      </c>
      <c r="P1172" s="12"/>
    </row>
    <row r="1173" spans="1:16" ht="15" thickBot="1" x14ac:dyDescent="0.35">
      <c r="A1173" s="1">
        <v>44230</v>
      </c>
      <c r="B1173">
        <v>13.53</v>
      </c>
      <c r="C1173">
        <v>46.52</v>
      </c>
      <c r="D1173">
        <v>284.89999999999998</v>
      </c>
      <c r="E1173">
        <v>196.96</v>
      </c>
      <c r="F1173">
        <v>58.91</v>
      </c>
      <c r="H1173" s="10">
        <f t="shared" si="112"/>
        <v>-2.2123893805310324E-3</v>
      </c>
      <c r="I1173" s="10">
        <f t="shared" si="114"/>
        <v>-2.4533445166701529E-2</v>
      </c>
      <c r="J1173" s="10">
        <f t="shared" si="115"/>
        <v>-2.0726635273089822E-2</v>
      </c>
      <c r="K1173" s="10">
        <f t="shared" si="116"/>
        <v>-3.0370520348248498E-3</v>
      </c>
      <c r="L1173" s="10">
        <f t="shared" si="117"/>
        <v>-1.207445916485006E-2</v>
      </c>
      <c r="M1173" s="10">
        <f t="shared" si="113"/>
        <v>1.0192614274886491E-3</v>
      </c>
      <c r="N1173" s="1"/>
      <c r="O1173" s="2">
        <v>3830.2</v>
      </c>
      <c r="P1173" s="12"/>
    </row>
    <row r="1174" spans="1:16" ht="15" thickBot="1" x14ac:dyDescent="0.35">
      <c r="A1174" s="1">
        <v>44229</v>
      </c>
      <c r="B1174">
        <v>13.56</v>
      </c>
      <c r="C1174">
        <v>47.69</v>
      </c>
      <c r="D1174">
        <v>290.93</v>
      </c>
      <c r="E1174">
        <v>197.56</v>
      </c>
      <c r="F1174">
        <v>59.63</v>
      </c>
      <c r="H1174" s="10">
        <f t="shared" si="112"/>
        <v>2.4169184290030232E-2</v>
      </c>
      <c r="I1174" s="10">
        <f t="shared" si="114"/>
        <v>2.1855581744161023E-2</v>
      </c>
      <c r="J1174" s="10">
        <f t="shared" si="115"/>
        <v>3.9258412516967933E-2</v>
      </c>
      <c r="K1174" s="10">
        <f t="shared" si="116"/>
        <v>-2.7468740769912348E-2</v>
      </c>
      <c r="L1174" s="10">
        <f t="shared" si="117"/>
        <v>-4.1750167000668137E-3</v>
      </c>
      <c r="M1174" s="10">
        <f t="shared" si="113"/>
        <v>1.3884840615808525E-2</v>
      </c>
      <c r="N1174" s="1"/>
      <c r="O1174" s="2">
        <v>3826.3</v>
      </c>
      <c r="P1174" s="12"/>
    </row>
    <row r="1175" spans="1:16" ht="15" thickBot="1" x14ac:dyDescent="0.35">
      <c r="A1175" s="1">
        <v>44228</v>
      </c>
      <c r="B1175">
        <v>13.24</v>
      </c>
      <c r="C1175">
        <v>46.67</v>
      </c>
      <c r="D1175">
        <v>279.94</v>
      </c>
      <c r="E1175">
        <v>203.14</v>
      </c>
      <c r="F1175">
        <v>59.88</v>
      </c>
      <c r="H1175" s="10">
        <f t="shared" si="112"/>
        <v>1.9245573518090753E-2</v>
      </c>
      <c r="I1175" s="10">
        <f t="shared" si="114"/>
        <v>3.5960044395116686E-2</v>
      </c>
      <c r="J1175" s="10">
        <f t="shared" si="115"/>
        <v>5.8334278477184309E-2</v>
      </c>
      <c r="K1175" s="10">
        <f t="shared" si="116"/>
        <v>-2.322450353416361E-2</v>
      </c>
      <c r="L1175" s="10">
        <f t="shared" si="117"/>
        <v>4.6979865771812346E-3</v>
      </c>
      <c r="M1175" s="10">
        <f t="shared" si="113"/>
        <v>1.6073447848796496E-2</v>
      </c>
      <c r="N1175" s="1"/>
      <c r="O1175" s="2">
        <v>3773.9</v>
      </c>
      <c r="P1175" s="12"/>
    </row>
    <row r="1176" spans="1:16" ht="15" thickBot="1" x14ac:dyDescent="0.35">
      <c r="A1176" s="1">
        <v>44225</v>
      </c>
      <c r="B1176">
        <v>12.99</v>
      </c>
      <c r="C1176">
        <v>45.05</v>
      </c>
      <c r="D1176">
        <v>264.51</v>
      </c>
      <c r="E1176">
        <v>207.97</v>
      </c>
      <c r="F1176">
        <v>59.6</v>
      </c>
      <c r="H1176" s="10">
        <f t="shared" si="112"/>
        <v>-4.5977011494253706E-3</v>
      </c>
      <c r="I1176" s="10">
        <f t="shared" si="114"/>
        <v>-2.6566305069737339E-3</v>
      </c>
      <c r="J1176" s="10">
        <f t="shared" si="115"/>
        <v>-5.0165182418845267E-2</v>
      </c>
      <c r="K1176" s="10">
        <f t="shared" si="116"/>
        <v>-1.0232248239101516E-2</v>
      </c>
      <c r="L1176" s="10">
        <f t="shared" si="117"/>
        <v>-2.1764607399965552E-3</v>
      </c>
      <c r="M1176" s="10">
        <f t="shared" si="113"/>
        <v>-1.9327242963510627E-2</v>
      </c>
      <c r="N1176" s="1"/>
      <c r="O1176" s="2">
        <v>3714.2</v>
      </c>
      <c r="P1176" s="12"/>
    </row>
    <row r="1177" spans="1:16" ht="15" thickBot="1" x14ac:dyDescent="0.35">
      <c r="A1177" s="1">
        <v>44224</v>
      </c>
      <c r="B1177">
        <v>13.05</v>
      </c>
      <c r="C1177">
        <v>45.17</v>
      </c>
      <c r="D1177">
        <v>278.48</v>
      </c>
      <c r="E1177">
        <v>210.12</v>
      </c>
      <c r="F1177">
        <v>59.73</v>
      </c>
      <c r="H1177" s="10">
        <f t="shared" si="112"/>
        <v>1.0061919504644079E-2</v>
      </c>
      <c r="I1177" s="10">
        <f t="shared" si="114"/>
        <v>1.5740948954351408E-2</v>
      </c>
      <c r="J1177" s="10">
        <f t="shared" si="115"/>
        <v>-3.3223398715500729E-2</v>
      </c>
      <c r="K1177" s="10">
        <f t="shared" si="116"/>
        <v>1.2285012285012442E-2</v>
      </c>
      <c r="L1177" s="10">
        <f t="shared" si="117"/>
        <v>1.4263881813550539E-2</v>
      </c>
      <c r="M1177" s="10">
        <f t="shared" si="113"/>
        <v>9.7579183107603384E-3</v>
      </c>
      <c r="N1177" s="1"/>
      <c r="O1177" s="2">
        <v>3787.4</v>
      </c>
      <c r="P1177" s="12"/>
    </row>
    <row r="1178" spans="1:16" ht="15" thickBot="1" x14ac:dyDescent="0.35">
      <c r="A1178" s="1">
        <v>44223</v>
      </c>
      <c r="B1178">
        <v>12.92</v>
      </c>
      <c r="C1178">
        <v>44.47</v>
      </c>
      <c r="D1178">
        <v>288.05</v>
      </c>
      <c r="E1178">
        <v>207.57</v>
      </c>
      <c r="F1178">
        <v>58.89</v>
      </c>
      <c r="H1178" s="10">
        <f t="shared" si="112"/>
        <v>-3.8690476190476164E-2</v>
      </c>
      <c r="I1178" s="10">
        <f t="shared" si="114"/>
        <v>-4.1388230222030642E-2</v>
      </c>
      <c r="J1178" s="10">
        <f t="shared" si="115"/>
        <v>-2.1436336458757976E-2</v>
      </c>
      <c r="K1178" s="10">
        <f t="shared" si="116"/>
        <v>-2.4210229409552531E-2</v>
      </c>
      <c r="L1178" s="10">
        <f t="shared" si="117"/>
        <v>-4.2127521145087776E-2</v>
      </c>
      <c r="M1178" s="10">
        <f t="shared" si="113"/>
        <v>-2.5665004156275928E-2</v>
      </c>
      <c r="N1178" s="1"/>
      <c r="O1178" s="2">
        <v>3750.8</v>
      </c>
      <c r="P1178" s="12"/>
    </row>
    <row r="1179" spans="1:16" ht="15" thickBot="1" x14ac:dyDescent="0.35">
      <c r="A1179" s="1">
        <v>44222</v>
      </c>
      <c r="B1179">
        <v>13.44</v>
      </c>
      <c r="C1179">
        <v>46.39</v>
      </c>
      <c r="D1179">
        <v>294.36</v>
      </c>
      <c r="E1179">
        <v>212.72</v>
      </c>
      <c r="F1179">
        <v>61.48</v>
      </c>
      <c r="H1179" s="10">
        <f t="shared" si="112"/>
        <v>-1.5384615384615441E-2</v>
      </c>
      <c r="I1179" s="10">
        <f t="shared" si="114"/>
        <v>-1.9363166953527688E-3</v>
      </c>
      <c r="J1179" s="10">
        <f t="shared" si="115"/>
        <v>2.5885558583105261E-3</v>
      </c>
      <c r="K1179" s="10">
        <f t="shared" si="116"/>
        <v>1.7424064045208354E-3</v>
      </c>
      <c r="L1179" s="10">
        <f t="shared" si="117"/>
        <v>-2.5957170668398089E-3</v>
      </c>
      <c r="M1179" s="10">
        <f t="shared" si="113"/>
        <v>-1.5043834621569774E-3</v>
      </c>
      <c r="N1179" s="1"/>
      <c r="O1179" s="2">
        <v>3849.6</v>
      </c>
      <c r="P1179" s="12"/>
    </row>
    <row r="1180" spans="1:16" ht="15" thickBot="1" x14ac:dyDescent="0.35">
      <c r="A1180" s="1">
        <v>44221</v>
      </c>
      <c r="B1180">
        <v>13.65</v>
      </c>
      <c r="C1180">
        <v>46.48</v>
      </c>
      <c r="D1180">
        <v>293.60000000000002</v>
      </c>
      <c r="E1180">
        <v>212.35</v>
      </c>
      <c r="F1180">
        <v>61.64</v>
      </c>
      <c r="H1180" s="10">
        <f t="shared" si="112"/>
        <v>-4.3763676148796948E-3</v>
      </c>
      <c r="I1180" s="10">
        <f t="shared" si="114"/>
        <v>-4.3010752688177334E-4</v>
      </c>
      <c r="J1180" s="10">
        <f t="shared" si="115"/>
        <v>4.0360015591226484E-2</v>
      </c>
      <c r="K1180" s="10">
        <f t="shared" si="116"/>
        <v>3.0125157659842916E-2</v>
      </c>
      <c r="L1180" s="10">
        <f t="shared" si="117"/>
        <v>-1.7813765182186359E-3</v>
      </c>
      <c r="M1180" s="10">
        <f t="shared" si="113"/>
        <v>3.61837823766753E-3</v>
      </c>
      <c r="N1180" s="1"/>
      <c r="O1180" s="2">
        <v>3855.4</v>
      </c>
      <c r="P1180" s="12"/>
    </row>
    <row r="1181" spans="1:16" ht="15" thickBot="1" x14ac:dyDescent="0.35">
      <c r="A1181" s="1">
        <v>44218</v>
      </c>
      <c r="B1181">
        <v>13.71</v>
      </c>
      <c r="C1181">
        <v>46.5</v>
      </c>
      <c r="D1181">
        <v>282.20999999999998</v>
      </c>
      <c r="E1181">
        <v>206.14</v>
      </c>
      <c r="F1181">
        <v>61.75</v>
      </c>
      <c r="H1181" s="10">
        <f t="shared" si="112"/>
        <v>-1.1535688536409405E-2</v>
      </c>
      <c r="I1181" s="10">
        <f t="shared" si="114"/>
        <v>-3.856041131105381E-3</v>
      </c>
      <c r="J1181" s="10">
        <f t="shared" si="115"/>
        <v>1.9527089398563291E-3</v>
      </c>
      <c r="K1181" s="10">
        <f t="shared" si="116"/>
        <v>1.8729923400049309E-2</v>
      </c>
      <c r="L1181" s="10">
        <f t="shared" si="117"/>
        <v>-8.9873214572300242E-3</v>
      </c>
      <c r="M1181" s="10">
        <f t="shared" si="113"/>
        <v>-3.0105629233604381E-3</v>
      </c>
      <c r="N1181" s="1"/>
      <c r="O1181" s="2">
        <v>3841.5</v>
      </c>
      <c r="P1181" s="12"/>
    </row>
    <row r="1182" spans="1:16" ht="15" thickBot="1" x14ac:dyDescent="0.35">
      <c r="A1182" s="1">
        <v>44217</v>
      </c>
      <c r="B1182">
        <v>13.87</v>
      </c>
      <c r="C1182">
        <v>46.68</v>
      </c>
      <c r="D1182">
        <v>281.66000000000003</v>
      </c>
      <c r="E1182">
        <v>202.35</v>
      </c>
      <c r="F1182">
        <v>62.31</v>
      </c>
      <c r="H1182" s="10">
        <f t="shared" si="112"/>
        <v>3.7397157816005944E-2</v>
      </c>
      <c r="I1182" s="10">
        <f t="shared" si="114"/>
        <v>1.0608356787183526E-2</v>
      </c>
      <c r="J1182" s="10">
        <f t="shared" si="115"/>
        <v>-6.4202060110060133E-3</v>
      </c>
      <c r="K1182" s="10">
        <f t="shared" si="116"/>
        <v>5.4158799562755711E-3</v>
      </c>
      <c r="L1182" s="10">
        <f t="shared" si="117"/>
        <v>-1.9049118387909347E-2</v>
      </c>
      <c r="M1182" s="10">
        <f t="shared" si="113"/>
        <v>3.3750454333025814E-4</v>
      </c>
      <c r="N1182" s="1"/>
      <c r="O1182" s="2">
        <v>3853.1</v>
      </c>
      <c r="P1182" s="12"/>
    </row>
    <row r="1183" spans="1:16" ht="15" thickBot="1" x14ac:dyDescent="0.35">
      <c r="A1183" s="1">
        <v>44216</v>
      </c>
      <c r="B1183">
        <v>13.37</v>
      </c>
      <c r="C1183">
        <v>46.19</v>
      </c>
      <c r="D1183">
        <v>283.48</v>
      </c>
      <c r="E1183">
        <v>201.26</v>
      </c>
      <c r="F1183">
        <v>63.52</v>
      </c>
      <c r="H1183" s="10">
        <f t="shared" si="112"/>
        <v>2.609363008442056E-2</v>
      </c>
      <c r="I1183" s="10">
        <f t="shared" si="114"/>
        <v>5.6607881558894402E-3</v>
      </c>
      <c r="J1183" s="10">
        <f t="shared" si="115"/>
        <v>6.9622051719240297E-3</v>
      </c>
      <c r="K1183" s="10">
        <f t="shared" si="116"/>
        <v>1.4006449012494926E-2</v>
      </c>
      <c r="L1183" s="10">
        <f t="shared" si="117"/>
        <v>2.7000808407437349E-2</v>
      </c>
      <c r="M1183" s="10">
        <f t="shared" si="113"/>
        <v>1.3925083576824981E-2</v>
      </c>
      <c r="N1183" s="1"/>
      <c r="O1183" s="2">
        <v>3851.8</v>
      </c>
      <c r="P1183" s="12"/>
    </row>
    <row r="1184" spans="1:16" ht="15" thickBot="1" x14ac:dyDescent="0.35">
      <c r="A1184" s="1">
        <v>44215</v>
      </c>
      <c r="B1184">
        <v>13.03</v>
      </c>
      <c r="C1184">
        <v>45.93</v>
      </c>
      <c r="D1184">
        <v>281.52</v>
      </c>
      <c r="E1184">
        <v>198.48</v>
      </c>
      <c r="F1184">
        <v>61.85</v>
      </c>
      <c r="H1184" s="10">
        <f t="shared" si="112"/>
        <v>1.3219284603421366E-2</v>
      </c>
      <c r="I1184" s="10">
        <f t="shared" si="114"/>
        <v>3.0051581071989242E-2</v>
      </c>
      <c r="J1184" s="10">
        <f t="shared" si="115"/>
        <v>2.2259341297795832E-2</v>
      </c>
      <c r="K1184" s="10">
        <f t="shared" si="116"/>
        <v>4.0415159616291829E-2</v>
      </c>
      <c r="L1184" s="10">
        <f t="shared" si="117"/>
        <v>-1.6165535079204485E-4</v>
      </c>
      <c r="M1184" s="10">
        <f t="shared" si="113"/>
        <v>8.1471259487289061E-3</v>
      </c>
      <c r="N1184" s="1"/>
      <c r="O1184" s="2">
        <v>3798.9</v>
      </c>
      <c r="P1184" s="12"/>
    </row>
    <row r="1185" spans="1:16" ht="15" thickBot="1" x14ac:dyDescent="0.35">
      <c r="A1185" s="1">
        <v>44211</v>
      </c>
      <c r="B1185">
        <v>12.86</v>
      </c>
      <c r="C1185">
        <v>44.59</v>
      </c>
      <c r="D1185">
        <v>275.39</v>
      </c>
      <c r="E1185">
        <v>190.77</v>
      </c>
      <c r="F1185">
        <v>61.86</v>
      </c>
      <c r="H1185" s="10">
        <f t="shared" si="112"/>
        <v>-2.5757575757575757E-2</v>
      </c>
      <c r="I1185" s="10">
        <f t="shared" si="114"/>
        <v>-1.3713780137137754E-2</v>
      </c>
      <c r="J1185" s="10">
        <f t="shared" si="115"/>
        <v>-2.2295594134980723E-2</v>
      </c>
      <c r="K1185" s="10">
        <f t="shared" si="116"/>
        <v>2.1854411055761025E-2</v>
      </c>
      <c r="L1185" s="10">
        <f t="shared" si="117"/>
        <v>-2.3211747986736087E-2</v>
      </c>
      <c r="M1185" s="10">
        <f t="shared" si="113"/>
        <v>-7.1927282307996387E-3</v>
      </c>
      <c r="N1185" s="1"/>
      <c r="O1185" s="2">
        <v>3768.2</v>
      </c>
      <c r="P1185" s="12"/>
    </row>
    <row r="1186" spans="1:16" ht="15" thickBot="1" x14ac:dyDescent="0.35">
      <c r="A1186" s="1">
        <v>44210</v>
      </c>
      <c r="B1186">
        <v>13.2</v>
      </c>
      <c r="C1186">
        <v>45.21</v>
      </c>
      <c r="D1186">
        <v>281.67</v>
      </c>
      <c r="E1186">
        <v>186.69</v>
      </c>
      <c r="F1186">
        <v>63.33</v>
      </c>
      <c r="H1186" s="10">
        <f t="shared" si="112"/>
        <v>-2.4390243902439046E-2</v>
      </c>
      <c r="I1186" s="10">
        <f t="shared" si="114"/>
        <v>1.9946808510638014E-3</v>
      </c>
      <c r="J1186" s="10">
        <f t="shared" si="115"/>
        <v>-1.0990168539325773E-2</v>
      </c>
      <c r="K1186" s="10">
        <f t="shared" si="116"/>
        <v>6.4150943396226179E-3</v>
      </c>
      <c r="L1186" s="10">
        <f t="shared" si="117"/>
        <v>2.0299661672305458E-2</v>
      </c>
      <c r="M1186" s="10">
        <f t="shared" si="113"/>
        <v>-3.7534778728542939E-3</v>
      </c>
      <c r="N1186" s="1"/>
      <c r="O1186" s="2">
        <v>3795.5</v>
      </c>
      <c r="P1186" s="12"/>
    </row>
    <row r="1187" spans="1:16" ht="15" thickBot="1" x14ac:dyDescent="0.35">
      <c r="A1187" s="1">
        <v>44209</v>
      </c>
      <c r="B1187">
        <v>13.53</v>
      </c>
      <c r="C1187">
        <v>45.12</v>
      </c>
      <c r="D1187">
        <v>284.8</v>
      </c>
      <c r="E1187">
        <v>185.5</v>
      </c>
      <c r="F1187">
        <v>62.07</v>
      </c>
      <c r="H1187" s="10">
        <f t="shared" si="112"/>
        <v>3.7091988130562026E-3</v>
      </c>
      <c r="I1187" s="10">
        <f t="shared" si="114"/>
        <v>4.0053404539386328E-3</v>
      </c>
      <c r="J1187" s="10">
        <f t="shared" si="115"/>
        <v>5.827300017658521E-3</v>
      </c>
      <c r="K1187" s="10">
        <f t="shared" si="116"/>
        <v>3.7472035794183345E-2</v>
      </c>
      <c r="L1187" s="10">
        <f t="shared" si="117"/>
        <v>-6.7210753720595706E-3</v>
      </c>
      <c r="M1187" s="10">
        <f t="shared" si="113"/>
        <v>2.2624434389140191E-3</v>
      </c>
      <c r="N1187" s="1"/>
      <c r="O1187" s="2">
        <v>3809.8</v>
      </c>
      <c r="P1187" s="12"/>
    </row>
    <row r="1188" spans="1:16" ht="15" thickBot="1" x14ac:dyDescent="0.35">
      <c r="A1188" s="1">
        <v>44208</v>
      </c>
      <c r="B1188">
        <v>13.48</v>
      </c>
      <c r="C1188">
        <v>44.94</v>
      </c>
      <c r="D1188">
        <v>283.14999999999998</v>
      </c>
      <c r="E1188">
        <v>178.8</v>
      </c>
      <c r="F1188">
        <v>62.49</v>
      </c>
      <c r="H1188" s="10">
        <f t="shared" si="112"/>
        <v>-1.0279001468428639E-2</v>
      </c>
      <c r="I1188" s="10">
        <f t="shared" si="114"/>
        <v>8.0753701211304652E-3</v>
      </c>
      <c r="J1188" s="10">
        <f t="shared" si="115"/>
        <v>4.7152366863905337E-2</v>
      </c>
      <c r="K1188" s="10">
        <f t="shared" si="116"/>
        <v>-3.83994837044207E-2</v>
      </c>
      <c r="L1188" s="10">
        <f t="shared" si="117"/>
        <v>8.7167070217917253E-3</v>
      </c>
      <c r="M1188" s="10">
        <f t="shared" si="113"/>
        <v>4.2109695757441834E-4</v>
      </c>
      <c r="N1188" s="1"/>
      <c r="O1188" s="2">
        <v>3801.2</v>
      </c>
      <c r="P1188" s="12"/>
    </row>
    <row r="1189" spans="1:16" ht="15" thickBot="1" x14ac:dyDescent="0.35">
      <c r="A1189" s="1">
        <v>44207</v>
      </c>
      <c r="B1189">
        <v>13.62</v>
      </c>
      <c r="C1189">
        <v>44.58</v>
      </c>
      <c r="D1189">
        <v>270.39999999999998</v>
      </c>
      <c r="E1189">
        <v>185.94</v>
      </c>
      <c r="F1189">
        <v>61.95</v>
      </c>
      <c r="H1189" s="10">
        <f t="shared" si="112"/>
        <v>2.5602409638554313E-2</v>
      </c>
      <c r="I1189" s="10">
        <f t="shared" si="114"/>
        <v>4.4883303411125119E-4</v>
      </c>
      <c r="J1189" s="10">
        <f t="shared" si="115"/>
        <v>-7.8202768118906363E-2</v>
      </c>
      <c r="K1189" s="10">
        <f t="shared" si="116"/>
        <v>0.11736073553272042</v>
      </c>
      <c r="L1189" s="10">
        <f t="shared" si="117"/>
        <v>-1.3377926421404673E-2</v>
      </c>
      <c r="M1189" s="10">
        <f t="shared" si="113"/>
        <v>-6.5626062174810595E-3</v>
      </c>
      <c r="N1189" s="1"/>
      <c r="O1189" s="2">
        <v>3799.6</v>
      </c>
      <c r="P1189" s="12"/>
    </row>
    <row r="1190" spans="1:16" ht="15" thickBot="1" x14ac:dyDescent="0.35">
      <c r="A1190" s="1">
        <v>44204</v>
      </c>
      <c r="B1190">
        <v>13.28</v>
      </c>
      <c r="C1190">
        <v>44.56</v>
      </c>
      <c r="D1190">
        <v>293.33999999999997</v>
      </c>
      <c r="E1190">
        <v>166.41</v>
      </c>
      <c r="F1190">
        <v>62.79</v>
      </c>
      <c r="H1190" s="10">
        <f t="shared" si="112"/>
        <v>-4.4977511244378432E-3</v>
      </c>
      <c r="I1190" s="10">
        <f t="shared" si="114"/>
        <v>4.9616599007666906E-3</v>
      </c>
      <c r="J1190" s="10">
        <f t="shared" si="115"/>
        <v>7.8416234697253673E-2</v>
      </c>
      <c r="K1190" s="10">
        <f t="shared" si="116"/>
        <v>3.4975577398539404E-3</v>
      </c>
      <c r="L1190" s="10">
        <f t="shared" si="117"/>
        <v>-3.6076143690512819E-2</v>
      </c>
      <c r="M1190" s="10">
        <f t="shared" si="113"/>
        <v>5.494505494505475E-3</v>
      </c>
      <c r="N1190" s="1"/>
      <c r="O1190" s="2">
        <v>3824.7</v>
      </c>
      <c r="P1190" s="12"/>
    </row>
    <row r="1191" spans="1:16" ht="15" thickBot="1" x14ac:dyDescent="0.35">
      <c r="A1191" s="1">
        <v>44203</v>
      </c>
      <c r="B1191">
        <v>13.34</v>
      </c>
      <c r="C1191">
        <v>44.34</v>
      </c>
      <c r="D1191">
        <v>272.01</v>
      </c>
      <c r="E1191">
        <v>165.83</v>
      </c>
      <c r="F1191">
        <v>65.14</v>
      </c>
      <c r="H1191" s="10">
        <f t="shared" si="112"/>
        <v>5.7890563045202237E-2</v>
      </c>
      <c r="I1191" s="10">
        <f t="shared" si="114"/>
        <v>4.2068155111633532E-2</v>
      </c>
      <c r="J1191" s="10">
        <f t="shared" si="115"/>
        <v>7.9447597126869995E-2</v>
      </c>
      <c r="K1191" s="10">
        <f t="shared" si="116"/>
        <v>9.1893865628043248E-3</v>
      </c>
      <c r="L1191" s="10">
        <f t="shared" si="117"/>
        <v>-1.532801961986463E-3</v>
      </c>
      <c r="M1191" s="10">
        <f t="shared" si="113"/>
        <v>1.4860862837170918E-2</v>
      </c>
      <c r="N1191" s="1"/>
      <c r="O1191" s="2">
        <v>3803.8</v>
      </c>
      <c r="P1191" s="12"/>
    </row>
    <row r="1192" spans="1:16" ht="15" thickBot="1" x14ac:dyDescent="0.35">
      <c r="A1192" s="1">
        <v>44202</v>
      </c>
      <c r="B1192">
        <v>12.61</v>
      </c>
      <c r="C1192">
        <v>42.55</v>
      </c>
      <c r="D1192">
        <v>251.99</v>
      </c>
      <c r="E1192">
        <v>164.32</v>
      </c>
      <c r="F1192">
        <v>65.239999999999995</v>
      </c>
      <c r="H1192" s="10">
        <f t="shared" si="112"/>
        <v>-5.8955223880597041E-2</v>
      </c>
      <c r="I1192" s="10">
        <f t="shared" si="114"/>
        <v>-6.0733473487504241E-3</v>
      </c>
      <c r="J1192" s="10">
        <f t="shared" si="115"/>
        <v>2.8362716291217893E-2</v>
      </c>
      <c r="K1192" s="10">
        <f t="shared" si="116"/>
        <v>-1.202501202501205E-2</v>
      </c>
      <c r="L1192" s="10">
        <f t="shared" si="117"/>
        <v>2.8535393346996507E-2</v>
      </c>
      <c r="M1192" s="10">
        <f t="shared" si="113"/>
        <v>5.6883737154203029E-3</v>
      </c>
      <c r="N1192" s="1"/>
      <c r="O1192" s="2">
        <v>3748.1</v>
      </c>
      <c r="P1192" s="12"/>
    </row>
    <row r="1193" spans="1:16" ht="15" thickBot="1" x14ac:dyDescent="0.35">
      <c r="A1193" s="1">
        <v>44201</v>
      </c>
      <c r="B1193">
        <v>13.4</v>
      </c>
      <c r="C1193">
        <v>42.81</v>
      </c>
      <c r="D1193">
        <v>245.04</v>
      </c>
      <c r="E1193">
        <v>166.32</v>
      </c>
      <c r="F1193">
        <v>63.43</v>
      </c>
      <c r="H1193" s="10">
        <f t="shared" si="112"/>
        <v>2.2120518688024449E-2</v>
      </c>
      <c r="I1193" s="10">
        <f t="shared" si="114"/>
        <v>6.8203198494825035E-3</v>
      </c>
      <c r="J1193" s="10">
        <f t="shared" si="115"/>
        <v>7.317273698922877E-3</v>
      </c>
      <c r="K1193" s="10">
        <f t="shared" si="116"/>
        <v>4.9546827794562098E-3</v>
      </c>
      <c r="L1193" s="10">
        <f t="shared" si="117"/>
        <v>4.4338875692795376E-3</v>
      </c>
      <c r="M1193" s="10">
        <f t="shared" si="113"/>
        <v>7.0797416704948546E-3</v>
      </c>
      <c r="N1193" s="1"/>
      <c r="O1193" s="2">
        <v>3726.9</v>
      </c>
      <c r="P1193" s="12"/>
    </row>
    <row r="1194" spans="1:16" ht="15" thickBot="1" x14ac:dyDescent="0.35">
      <c r="A1194" s="1">
        <v>44200</v>
      </c>
      <c r="B1194">
        <v>13.11</v>
      </c>
      <c r="C1194">
        <v>42.52</v>
      </c>
      <c r="D1194">
        <v>243.26</v>
      </c>
      <c r="E1194">
        <v>165.5</v>
      </c>
      <c r="F1194">
        <v>63.15</v>
      </c>
      <c r="H1194" s="10">
        <f t="shared" si="112"/>
        <v>4.5977011494251485E-3</v>
      </c>
      <c r="I1194" s="10">
        <f t="shared" si="114"/>
        <v>-2.8780264961169477E-2</v>
      </c>
      <c r="J1194" s="10">
        <f t="shared" si="115"/>
        <v>3.418076694158656E-2</v>
      </c>
      <c r="K1194" s="10">
        <f t="shared" si="116"/>
        <v>-1.9782042170101932E-2</v>
      </c>
      <c r="L1194" s="10">
        <f t="shared" si="117"/>
        <v>5.443312740023365E-2</v>
      </c>
      <c r="M1194" s="10">
        <f t="shared" si="113"/>
        <v>-1.4749341071856437E-2</v>
      </c>
      <c r="N1194" s="1"/>
      <c r="O1194" s="2">
        <v>3700.7</v>
      </c>
      <c r="P1194" s="12"/>
    </row>
    <row r="1195" spans="1:16" ht="15" thickBot="1" x14ac:dyDescent="0.35">
      <c r="A1195" s="1">
        <v>44196</v>
      </c>
      <c r="B1195">
        <v>13.05</v>
      </c>
      <c r="C1195">
        <v>43.78</v>
      </c>
      <c r="D1195">
        <v>235.22</v>
      </c>
      <c r="E1195">
        <v>168.84</v>
      </c>
      <c r="F1195">
        <v>59.89</v>
      </c>
      <c r="H1195" s="10">
        <f t="shared" si="112"/>
        <v>-7.6045627376425395E-3</v>
      </c>
      <c r="I1195" s="10">
        <f t="shared" si="114"/>
        <v>6.8997240110395541E-3</v>
      </c>
      <c r="J1195" s="10">
        <f t="shared" si="115"/>
        <v>1.5674251910704262E-2</v>
      </c>
      <c r="K1195" s="10">
        <f t="shared" si="116"/>
        <v>1.095742769894037E-2</v>
      </c>
      <c r="L1195" s="10">
        <f t="shared" si="117"/>
        <v>-8.2795164762378137E-3</v>
      </c>
      <c r="M1195" s="10">
        <f t="shared" si="113"/>
        <v>6.4576634512325537E-3</v>
      </c>
      <c r="N1195" s="1"/>
      <c r="O1195" s="2">
        <v>3756.1</v>
      </c>
      <c r="P1195" s="12"/>
    </row>
    <row r="1196" spans="1:16" ht="15" thickBot="1" x14ac:dyDescent="0.35">
      <c r="A1196" s="1">
        <v>44195</v>
      </c>
      <c r="B1196">
        <v>13.15</v>
      </c>
      <c r="C1196">
        <v>43.48</v>
      </c>
      <c r="D1196">
        <v>231.59</v>
      </c>
      <c r="E1196">
        <v>167.01</v>
      </c>
      <c r="F1196">
        <v>60.39</v>
      </c>
      <c r="H1196" s="10">
        <f t="shared" si="112"/>
        <v>1.6228748068006338E-2</v>
      </c>
      <c r="I1196" s="10">
        <f t="shared" si="114"/>
        <v>1.3519813519813573E-2</v>
      </c>
      <c r="J1196" s="10">
        <f t="shared" si="115"/>
        <v>4.3198198198198146E-2</v>
      </c>
      <c r="K1196" s="10">
        <f t="shared" si="116"/>
        <v>2.581342297994782E-3</v>
      </c>
      <c r="L1196" s="10">
        <f t="shared" si="117"/>
        <v>1.1049723756906049E-2</v>
      </c>
      <c r="M1196" s="10">
        <f t="shared" si="113"/>
        <v>1.3415615776763978E-3</v>
      </c>
      <c r="N1196" s="1"/>
      <c r="O1196" s="2">
        <v>3732</v>
      </c>
      <c r="P1196" s="12"/>
    </row>
    <row r="1197" spans="1:16" ht="15" thickBot="1" x14ac:dyDescent="0.35">
      <c r="A1197" s="1">
        <v>44194</v>
      </c>
      <c r="B1197">
        <v>12.94</v>
      </c>
      <c r="C1197">
        <v>42.9</v>
      </c>
      <c r="D1197">
        <v>222</v>
      </c>
      <c r="E1197">
        <v>166.58</v>
      </c>
      <c r="F1197">
        <v>59.73</v>
      </c>
      <c r="H1197" s="10">
        <f t="shared" si="112"/>
        <v>3.1007751937983663E-3</v>
      </c>
      <c r="I1197" s="10">
        <f t="shared" si="114"/>
        <v>-6.7145172493632277E-3</v>
      </c>
      <c r="J1197" s="10">
        <f t="shared" si="115"/>
        <v>3.4805406138409545E-3</v>
      </c>
      <c r="K1197" s="10">
        <f t="shared" si="116"/>
        <v>4.8048048048054959E-4</v>
      </c>
      <c r="L1197" s="10">
        <f t="shared" si="117"/>
        <v>-1.5045135406219767E-3</v>
      </c>
      <c r="M1197" s="10">
        <f t="shared" si="113"/>
        <v>-2.248755153397286E-3</v>
      </c>
      <c r="N1197" s="1"/>
      <c r="O1197" s="2">
        <v>3727</v>
      </c>
      <c r="P1197" s="12"/>
    </row>
    <row r="1198" spans="1:16" ht="15" thickBot="1" x14ac:dyDescent="0.35">
      <c r="A1198" s="1">
        <v>44193</v>
      </c>
      <c r="B1198">
        <v>12.9</v>
      </c>
      <c r="C1198">
        <v>43.19</v>
      </c>
      <c r="D1198">
        <v>221.23</v>
      </c>
      <c r="E1198">
        <v>166.5</v>
      </c>
      <c r="F1198">
        <v>59.82</v>
      </c>
      <c r="H1198" s="10">
        <f t="shared" si="112"/>
        <v>-6.9284064665127154E-3</v>
      </c>
      <c r="I1198" s="10">
        <f t="shared" si="114"/>
        <v>9.2699884125146959E-4</v>
      </c>
      <c r="J1198" s="10">
        <f t="shared" si="115"/>
        <v>2.9013101228523297E-3</v>
      </c>
      <c r="K1198" s="10">
        <f t="shared" si="116"/>
        <v>-9.6003840153602304E-4</v>
      </c>
      <c r="L1198" s="10">
        <f t="shared" si="117"/>
        <v>-1.0912698412698374E-2</v>
      </c>
      <c r="M1198" s="10">
        <f t="shared" si="113"/>
        <v>8.7224217547461347E-3</v>
      </c>
      <c r="N1198" s="1"/>
      <c r="O1198" s="2">
        <v>3735.4</v>
      </c>
      <c r="P1198" s="12"/>
    </row>
    <row r="1199" spans="1:16" ht="15" thickBot="1" x14ac:dyDescent="0.35">
      <c r="A1199" s="1">
        <v>44189</v>
      </c>
      <c r="B1199">
        <v>12.99</v>
      </c>
      <c r="C1199">
        <v>43.15</v>
      </c>
      <c r="D1199">
        <v>220.59</v>
      </c>
      <c r="E1199">
        <v>166.66</v>
      </c>
      <c r="F1199">
        <v>60.48</v>
      </c>
      <c r="H1199" s="10">
        <f t="shared" si="112"/>
        <v>-1.537279016141424E-3</v>
      </c>
      <c r="I1199" s="10">
        <f t="shared" si="114"/>
        <v>1.4101057579318566E-2</v>
      </c>
      <c r="J1199" s="10">
        <f t="shared" si="115"/>
        <v>2.4427622718617981E-2</v>
      </c>
      <c r="K1199" s="10">
        <f t="shared" si="116"/>
        <v>7.1307710901620247E-3</v>
      </c>
      <c r="L1199" s="10">
        <f t="shared" si="117"/>
        <v>1.1709601873536313E-2</v>
      </c>
      <c r="M1199" s="10">
        <f t="shared" si="113"/>
        <v>3.5501355013549674E-3</v>
      </c>
      <c r="N1199" s="1"/>
      <c r="O1199" s="2">
        <v>3703.1</v>
      </c>
      <c r="P1199" s="12"/>
    </row>
    <row r="1200" spans="1:16" ht="15" thickBot="1" x14ac:dyDescent="0.35">
      <c r="A1200" s="1">
        <v>44188</v>
      </c>
      <c r="B1200">
        <v>13.01</v>
      </c>
      <c r="C1200">
        <v>42.55</v>
      </c>
      <c r="D1200">
        <v>215.33</v>
      </c>
      <c r="E1200">
        <v>165.48</v>
      </c>
      <c r="F1200">
        <v>59.78</v>
      </c>
      <c r="H1200" s="10">
        <f t="shared" si="112"/>
        <v>-2.0331325301204739E-2</v>
      </c>
      <c r="I1200" s="10">
        <f t="shared" si="114"/>
        <v>-1.7547910413299617E-2</v>
      </c>
      <c r="J1200" s="10">
        <f t="shared" si="115"/>
        <v>8.8076832981964781E-3</v>
      </c>
      <c r="K1200" s="10">
        <f t="shared" si="116"/>
        <v>-7.4376199616122962E-3</v>
      </c>
      <c r="L1200" s="10">
        <f t="shared" si="117"/>
        <v>6.2279077596365529E-3</v>
      </c>
      <c r="M1200" s="10">
        <f t="shared" si="113"/>
        <v>7.3224310471076137E-4</v>
      </c>
      <c r="N1200" s="1"/>
      <c r="O1200" s="2">
        <v>3690</v>
      </c>
      <c r="P1200" s="12"/>
    </row>
    <row r="1201" spans="1:16" ht="15" thickBot="1" x14ac:dyDescent="0.35">
      <c r="A1201" s="1">
        <v>44187</v>
      </c>
      <c r="B1201">
        <v>13.28</v>
      </c>
      <c r="C1201">
        <v>43.31</v>
      </c>
      <c r="D1201">
        <v>213.45</v>
      </c>
      <c r="E1201">
        <v>166.72</v>
      </c>
      <c r="F1201">
        <v>59.41</v>
      </c>
      <c r="H1201" s="10">
        <f t="shared" si="112"/>
        <v>-3.7509377344336903E-3</v>
      </c>
      <c r="I1201" s="10">
        <f t="shared" si="114"/>
        <v>9.7924924224761511E-3</v>
      </c>
      <c r="J1201" s="10">
        <f t="shared" si="115"/>
        <v>-1.4633921152248264E-2</v>
      </c>
      <c r="K1201" s="10">
        <f t="shared" si="116"/>
        <v>-1.2205237587391893E-2</v>
      </c>
      <c r="L1201" s="10">
        <f t="shared" si="117"/>
        <v>-2.1574440052700927E-2</v>
      </c>
      <c r="M1201" s="10">
        <f t="shared" si="113"/>
        <v>-2.0568892256894733E-3</v>
      </c>
      <c r="N1201" s="1"/>
      <c r="O1201" s="2">
        <v>3687.3</v>
      </c>
      <c r="P1201" s="12"/>
    </row>
    <row r="1202" spans="1:16" ht="15" thickBot="1" x14ac:dyDescent="0.35">
      <c r="A1202" s="1">
        <v>44186</v>
      </c>
      <c r="B1202">
        <v>13.33</v>
      </c>
      <c r="C1202">
        <v>42.89</v>
      </c>
      <c r="D1202">
        <v>216.62</v>
      </c>
      <c r="E1202">
        <v>168.78</v>
      </c>
      <c r="F1202">
        <v>60.72</v>
      </c>
      <c r="H1202" s="10">
        <f t="shared" si="112"/>
        <v>4.5214770158252815E-3</v>
      </c>
      <c r="I1202" s="10">
        <f t="shared" si="114"/>
        <v>-1.311550851357568E-2</v>
      </c>
      <c r="J1202" s="10">
        <f t="shared" si="115"/>
        <v>-6.4963094056200599E-2</v>
      </c>
      <c r="K1202" s="10">
        <f t="shared" si="116"/>
        <v>-1.5285880980163369E-2</v>
      </c>
      <c r="L1202" s="10">
        <f t="shared" si="117"/>
        <v>3.6363636363636598E-3</v>
      </c>
      <c r="M1202" s="10">
        <f t="shared" si="113"/>
        <v>-3.9089879764921953E-3</v>
      </c>
      <c r="N1202" s="1"/>
      <c r="O1202" s="2">
        <v>3694.9</v>
      </c>
      <c r="P1202" s="12"/>
    </row>
    <row r="1203" spans="1:16" ht="15" thickBot="1" x14ac:dyDescent="0.35">
      <c r="A1203" s="1">
        <v>44183</v>
      </c>
      <c r="B1203">
        <v>13.27</v>
      </c>
      <c r="C1203">
        <v>43.46</v>
      </c>
      <c r="D1203">
        <v>231.67</v>
      </c>
      <c r="E1203">
        <v>171.4</v>
      </c>
      <c r="F1203">
        <v>60.5</v>
      </c>
      <c r="H1203" s="10">
        <f t="shared" si="112"/>
        <v>-5.2473763118441319E-3</v>
      </c>
      <c r="I1203" s="10">
        <f t="shared" si="114"/>
        <v>1.9948368927481752E-2</v>
      </c>
      <c r="J1203" s="10">
        <f t="shared" si="115"/>
        <v>5.9644147646709111E-2</v>
      </c>
      <c r="K1203" s="10">
        <f t="shared" si="116"/>
        <v>-7.1250651682789323E-3</v>
      </c>
      <c r="L1203" s="10">
        <f t="shared" si="117"/>
        <v>-1.8494484101233E-2</v>
      </c>
      <c r="M1203" s="10">
        <f t="shared" si="113"/>
        <v>-3.5191403626594342E-3</v>
      </c>
      <c r="N1203" s="1"/>
      <c r="O1203" s="2">
        <v>3709.4</v>
      </c>
      <c r="P1203" s="12"/>
    </row>
    <row r="1204" spans="1:16" ht="15" thickBot="1" x14ac:dyDescent="0.35">
      <c r="A1204" s="1">
        <v>44182</v>
      </c>
      <c r="B1204">
        <v>13.34</v>
      </c>
      <c r="C1204">
        <v>42.61</v>
      </c>
      <c r="D1204">
        <v>218.63</v>
      </c>
      <c r="E1204">
        <v>172.63</v>
      </c>
      <c r="F1204">
        <v>61.64</v>
      </c>
      <c r="H1204" s="10">
        <f t="shared" si="112"/>
        <v>7.5528700906344337E-3</v>
      </c>
      <c r="I1204" s="10">
        <f t="shared" si="114"/>
        <v>2.8241939279829431E-3</v>
      </c>
      <c r="J1204" s="10">
        <f t="shared" si="115"/>
        <v>5.3181752492894585E-2</v>
      </c>
      <c r="K1204" s="10">
        <f t="shared" si="116"/>
        <v>3.371113048532326E-3</v>
      </c>
      <c r="L1204" s="10">
        <f t="shared" si="117"/>
        <v>2.3240371845949515E-2</v>
      </c>
      <c r="M1204" s="10">
        <f t="shared" si="113"/>
        <v>5.7548903058468603E-3</v>
      </c>
      <c r="N1204" s="1"/>
      <c r="O1204" s="2">
        <v>3722.5</v>
      </c>
      <c r="P1204" s="12"/>
    </row>
    <row r="1205" spans="1:16" ht="15" thickBot="1" x14ac:dyDescent="0.35">
      <c r="A1205" s="1">
        <v>44181</v>
      </c>
      <c r="B1205">
        <v>13.24</v>
      </c>
      <c r="C1205">
        <v>42.49</v>
      </c>
      <c r="D1205">
        <v>207.59</v>
      </c>
      <c r="E1205">
        <v>172.05</v>
      </c>
      <c r="F1205">
        <v>60.24</v>
      </c>
      <c r="H1205" s="10">
        <f t="shared" si="112"/>
        <v>-8.9820359281436168E-3</v>
      </c>
      <c r="I1205" s="10">
        <f t="shared" si="114"/>
        <v>1.6264051662281842E-2</v>
      </c>
      <c r="J1205" s="10">
        <f t="shared" si="115"/>
        <v>-1.6534015539132141E-2</v>
      </c>
      <c r="K1205" s="10">
        <f t="shared" si="116"/>
        <v>2.7593621214835995E-2</v>
      </c>
      <c r="L1205" s="10">
        <f t="shared" si="117"/>
        <v>2.0325203252032464E-2</v>
      </c>
      <c r="M1205" s="10">
        <f t="shared" si="113"/>
        <v>1.7863909489526097E-3</v>
      </c>
      <c r="N1205" s="1"/>
      <c r="O1205" s="2">
        <v>3701.2</v>
      </c>
      <c r="P1205" s="12"/>
    </row>
    <row r="1206" spans="1:16" ht="15" thickBot="1" x14ac:dyDescent="0.35">
      <c r="A1206" s="1">
        <v>44180</v>
      </c>
      <c r="B1206">
        <v>13.36</v>
      </c>
      <c r="C1206">
        <v>41.81</v>
      </c>
      <c r="D1206">
        <v>211.08</v>
      </c>
      <c r="E1206">
        <v>167.43</v>
      </c>
      <c r="F1206">
        <v>59.04</v>
      </c>
      <c r="H1206" s="10">
        <f t="shared" si="112"/>
        <v>3.7565740045077956E-3</v>
      </c>
      <c r="I1206" s="10">
        <f t="shared" si="114"/>
        <v>1.5298688683827111E-2</v>
      </c>
      <c r="J1206" s="10">
        <f t="shared" si="115"/>
        <v>-1.0315078769692398E-2</v>
      </c>
      <c r="K1206" s="10">
        <f t="shared" si="116"/>
        <v>6.0287505541131159E-2</v>
      </c>
      <c r="L1206" s="10">
        <f t="shared" si="117"/>
        <v>2.5712300208478034E-2</v>
      </c>
      <c r="M1206" s="10">
        <f t="shared" si="113"/>
        <v>1.2912954078135641E-2</v>
      </c>
      <c r="N1206" s="1"/>
      <c r="O1206" s="2">
        <v>3694.6</v>
      </c>
      <c r="P1206" s="12"/>
    </row>
    <row r="1207" spans="1:16" ht="15" thickBot="1" x14ac:dyDescent="0.35">
      <c r="A1207" s="1">
        <v>44179</v>
      </c>
      <c r="B1207">
        <v>13.31</v>
      </c>
      <c r="C1207">
        <v>41.18</v>
      </c>
      <c r="D1207">
        <v>213.28</v>
      </c>
      <c r="E1207">
        <v>157.91</v>
      </c>
      <c r="F1207">
        <v>57.56</v>
      </c>
      <c r="H1207" s="10">
        <f t="shared" si="112"/>
        <v>2.3059185242121583E-2</v>
      </c>
      <c r="I1207" s="10">
        <f t="shared" si="114"/>
        <v>1.4785608674223738E-2</v>
      </c>
      <c r="J1207" s="10">
        <f t="shared" si="115"/>
        <v>4.8935228446367995E-2</v>
      </c>
      <c r="K1207" s="10">
        <f t="shared" si="116"/>
        <v>-1.3309172706823302E-2</v>
      </c>
      <c r="L1207" s="10">
        <f t="shared" si="117"/>
        <v>-2.2252420587735577E-2</v>
      </c>
      <c r="M1207" s="10">
        <f t="shared" si="113"/>
        <v>-4.3674082161867522E-3</v>
      </c>
      <c r="N1207" s="1"/>
      <c r="O1207" s="2">
        <v>3647.5</v>
      </c>
      <c r="P1207" s="12"/>
    </row>
    <row r="1208" spans="1:16" ht="15" thickBot="1" x14ac:dyDescent="0.35">
      <c r="A1208" s="1">
        <v>44176</v>
      </c>
      <c r="B1208">
        <v>13.01</v>
      </c>
      <c r="C1208">
        <v>40.58</v>
      </c>
      <c r="D1208">
        <v>203.33</v>
      </c>
      <c r="E1208">
        <v>160.04</v>
      </c>
      <c r="F1208">
        <v>58.87</v>
      </c>
      <c r="H1208" s="10">
        <f t="shared" si="112"/>
        <v>3.0840400925211675E-3</v>
      </c>
      <c r="I1208" s="10">
        <f t="shared" si="114"/>
        <v>-1.0243902439024399E-2</v>
      </c>
      <c r="J1208" s="10">
        <f t="shared" si="115"/>
        <v>-2.7222275380346383E-2</v>
      </c>
      <c r="K1208" s="10">
        <f t="shared" si="116"/>
        <v>-5.962732919254754E-3</v>
      </c>
      <c r="L1208" s="10">
        <f t="shared" si="117"/>
        <v>-5.238256167624189E-3</v>
      </c>
      <c r="M1208" s="10">
        <f t="shared" si="113"/>
        <v>-1.2540552329544097E-3</v>
      </c>
      <c r="N1208" s="1"/>
      <c r="O1208" s="2">
        <v>3663.5</v>
      </c>
      <c r="P1208" s="12"/>
    </row>
    <row r="1209" spans="1:16" ht="15" thickBot="1" x14ac:dyDescent="0.35">
      <c r="A1209" s="1">
        <v>44175</v>
      </c>
      <c r="B1209">
        <v>12.97</v>
      </c>
      <c r="C1209">
        <v>41</v>
      </c>
      <c r="D1209">
        <v>209.02</v>
      </c>
      <c r="E1209">
        <v>161</v>
      </c>
      <c r="F1209">
        <v>59.18</v>
      </c>
      <c r="H1209" s="10">
        <f t="shared" si="112"/>
        <v>3.0935808197989356E-3</v>
      </c>
      <c r="I1209" s="10">
        <f t="shared" si="114"/>
        <v>-1.4896684286400674E-2</v>
      </c>
      <c r="J1209" s="10">
        <f t="shared" si="115"/>
        <v>3.7371581716214131E-2</v>
      </c>
      <c r="K1209" s="10">
        <f t="shared" si="116"/>
        <v>1.8987341772152E-2</v>
      </c>
      <c r="L1209" s="10">
        <f t="shared" si="117"/>
        <v>-1.3337779259753213E-2</v>
      </c>
      <c r="M1209" s="10">
        <f t="shared" si="113"/>
        <v>-1.2796776301460255E-3</v>
      </c>
      <c r="N1209" s="1"/>
      <c r="O1209" s="2">
        <v>3668.1</v>
      </c>
      <c r="P1209" s="12"/>
    </row>
    <row r="1210" spans="1:16" ht="15" thickBot="1" x14ac:dyDescent="0.35">
      <c r="A1210" s="1">
        <v>44174</v>
      </c>
      <c r="B1210">
        <v>12.93</v>
      </c>
      <c r="C1210">
        <v>41.62</v>
      </c>
      <c r="D1210">
        <v>201.49</v>
      </c>
      <c r="E1210">
        <v>158</v>
      </c>
      <c r="F1210">
        <v>59.98</v>
      </c>
      <c r="H1210" s="10">
        <f t="shared" si="112"/>
        <v>-3.1460674157303359E-2</v>
      </c>
      <c r="I1210" s="10">
        <f t="shared" si="114"/>
        <v>-1.7005196032121028E-2</v>
      </c>
      <c r="J1210" s="10">
        <f t="shared" si="115"/>
        <v>-6.9888750403914401E-2</v>
      </c>
      <c r="K1210" s="10">
        <f t="shared" si="116"/>
        <v>5.8271935699932831E-2</v>
      </c>
      <c r="L1210" s="10">
        <f t="shared" si="117"/>
        <v>-2.487400422695496E-2</v>
      </c>
      <c r="M1210" s="10">
        <f t="shared" si="113"/>
        <v>-7.9412241369994918E-3</v>
      </c>
      <c r="N1210" s="1"/>
      <c r="O1210" s="2">
        <v>3672.8</v>
      </c>
      <c r="P1210" s="12"/>
    </row>
    <row r="1211" spans="1:16" ht="15" thickBot="1" x14ac:dyDescent="0.35">
      <c r="A1211" s="1">
        <v>44173</v>
      </c>
      <c r="B1211">
        <v>13.35</v>
      </c>
      <c r="C1211">
        <v>42.34</v>
      </c>
      <c r="D1211">
        <v>216.63</v>
      </c>
      <c r="E1211">
        <v>149.30000000000001</v>
      </c>
      <c r="F1211">
        <v>61.51</v>
      </c>
      <c r="H1211" s="10">
        <f t="shared" si="112"/>
        <v>-1.9103600293901568E-2</v>
      </c>
      <c r="I1211" s="10">
        <f t="shared" si="114"/>
        <v>5.9396531242574824E-3</v>
      </c>
      <c r="J1211" s="10">
        <f t="shared" si="115"/>
        <v>1.2668287210171991E-2</v>
      </c>
      <c r="K1211" s="10">
        <f t="shared" si="116"/>
        <v>1.2752679419346213E-2</v>
      </c>
      <c r="L1211" s="10">
        <f t="shared" si="117"/>
        <v>1.1393229166667407E-3</v>
      </c>
      <c r="M1211" s="10">
        <f t="shared" si="113"/>
        <v>2.7627302275188281E-3</v>
      </c>
      <c r="N1211" s="1"/>
      <c r="O1211" s="2">
        <v>3702.2</v>
      </c>
      <c r="P1211" s="12"/>
    </row>
    <row r="1212" spans="1:16" ht="15" thickBot="1" x14ac:dyDescent="0.35">
      <c r="A1212" s="1">
        <v>44172</v>
      </c>
      <c r="B1212">
        <v>13.61</v>
      </c>
      <c r="C1212">
        <v>42.09</v>
      </c>
      <c r="D1212">
        <v>213.92</v>
      </c>
      <c r="E1212">
        <v>147.41999999999999</v>
      </c>
      <c r="F1212">
        <v>61.44</v>
      </c>
      <c r="H1212" s="10">
        <f t="shared" si="112"/>
        <v>3.6873156342183133E-3</v>
      </c>
      <c r="I1212" s="10">
        <f t="shared" si="114"/>
        <v>2.2346368715083775E-2</v>
      </c>
      <c r="J1212" s="10">
        <f t="shared" si="115"/>
        <v>7.1314102564102422E-2</v>
      </c>
      <c r="K1212" s="10">
        <f t="shared" si="116"/>
        <v>-6.9383630852138944E-3</v>
      </c>
      <c r="L1212" s="10">
        <f t="shared" si="117"/>
        <v>3.3647375504710642E-2</v>
      </c>
      <c r="M1212" s="10">
        <f t="shared" si="113"/>
        <v>-1.9193857965450478E-3</v>
      </c>
      <c r="N1212" s="1"/>
      <c r="O1212" s="2">
        <v>3692</v>
      </c>
      <c r="P1212" s="12"/>
    </row>
    <row r="1213" spans="1:16" ht="15" thickBot="1" x14ac:dyDescent="0.35">
      <c r="A1213" s="1">
        <v>44169</v>
      </c>
      <c r="B1213">
        <v>13.56</v>
      </c>
      <c r="C1213">
        <v>41.17</v>
      </c>
      <c r="D1213">
        <v>199.68</v>
      </c>
      <c r="E1213">
        <v>148.44999999999999</v>
      </c>
      <c r="F1213">
        <v>59.44</v>
      </c>
      <c r="H1213" s="10">
        <f t="shared" si="112"/>
        <v>1.1940298507462588E-2</v>
      </c>
      <c r="I1213" s="10">
        <f t="shared" si="114"/>
        <v>2.9764882441220664E-2</v>
      </c>
      <c r="J1213" s="10">
        <f t="shared" si="115"/>
        <v>9.5555892613379267E-3</v>
      </c>
      <c r="K1213" s="10">
        <f t="shared" si="116"/>
        <v>3.0115883699951329E-2</v>
      </c>
      <c r="L1213" s="10">
        <f t="shared" si="117"/>
        <v>-1.1762728953117474E-3</v>
      </c>
      <c r="M1213" s="10">
        <f t="shared" si="113"/>
        <v>8.8362833065154245E-3</v>
      </c>
      <c r="N1213" s="1"/>
      <c r="O1213" s="2">
        <v>3699.1</v>
      </c>
      <c r="P1213" s="12"/>
    </row>
    <row r="1214" spans="1:16" ht="15" thickBot="1" x14ac:dyDescent="0.35">
      <c r="A1214" s="1">
        <v>44168</v>
      </c>
      <c r="B1214">
        <v>13.4</v>
      </c>
      <c r="C1214">
        <v>39.979999999999997</v>
      </c>
      <c r="D1214">
        <v>197.79</v>
      </c>
      <c r="E1214">
        <v>144.11000000000001</v>
      </c>
      <c r="F1214">
        <v>59.51</v>
      </c>
      <c r="H1214" s="10">
        <f t="shared" si="112"/>
        <v>-1.0339734121122546E-2</v>
      </c>
      <c r="I1214" s="10">
        <f t="shared" si="114"/>
        <v>-9.6606390884320659E-3</v>
      </c>
      <c r="J1214" s="10">
        <f t="shared" si="115"/>
        <v>4.3141184536680477E-2</v>
      </c>
      <c r="K1214" s="10">
        <f t="shared" si="116"/>
        <v>-7.2333976302010328E-3</v>
      </c>
      <c r="L1214" s="10">
        <f t="shared" si="117"/>
        <v>-7.5050033355570367E-3</v>
      </c>
      <c r="M1214" s="10">
        <f t="shared" si="113"/>
        <v>-6.2687380757708855E-4</v>
      </c>
      <c r="N1214" s="1"/>
      <c r="O1214" s="2">
        <v>3666.7</v>
      </c>
      <c r="P1214" s="12"/>
    </row>
    <row r="1215" spans="1:16" ht="15" thickBot="1" x14ac:dyDescent="0.35">
      <c r="A1215" s="1">
        <v>44167</v>
      </c>
      <c r="B1215">
        <v>13.54</v>
      </c>
      <c r="C1215">
        <v>40.369999999999997</v>
      </c>
      <c r="D1215">
        <v>189.61</v>
      </c>
      <c r="E1215">
        <v>145.16</v>
      </c>
      <c r="F1215">
        <v>59.96</v>
      </c>
      <c r="H1215" s="10">
        <f t="shared" si="112"/>
        <v>1.1202389843166349E-2</v>
      </c>
      <c r="I1215" s="10">
        <f t="shared" si="114"/>
        <v>-2.2244191794366097E-3</v>
      </c>
      <c r="J1215" s="10">
        <f t="shared" si="115"/>
        <v>-2.7241945413502888E-2</v>
      </c>
      <c r="K1215" s="10">
        <f t="shared" si="116"/>
        <v>-2.7480076944216281E-3</v>
      </c>
      <c r="L1215" s="10">
        <f t="shared" si="117"/>
        <v>-4.1521341969772418E-3</v>
      </c>
      <c r="M1215" s="10">
        <f t="shared" si="113"/>
        <v>1.8020969855832014E-3</v>
      </c>
      <c r="N1215" s="1"/>
      <c r="O1215" s="2">
        <v>3669</v>
      </c>
      <c r="P1215" s="12"/>
    </row>
    <row r="1216" spans="1:16" ht="15" thickBot="1" x14ac:dyDescent="0.35">
      <c r="A1216" s="1">
        <v>44166</v>
      </c>
      <c r="B1216">
        <v>13.39</v>
      </c>
      <c r="C1216">
        <v>40.46</v>
      </c>
      <c r="D1216">
        <v>194.92</v>
      </c>
      <c r="E1216">
        <v>145.56</v>
      </c>
      <c r="F1216">
        <v>60.21</v>
      </c>
      <c r="H1216" s="10">
        <f t="shared" si="112"/>
        <v>-7.4626865671645337E-4</v>
      </c>
      <c r="I1216" s="10">
        <f t="shared" si="114"/>
        <v>7.470119521912455E-3</v>
      </c>
      <c r="J1216" s="10">
        <f t="shared" si="115"/>
        <v>3.0232558139534849E-2</v>
      </c>
      <c r="K1216" s="10">
        <f t="shared" si="116"/>
        <v>-6.179196704428902E-4</v>
      </c>
      <c r="L1216" s="10">
        <f t="shared" si="117"/>
        <v>2.3631417885073169E-2</v>
      </c>
      <c r="M1216" s="10">
        <f t="shared" si="113"/>
        <v>1.1265738899933764E-2</v>
      </c>
      <c r="N1216" s="1"/>
      <c r="O1216" s="2">
        <v>3662.4</v>
      </c>
      <c r="P1216" s="12"/>
    </row>
    <row r="1217" spans="1:16" ht="15" thickBot="1" x14ac:dyDescent="0.35">
      <c r="A1217" s="1">
        <v>44165</v>
      </c>
      <c r="B1217">
        <v>13.4</v>
      </c>
      <c r="C1217">
        <v>40.159999999999997</v>
      </c>
      <c r="D1217">
        <v>189.2</v>
      </c>
      <c r="E1217">
        <v>145.65</v>
      </c>
      <c r="F1217">
        <v>58.82</v>
      </c>
      <c r="H1217" s="10">
        <f t="shared" si="112"/>
        <v>1.0558069381598756E-2</v>
      </c>
      <c r="I1217" s="10">
        <f t="shared" si="114"/>
        <v>1.6966320587490369E-2</v>
      </c>
      <c r="J1217" s="10">
        <f t="shared" si="115"/>
        <v>-3.0985915492957816E-2</v>
      </c>
      <c r="K1217" s="10">
        <f t="shared" si="116"/>
        <v>-1.2140531741725358E-2</v>
      </c>
      <c r="L1217" s="10">
        <f t="shared" si="117"/>
        <v>5.8139534883721034E-3</v>
      </c>
      <c r="M1217" s="10">
        <f t="shared" si="113"/>
        <v>-4.5900557952890386E-3</v>
      </c>
      <c r="N1217" s="1"/>
      <c r="O1217" s="2">
        <v>3621.6</v>
      </c>
      <c r="P1217" s="12"/>
    </row>
    <row r="1218" spans="1:16" ht="15" thickBot="1" x14ac:dyDescent="0.35">
      <c r="A1218" s="1">
        <v>44162</v>
      </c>
      <c r="B1218">
        <v>13.26</v>
      </c>
      <c r="C1218">
        <v>39.49</v>
      </c>
      <c r="D1218">
        <v>195.25</v>
      </c>
      <c r="E1218">
        <v>147.44</v>
      </c>
      <c r="F1218">
        <v>58.48</v>
      </c>
      <c r="H1218" s="10">
        <f t="shared" si="112"/>
        <v>2.2675736961450532E-3</v>
      </c>
      <c r="I1218" s="10">
        <f t="shared" si="114"/>
        <v>1.0491299897645856E-2</v>
      </c>
      <c r="J1218" s="10">
        <f t="shared" si="115"/>
        <v>2.0488161814665728E-2</v>
      </c>
      <c r="K1218" s="10">
        <f t="shared" si="116"/>
        <v>1.8583765112262451E-2</v>
      </c>
      <c r="L1218" s="10">
        <f t="shared" si="117"/>
        <v>1.2114918656974671E-2</v>
      </c>
      <c r="M1218" s="10">
        <f t="shared" si="113"/>
        <v>2.3693418188832638E-3</v>
      </c>
      <c r="N1218" s="1"/>
      <c r="O1218" s="2">
        <v>3638.3</v>
      </c>
      <c r="P1218" s="12"/>
    </row>
    <row r="1219" spans="1:16" ht="15" thickBot="1" x14ac:dyDescent="0.35">
      <c r="A1219" s="1">
        <v>44160</v>
      </c>
      <c r="B1219">
        <v>13.23</v>
      </c>
      <c r="C1219">
        <v>39.08</v>
      </c>
      <c r="D1219">
        <v>191.33</v>
      </c>
      <c r="E1219">
        <v>144.75</v>
      </c>
      <c r="F1219">
        <v>57.78</v>
      </c>
      <c r="H1219" s="10">
        <f t="shared" si="112"/>
        <v>2.0833333333333259E-2</v>
      </c>
      <c r="I1219" s="10">
        <f t="shared" si="114"/>
        <v>-3.5696073431922271E-3</v>
      </c>
      <c r="J1219" s="10">
        <f t="shared" si="115"/>
        <v>3.3489980014044241E-2</v>
      </c>
      <c r="K1219" s="10">
        <f t="shared" si="116"/>
        <v>-1.0351966873706209E-3</v>
      </c>
      <c r="L1219" s="10">
        <f t="shared" si="117"/>
        <v>1.6001406717074174E-2</v>
      </c>
      <c r="M1219" s="10">
        <f t="shared" si="113"/>
        <v>-1.5679154976069309E-3</v>
      </c>
      <c r="N1219" s="1"/>
      <c r="O1219" s="2">
        <v>3629.7</v>
      </c>
      <c r="P1219" s="12"/>
    </row>
    <row r="1220" spans="1:16" ht="15" thickBot="1" x14ac:dyDescent="0.35">
      <c r="A1220" s="1">
        <v>44159</v>
      </c>
      <c r="B1220">
        <v>12.96</v>
      </c>
      <c r="C1220">
        <v>39.22</v>
      </c>
      <c r="D1220">
        <v>185.13</v>
      </c>
      <c r="E1220">
        <v>144.9</v>
      </c>
      <c r="F1220">
        <v>56.87</v>
      </c>
      <c r="H1220" s="10">
        <f t="shared" ref="H1220:H1257" si="118">(B1220/B1221)-1</f>
        <v>-1.3698630136986245E-2</v>
      </c>
      <c r="I1220" s="10">
        <f t="shared" si="114"/>
        <v>1.3436692506459735E-2</v>
      </c>
      <c r="J1220" s="10">
        <f t="shared" si="115"/>
        <v>6.4271342339752735E-2</v>
      </c>
      <c r="K1220" s="10">
        <f t="shared" si="116"/>
        <v>1.0601199609429512E-2</v>
      </c>
      <c r="L1220" s="10">
        <f t="shared" si="117"/>
        <v>-3.084526244035446E-2</v>
      </c>
      <c r="M1220" s="10">
        <f t="shared" ref="M1220:M1257" si="119">(O1220/O1221)-1</f>
        <v>1.6156082289803253E-2</v>
      </c>
      <c r="N1220" s="1"/>
      <c r="O1220" s="2">
        <v>3635.4</v>
      </c>
      <c r="P1220" s="12"/>
    </row>
    <row r="1221" spans="1:16" ht="15" thickBot="1" x14ac:dyDescent="0.35">
      <c r="A1221" s="1">
        <v>44158</v>
      </c>
      <c r="B1221">
        <v>13.14</v>
      </c>
      <c r="C1221">
        <v>38.700000000000003</v>
      </c>
      <c r="D1221">
        <v>173.95</v>
      </c>
      <c r="E1221">
        <v>143.38</v>
      </c>
      <c r="F1221">
        <v>58.68</v>
      </c>
      <c r="H1221" s="10">
        <f t="shared" si="118"/>
        <v>3.8197097020626902E-3</v>
      </c>
      <c r="I1221" s="10">
        <f t="shared" si="114"/>
        <v>9.6530133055050538E-3</v>
      </c>
      <c r="J1221" s="10">
        <f t="shared" si="115"/>
        <v>6.587009803921573E-2</v>
      </c>
      <c r="K1221" s="10">
        <f t="shared" si="116"/>
        <v>-1.4502714963227858E-2</v>
      </c>
      <c r="L1221" s="10">
        <f t="shared" si="117"/>
        <v>-4.8175182481751788E-2</v>
      </c>
      <c r="M1221" s="10">
        <f t="shared" si="119"/>
        <v>5.650035137034326E-3</v>
      </c>
      <c r="N1221" s="1"/>
      <c r="O1221" s="2">
        <v>3577.6</v>
      </c>
      <c r="P1221" s="12"/>
    </row>
    <row r="1222" spans="1:16" ht="15" thickBot="1" x14ac:dyDescent="0.35">
      <c r="A1222" s="1">
        <v>44155</v>
      </c>
      <c r="B1222">
        <v>13.09</v>
      </c>
      <c r="C1222">
        <v>38.33</v>
      </c>
      <c r="D1222">
        <v>163.19999999999999</v>
      </c>
      <c r="E1222">
        <v>145.49</v>
      </c>
      <c r="F1222">
        <v>61.65</v>
      </c>
      <c r="H1222" s="10">
        <f t="shared" si="118"/>
        <v>-2.604166666666663E-2</v>
      </c>
      <c r="I1222" s="10">
        <f t="shared" si="114"/>
        <v>-2.6021337496747732E-3</v>
      </c>
      <c r="J1222" s="10">
        <f t="shared" si="115"/>
        <v>-1.9348635981252249E-2</v>
      </c>
      <c r="K1222" s="10">
        <f t="shared" si="116"/>
        <v>1.4503870023011123E-2</v>
      </c>
      <c r="L1222" s="10">
        <f t="shared" si="117"/>
        <v>3.9081582804103565E-3</v>
      </c>
      <c r="M1222" s="10">
        <f t="shared" si="119"/>
        <v>-6.8120271364360274E-3</v>
      </c>
      <c r="N1222" s="1"/>
      <c r="O1222" s="2">
        <v>3557.5</v>
      </c>
      <c r="P1222" s="12"/>
    </row>
    <row r="1223" spans="1:16" ht="15" thickBot="1" x14ac:dyDescent="0.35">
      <c r="A1223" s="1">
        <v>44154</v>
      </c>
      <c r="B1223">
        <v>13.44</v>
      </c>
      <c r="C1223">
        <v>38.43</v>
      </c>
      <c r="D1223">
        <v>166.42</v>
      </c>
      <c r="E1223">
        <v>143.41</v>
      </c>
      <c r="F1223">
        <v>61.41</v>
      </c>
      <c r="H1223" s="10">
        <f t="shared" si="118"/>
        <v>7.446016381236209E-4</v>
      </c>
      <c r="I1223" s="10">
        <f t="shared" si="114"/>
        <v>9.7214923804518349E-3</v>
      </c>
      <c r="J1223" s="10">
        <f t="shared" si="115"/>
        <v>2.5954010233647518E-2</v>
      </c>
      <c r="K1223" s="10">
        <f t="shared" si="116"/>
        <v>2.3114789184561779E-2</v>
      </c>
      <c r="L1223" s="10">
        <f t="shared" si="117"/>
        <v>-2.436647173489348E-3</v>
      </c>
      <c r="M1223" s="10">
        <f t="shared" si="119"/>
        <v>3.9520152474914472E-3</v>
      </c>
      <c r="N1223" s="1"/>
      <c r="O1223" s="2">
        <v>3581.9</v>
      </c>
      <c r="P1223" s="12"/>
    </row>
    <row r="1224" spans="1:16" ht="15" thickBot="1" x14ac:dyDescent="0.35">
      <c r="A1224" s="1">
        <v>44153</v>
      </c>
      <c r="B1224">
        <v>13.43</v>
      </c>
      <c r="C1224">
        <v>38.06</v>
      </c>
      <c r="D1224">
        <v>162.21</v>
      </c>
      <c r="E1224">
        <v>140.16999999999999</v>
      </c>
      <c r="F1224">
        <v>61.56</v>
      </c>
      <c r="H1224" s="10">
        <f t="shared" si="118"/>
        <v>7.4515648286133107E-4</v>
      </c>
      <c r="I1224" s="10">
        <f t="shared" si="114"/>
        <v>0</v>
      </c>
      <c r="J1224" s="10">
        <f t="shared" si="115"/>
        <v>0.10197010869565237</v>
      </c>
      <c r="K1224" s="10">
        <f t="shared" si="116"/>
        <v>-7.2946175637393917E-3</v>
      </c>
      <c r="L1224" s="10">
        <f t="shared" si="117"/>
        <v>-4.6025104602510414E-2</v>
      </c>
      <c r="M1224" s="10">
        <f t="shared" si="119"/>
        <v>-1.1552846654661275E-2</v>
      </c>
      <c r="N1224" s="1"/>
      <c r="O1224" s="2">
        <v>3567.8</v>
      </c>
      <c r="P1224" s="12"/>
    </row>
    <row r="1225" spans="1:16" ht="15" thickBot="1" x14ac:dyDescent="0.35">
      <c r="A1225" s="1">
        <v>44152</v>
      </c>
      <c r="B1225">
        <v>13.42</v>
      </c>
      <c r="C1225">
        <v>38.06</v>
      </c>
      <c r="D1225">
        <v>147.19999999999999</v>
      </c>
      <c r="E1225">
        <v>141.19999999999999</v>
      </c>
      <c r="F1225">
        <v>64.53</v>
      </c>
      <c r="H1225" s="10">
        <f t="shared" si="118"/>
        <v>-7.3964497041419941E-3</v>
      </c>
      <c r="I1225" s="10">
        <f t="shared" si="114"/>
        <v>-5.2521008403350056E-4</v>
      </c>
      <c r="J1225" s="10">
        <f t="shared" si="115"/>
        <v>8.2114239505991282E-2</v>
      </c>
      <c r="K1225" s="10">
        <f t="shared" si="116"/>
        <v>4.3388576712424243E-3</v>
      </c>
      <c r="L1225" s="10">
        <f t="shared" si="117"/>
        <v>-1.7359524897213374E-2</v>
      </c>
      <c r="M1225" s="10">
        <f t="shared" si="119"/>
        <v>-4.7974854558989755E-3</v>
      </c>
      <c r="N1225" s="1"/>
      <c r="O1225" s="2">
        <v>3609.5</v>
      </c>
      <c r="P1225" s="12"/>
    </row>
    <row r="1226" spans="1:16" ht="15" thickBot="1" x14ac:dyDescent="0.35">
      <c r="A1226" s="1">
        <v>44151</v>
      </c>
      <c r="B1226">
        <v>13.52</v>
      </c>
      <c r="C1226">
        <v>38.08</v>
      </c>
      <c r="D1226">
        <v>136.03</v>
      </c>
      <c r="E1226">
        <v>140.59</v>
      </c>
      <c r="F1226">
        <v>65.67</v>
      </c>
      <c r="H1226" s="10">
        <f t="shared" si="118"/>
        <v>1.6541353383458635E-2</v>
      </c>
      <c r="I1226" s="10">
        <f t="shared" si="114"/>
        <v>1.9544846050870035E-2</v>
      </c>
      <c r="J1226" s="10">
        <f t="shared" si="115"/>
        <v>-1.0281266064476879E-3</v>
      </c>
      <c r="K1226" s="10">
        <f t="shared" si="116"/>
        <v>-1.2571990448096537E-2</v>
      </c>
      <c r="L1226" s="10">
        <f t="shared" si="117"/>
        <v>-6.0873535230543396E-4</v>
      </c>
      <c r="M1226" s="10">
        <f t="shared" si="119"/>
        <v>1.1631150284503011E-2</v>
      </c>
      <c r="N1226" s="1"/>
      <c r="O1226" s="2">
        <v>3626.9</v>
      </c>
      <c r="P1226" s="12"/>
    </row>
    <row r="1227" spans="1:16" ht="15" thickBot="1" x14ac:dyDescent="0.35">
      <c r="A1227" s="1">
        <v>44148</v>
      </c>
      <c r="B1227">
        <v>13.3</v>
      </c>
      <c r="C1227">
        <v>37.35</v>
      </c>
      <c r="D1227">
        <v>136.16999999999999</v>
      </c>
      <c r="E1227">
        <v>142.38</v>
      </c>
      <c r="F1227">
        <v>65.709999999999994</v>
      </c>
      <c r="H1227" s="10">
        <f t="shared" si="118"/>
        <v>-1.1887072808320909E-2</v>
      </c>
      <c r="I1227" s="10">
        <f t="shared" si="114"/>
        <v>8.9141004862236528E-3</v>
      </c>
      <c r="J1227" s="10">
        <f t="shared" si="115"/>
        <v>-7.8688524590164732E-3</v>
      </c>
      <c r="K1227" s="10">
        <f t="shared" si="116"/>
        <v>9.5724313975749098E-3</v>
      </c>
      <c r="L1227" s="10">
        <f t="shared" si="117"/>
        <v>1.0612119347892968E-2</v>
      </c>
      <c r="M1227" s="10">
        <f t="shared" si="119"/>
        <v>1.3627367825840953E-2</v>
      </c>
      <c r="N1227" s="1"/>
      <c r="O1227" s="2">
        <v>3585.2</v>
      </c>
      <c r="P1227" s="12"/>
    </row>
    <row r="1228" spans="1:16" ht="15" thickBot="1" x14ac:dyDescent="0.35">
      <c r="A1228" s="1">
        <v>44147</v>
      </c>
      <c r="B1228">
        <v>13.46</v>
      </c>
      <c r="C1228">
        <v>37.020000000000003</v>
      </c>
      <c r="D1228">
        <v>137.25</v>
      </c>
      <c r="E1228">
        <v>141.03</v>
      </c>
      <c r="F1228">
        <v>65.02</v>
      </c>
      <c r="H1228" s="10">
        <f t="shared" si="118"/>
        <v>2.9806259314457684E-3</v>
      </c>
      <c r="I1228" s="10">
        <f t="shared" si="114"/>
        <v>-1.5163607342378316E-2</v>
      </c>
      <c r="J1228" s="10">
        <f t="shared" si="115"/>
        <v>-1.2873993095512071E-2</v>
      </c>
      <c r="K1228" s="10">
        <f t="shared" si="116"/>
        <v>-2.576678640508423E-2</v>
      </c>
      <c r="L1228" s="10">
        <f t="shared" si="117"/>
        <v>-9.2945299405760018E-3</v>
      </c>
      <c r="M1228" s="10">
        <f t="shared" si="119"/>
        <v>-9.9924426904021146E-3</v>
      </c>
      <c r="N1228" s="1"/>
      <c r="O1228" s="2">
        <v>3537</v>
      </c>
      <c r="P1228" s="12"/>
    </row>
    <row r="1229" spans="1:16" ht="15" thickBot="1" x14ac:dyDescent="0.35">
      <c r="A1229" s="1">
        <v>44146</v>
      </c>
      <c r="B1229">
        <v>13.42</v>
      </c>
      <c r="C1229">
        <v>37.590000000000003</v>
      </c>
      <c r="D1229">
        <v>139.04</v>
      </c>
      <c r="E1229">
        <v>144.76</v>
      </c>
      <c r="F1229">
        <v>65.63</v>
      </c>
      <c r="H1229" s="10">
        <f t="shared" si="118"/>
        <v>5.0900548159749537E-2</v>
      </c>
      <c r="I1229" s="10">
        <f t="shared" si="114"/>
        <v>3.5251996695125243E-2</v>
      </c>
      <c r="J1229" s="10">
        <f t="shared" si="115"/>
        <v>1.6448570801959272E-2</v>
      </c>
      <c r="K1229" s="10">
        <f t="shared" si="116"/>
        <v>-1.2281659388646338E-2</v>
      </c>
      <c r="L1229" s="10">
        <f t="shared" si="117"/>
        <v>1.1403914316535646E-2</v>
      </c>
      <c r="M1229" s="10">
        <f t="shared" si="119"/>
        <v>7.6716965167111795E-3</v>
      </c>
      <c r="N1229" s="1"/>
      <c r="O1229" s="2">
        <v>3572.7</v>
      </c>
      <c r="P1229" s="12"/>
    </row>
    <row r="1230" spans="1:16" ht="15" thickBot="1" x14ac:dyDescent="0.35">
      <c r="A1230" s="1">
        <v>44145</v>
      </c>
      <c r="B1230">
        <v>12.77</v>
      </c>
      <c r="C1230">
        <v>36.31</v>
      </c>
      <c r="D1230">
        <v>136.79</v>
      </c>
      <c r="E1230">
        <v>146.56</v>
      </c>
      <c r="F1230">
        <v>64.89</v>
      </c>
      <c r="H1230" s="10">
        <f t="shared" si="118"/>
        <v>-6.3096111518708864E-2</v>
      </c>
      <c r="I1230" s="10">
        <f t="shared" si="114"/>
        <v>-3.3022636484686951E-2</v>
      </c>
      <c r="J1230" s="10">
        <f t="shared" si="115"/>
        <v>-2.5851018373451051E-2</v>
      </c>
      <c r="K1230" s="10">
        <f t="shared" si="116"/>
        <v>2.9719665565938191E-2</v>
      </c>
      <c r="L1230" s="10">
        <f t="shared" si="117"/>
        <v>-1.6967126193001114E-2</v>
      </c>
      <c r="M1230" s="10">
        <f t="shared" si="119"/>
        <v>-1.4082523588226925E-3</v>
      </c>
      <c r="N1230" s="1"/>
      <c r="O1230" s="2">
        <v>3545.5</v>
      </c>
      <c r="P1230" s="12"/>
    </row>
    <row r="1231" spans="1:16" ht="15" thickBot="1" x14ac:dyDescent="0.35">
      <c r="A1231" s="1">
        <v>44144</v>
      </c>
      <c r="B1231">
        <v>13.63</v>
      </c>
      <c r="C1231">
        <v>37.549999999999997</v>
      </c>
      <c r="D1231">
        <v>140.41999999999999</v>
      </c>
      <c r="E1231">
        <v>142.33000000000001</v>
      </c>
      <c r="F1231">
        <v>66.010000000000005</v>
      </c>
      <c r="H1231" s="10">
        <f t="shared" si="118"/>
        <v>-6.3873626373626369E-2</v>
      </c>
      <c r="I1231" s="10">
        <f t="shared" si="114"/>
        <v>-1.3399894902785259E-2</v>
      </c>
      <c r="J1231" s="10">
        <f t="shared" si="115"/>
        <v>-2.0234440413061772E-2</v>
      </c>
      <c r="K1231" s="10">
        <f t="shared" si="116"/>
        <v>-2.8723553313716454E-3</v>
      </c>
      <c r="L1231" s="10">
        <f t="shared" si="117"/>
        <v>-3.125917229233921E-2</v>
      </c>
      <c r="M1231" s="10">
        <f t="shared" si="119"/>
        <v>1.1711403658745123E-2</v>
      </c>
      <c r="N1231" s="1"/>
      <c r="O1231" s="2">
        <v>3550.5</v>
      </c>
      <c r="P1231" s="12"/>
    </row>
    <row r="1232" spans="1:16" ht="15" thickBot="1" x14ac:dyDescent="0.35">
      <c r="A1232" s="1">
        <v>44141</v>
      </c>
      <c r="B1232">
        <v>14.56</v>
      </c>
      <c r="C1232">
        <v>38.06</v>
      </c>
      <c r="D1232">
        <v>143.32</v>
      </c>
      <c r="E1232">
        <v>142.74</v>
      </c>
      <c r="F1232">
        <v>68.14</v>
      </c>
      <c r="H1232" s="10">
        <f t="shared" si="118"/>
        <v>2.8248587570621542E-2</v>
      </c>
      <c r="I1232" s="10">
        <f t="shared" si="114"/>
        <v>-7.8760829614077377E-4</v>
      </c>
      <c r="J1232" s="10">
        <f t="shared" si="115"/>
        <v>-1.8557830582757062E-2</v>
      </c>
      <c r="K1232" s="10">
        <f t="shared" si="116"/>
        <v>-1.9103903243540388E-2</v>
      </c>
      <c r="L1232" s="10">
        <f t="shared" si="117"/>
        <v>4.2741341193810456E-3</v>
      </c>
      <c r="M1232" s="10">
        <f t="shared" si="119"/>
        <v>-2.8486782133085864E-4</v>
      </c>
      <c r="N1232" s="1"/>
      <c r="O1232" s="2">
        <v>3509.4</v>
      </c>
      <c r="P1232" s="12"/>
    </row>
    <row r="1233" spans="1:16" ht="15" thickBot="1" x14ac:dyDescent="0.35">
      <c r="A1233" s="1">
        <v>44140</v>
      </c>
      <c r="B1233">
        <v>14.16</v>
      </c>
      <c r="C1233">
        <v>38.090000000000003</v>
      </c>
      <c r="D1233">
        <v>146.03</v>
      </c>
      <c r="E1233">
        <v>145.52000000000001</v>
      </c>
      <c r="F1233">
        <v>67.849999999999994</v>
      </c>
      <c r="H1233" s="10">
        <f t="shared" si="118"/>
        <v>2.6831036983321344E-2</v>
      </c>
      <c r="I1233" s="10">
        <f t="shared" si="114"/>
        <v>4.4706527701590781E-2</v>
      </c>
      <c r="J1233" s="10">
        <f t="shared" si="115"/>
        <v>4.0618542008123537E-2</v>
      </c>
      <c r="K1233" s="10">
        <f t="shared" si="116"/>
        <v>-2.0660878928595472E-2</v>
      </c>
      <c r="L1233" s="10">
        <f t="shared" si="117"/>
        <v>4.256299938537178E-2</v>
      </c>
      <c r="M1233" s="10">
        <f t="shared" si="119"/>
        <v>1.9457512923273468E-2</v>
      </c>
      <c r="N1233" s="1"/>
      <c r="O1233" s="2">
        <v>3510.4</v>
      </c>
      <c r="P1233" s="12"/>
    </row>
    <row r="1234" spans="1:16" ht="15" thickBot="1" x14ac:dyDescent="0.35">
      <c r="A1234" s="1">
        <v>44139</v>
      </c>
      <c r="B1234">
        <v>13.79</v>
      </c>
      <c r="C1234">
        <v>36.46</v>
      </c>
      <c r="D1234">
        <v>140.33000000000001</v>
      </c>
      <c r="E1234">
        <v>148.59</v>
      </c>
      <c r="F1234">
        <v>65.08</v>
      </c>
      <c r="H1234" s="10">
        <f t="shared" si="118"/>
        <v>5.9139784946236507E-2</v>
      </c>
      <c r="I1234" s="10">
        <f t="shared" si="114"/>
        <v>3.0525720746184204E-2</v>
      </c>
      <c r="J1234" s="10">
        <f t="shared" si="115"/>
        <v>-6.8648266100495015E-3</v>
      </c>
      <c r="K1234" s="10">
        <f t="shared" si="116"/>
        <v>0.13444800732936346</v>
      </c>
      <c r="L1234" s="10">
        <f t="shared" si="117"/>
        <v>-2.3848807559622043E-2</v>
      </c>
      <c r="M1234" s="10">
        <f t="shared" si="119"/>
        <v>2.2023032173809964E-2</v>
      </c>
      <c r="N1234" s="1"/>
      <c r="O1234" s="2">
        <v>3443.4</v>
      </c>
      <c r="P1234" s="12"/>
    </row>
    <row r="1235" spans="1:16" ht="15" thickBot="1" x14ac:dyDescent="0.35">
      <c r="A1235" s="1">
        <v>44138</v>
      </c>
      <c r="B1235">
        <v>13.02</v>
      </c>
      <c r="C1235">
        <v>35.380000000000003</v>
      </c>
      <c r="D1235">
        <v>141.30000000000001</v>
      </c>
      <c r="E1235">
        <v>130.97999999999999</v>
      </c>
      <c r="F1235">
        <v>66.67</v>
      </c>
      <c r="H1235" s="10">
        <f t="shared" si="118"/>
        <v>3.4976152623211298E-2</v>
      </c>
      <c r="I1235" s="10">
        <f t="shared" ref="I1235:I1257" si="120">(C1235/C1236)-1</f>
        <v>7.4031890660593014E-3</v>
      </c>
      <c r="J1235" s="10">
        <f t="shared" ref="J1235:J1257" si="121">(D1235/D1236)-1</f>
        <v>5.8426966292134841E-2</v>
      </c>
      <c r="K1235" s="10">
        <f t="shared" ref="K1235:K1257" si="122">(E1235/E1236)-1</f>
        <v>-4.9380840233990142E-3</v>
      </c>
      <c r="L1235" s="10">
        <f t="shared" ref="L1235:L1257" si="123">(F1235/F1236)-1</f>
        <v>2.9970647304186526E-2</v>
      </c>
      <c r="M1235" s="10">
        <f t="shared" si="119"/>
        <v>1.7823696453386439E-2</v>
      </c>
      <c r="N1235" s="1"/>
      <c r="O1235" s="2">
        <v>3369.2</v>
      </c>
      <c r="P1235" s="12"/>
    </row>
    <row r="1236" spans="1:16" ht="15" thickBot="1" x14ac:dyDescent="0.35">
      <c r="A1236" s="1">
        <v>44137</v>
      </c>
      <c r="B1236">
        <v>12.58</v>
      </c>
      <c r="C1236">
        <v>35.119999999999997</v>
      </c>
      <c r="D1236">
        <v>133.5</v>
      </c>
      <c r="E1236">
        <v>131.63</v>
      </c>
      <c r="F1236">
        <v>64.73</v>
      </c>
      <c r="H1236" s="10">
        <f t="shared" si="118"/>
        <v>3.9904229848364281E-3</v>
      </c>
      <c r="I1236" s="10">
        <f t="shared" si="120"/>
        <v>4.5766590389015871E-3</v>
      </c>
      <c r="J1236" s="10">
        <f t="shared" si="121"/>
        <v>3.2083494395052314E-2</v>
      </c>
      <c r="K1236" s="10">
        <f t="shared" si="122"/>
        <v>8.9682661352137316E-3</v>
      </c>
      <c r="L1236" s="10">
        <f t="shared" si="123"/>
        <v>3.0076384468491479E-2</v>
      </c>
      <c r="M1236" s="10">
        <f t="shared" si="119"/>
        <v>1.2293577981651316E-2</v>
      </c>
      <c r="N1236" s="1"/>
      <c r="O1236" s="2">
        <v>3310.2</v>
      </c>
      <c r="P1236" s="12"/>
    </row>
    <row r="1237" spans="1:16" ht="15" thickBot="1" x14ac:dyDescent="0.35">
      <c r="A1237" s="1">
        <v>44134</v>
      </c>
      <c r="B1237">
        <v>12.53</v>
      </c>
      <c r="C1237">
        <v>34.96</v>
      </c>
      <c r="D1237">
        <v>129.35</v>
      </c>
      <c r="E1237">
        <v>130.46</v>
      </c>
      <c r="F1237">
        <v>62.84</v>
      </c>
      <c r="H1237" s="10">
        <f t="shared" si="118"/>
        <v>-3.7634408602150504E-2</v>
      </c>
      <c r="I1237" s="10">
        <f t="shared" si="120"/>
        <v>-1.5211267605633738E-2</v>
      </c>
      <c r="J1237" s="10">
        <f t="shared" si="121"/>
        <v>-5.5425733898057605E-2</v>
      </c>
      <c r="K1237" s="10">
        <f t="shared" si="122"/>
        <v>-1.5767634854771839E-2</v>
      </c>
      <c r="L1237" s="10">
        <f t="shared" si="123"/>
        <v>4.1431885979449801E-2</v>
      </c>
      <c r="M1237" s="10">
        <f t="shared" si="119"/>
        <v>-1.2114437630283081E-2</v>
      </c>
      <c r="N1237" s="1"/>
      <c r="O1237" s="2">
        <v>3270</v>
      </c>
      <c r="P1237" s="12"/>
    </row>
    <row r="1238" spans="1:16" ht="15" thickBot="1" x14ac:dyDescent="0.35">
      <c r="A1238" s="1">
        <v>44133</v>
      </c>
      <c r="B1238">
        <v>13.02</v>
      </c>
      <c r="C1238">
        <v>35.5</v>
      </c>
      <c r="D1238">
        <v>136.94</v>
      </c>
      <c r="E1238">
        <v>132.55000000000001</v>
      </c>
      <c r="F1238">
        <v>60.34</v>
      </c>
      <c r="H1238" s="10">
        <f t="shared" si="118"/>
        <v>3.0878859857482066E-2</v>
      </c>
      <c r="I1238" s="10">
        <f t="shared" si="120"/>
        <v>2.2465437788018461E-2</v>
      </c>
      <c r="J1238" s="10">
        <f t="shared" si="121"/>
        <v>1.1822077730160974E-2</v>
      </c>
      <c r="K1238" s="10">
        <f t="shared" si="122"/>
        <v>9.4433021095119418E-3</v>
      </c>
      <c r="L1238" s="10">
        <f t="shared" si="123"/>
        <v>2.8815004262574773E-2</v>
      </c>
      <c r="M1238" s="10">
        <f t="shared" si="119"/>
        <v>1.1953531030265863E-2</v>
      </c>
      <c r="N1238" s="1"/>
      <c r="O1238" s="2">
        <v>3310.1</v>
      </c>
      <c r="P1238" s="12"/>
    </row>
    <row r="1239" spans="1:16" ht="15" thickBot="1" x14ac:dyDescent="0.35">
      <c r="A1239" s="1">
        <v>44132</v>
      </c>
      <c r="B1239">
        <v>12.63</v>
      </c>
      <c r="C1239">
        <v>34.72</v>
      </c>
      <c r="D1239">
        <v>135.34</v>
      </c>
      <c r="E1239">
        <v>131.31</v>
      </c>
      <c r="F1239">
        <v>58.65</v>
      </c>
      <c r="H1239" s="10">
        <f t="shared" si="118"/>
        <v>-5.7462686567164134E-2</v>
      </c>
      <c r="I1239" s="10">
        <f t="shared" si="120"/>
        <v>-3.4482758620689724E-2</v>
      </c>
      <c r="J1239" s="10">
        <f t="shared" si="121"/>
        <v>-4.3938965809550701E-2</v>
      </c>
      <c r="K1239" s="10">
        <f t="shared" si="122"/>
        <v>-4.4730856709628286E-3</v>
      </c>
      <c r="L1239" s="10">
        <f t="shared" si="123"/>
        <v>-4.8661800486618056E-2</v>
      </c>
      <c r="M1239" s="10">
        <f t="shared" si="119"/>
        <v>-3.5302444922877263E-2</v>
      </c>
      <c r="N1239" s="1"/>
      <c r="O1239" s="2">
        <v>3271</v>
      </c>
      <c r="P1239" s="12"/>
    </row>
    <row r="1240" spans="1:16" ht="15" thickBot="1" x14ac:dyDescent="0.35">
      <c r="A1240" s="1">
        <v>44131</v>
      </c>
      <c r="B1240">
        <v>13.4</v>
      </c>
      <c r="C1240">
        <v>35.96</v>
      </c>
      <c r="D1240">
        <v>141.56</v>
      </c>
      <c r="E1240">
        <v>131.9</v>
      </c>
      <c r="F1240">
        <v>61.65</v>
      </c>
      <c r="H1240" s="10">
        <f t="shared" si="118"/>
        <v>1.9786910197869156E-2</v>
      </c>
      <c r="I1240" s="10">
        <f t="shared" si="120"/>
        <v>-9.366391184572942E-3</v>
      </c>
      <c r="J1240" s="10">
        <f t="shared" si="121"/>
        <v>1.0493254336497948E-2</v>
      </c>
      <c r="K1240" s="10">
        <f t="shared" si="122"/>
        <v>-6.9160197600564466E-2</v>
      </c>
      <c r="L1240" s="10">
        <f t="shared" si="123"/>
        <v>2.2049071618037042E-2</v>
      </c>
      <c r="M1240" s="10">
        <f t="shared" si="119"/>
        <v>-3.0285210232284809E-3</v>
      </c>
      <c r="N1240" s="1"/>
      <c r="O1240" s="2">
        <v>3390.7</v>
      </c>
      <c r="P1240" s="12"/>
    </row>
    <row r="1241" spans="1:16" ht="15" thickBot="1" x14ac:dyDescent="0.35">
      <c r="A1241" s="1">
        <v>44130</v>
      </c>
      <c r="B1241">
        <v>13.14</v>
      </c>
      <c r="C1241">
        <v>36.299999999999997</v>
      </c>
      <c r="D1241">
        <v>140.09</v>
      </c>
      <c r="E1241">
        <v>141.69999999999999</v>
      </c>
      <c r="F1241">
        <v>60.32</v>
      </c>
      <c r="H1241" s="10">
        <f t="shared" si="118"/>
        <v>-3.3112582781456901E-2</v>
      </c>
      <c r="I1241" s="10">
        <f t="shared" si="120"/>
        <v>-2.6026294606922629E-2</v>
      </c>
      <c r="J1241" s="10">
        <f t="shared" si="121"/>
        <v>-8.5585906854013238E-4</v>
      </c>
      <c r="K1241" s="10">
        <f t="shared" si="122"/>
        <v>-4.7759516786065603E-3</v>
      </c>
      <c r="L1241" s="10">
        <f t="shared" si="123"/>
        <v>-2.4805688771291079E-3</v>
      </c>
      <c r="M1241" s="10">
        <f t="shared" si="119"/>
        <v>-1.858371327985231E-2</v>
      </c>
      <c r="N1241" s="1"/>
      <c r="O1241" s="2">
        <v>3401</v>
      </c>
      <c r="P1241" s="12"/>
    </row>
    <row r="1242" spans="1:16" ht="15" thickBot="1" x14ac:dyDescent="0.35">
      <c r="A1242" s="1">
        <v>44127</v>
      </c>
      <c r="B1242">
        <v>13.59</v>
      </c>
      <c r="C1242">
        <v>37.270000000000003</v>
      </c>
      <c r="D1242">
        <v>140.21</v>
      </c>
      <c r="E1242">
        <v>142.38</v>
      </c>
      <c r="F1242">
        <v>60.47</v>
      </c>
      <c r="H1242" s="10">
        <f t="shared" si="118"/>
        <v>1.7215568862275488E-2</v>
      </c>
      <c r="I1242" s="10">
        <f t="shared" si="120"/>
        <v>-1.874665238350337E-3</v>
      </c>
      <c r="J1242" s="10">
        <f t="shared" si="121"/>
        <v>-1.2118650038751455E-2</v>
      </c>
      <c r="K1242" s="10">
        <f t="shared" si="122"/>
        <v>5.1535474761736921E-3</v>
      </c>
      <c r="L1242" s="10">
        <f t="shared" si="123"/>
        <v>-1.1562603237529334E-3</v>
      </c>
      <c r="M1242" s="10">
        <f t="shared" si="119"/>
        <v>3.4457796438396304E-3</v>
      </c>
      <c r="N1242" s="1"/>
      <c r="O1242" s="2">
        <v>3465.4</v>
      </c>
      <c r="P1242" s="12"/>
    </row>
    <row r="1243" spans="1:16" ht="15" thickBot="1" x14ac:dyDescent="0.35">
      <c r="A1243" s="1">
        <v>44126</v>
      </c>
      <c r="B1243">
        <v>13.36</v>
      </c>
      <c r="C1243">
        <v>37.340000000000003</v>
      </c>
      <c r="D1243">
        <v>141.93</v>
      </c>
      <c r="E1243">
        <v>141.65</v>
      </c>
      <c r="F1243">
        <v>60.54</v>
      </c>
      <c r="H1243" s="10">
        <f t="shared" si="118"/>
        <v>-1.1834319526627279E-2</v>
      </c>
      <c r="I1243" s="10">
        <f t="shared" si="120"/>
        <v>3.7634408602149616E-3</v>
      </c>
      <c r="J1243" s="10">
        <f t="shared" si="121"/>
        <v>7.4531516183986568E-3</v>
      </c>
      <c r="K1243" s="10">
        <f t="shared" si="122"/>
        <v>2.4060576038498205E-3</v>
      </c>
      <c r="L1243" s="10">
        <f t="shared" si="123"/>
        <v>-1.5289525048796326E-2</v>
      </c>
      <c r="M1243" s="10">
        <f t="shared" si="119"/>
        <v>5.2101525206660337E-3</v>
      </c>
      <c r="N1243" s="1"/>
      <c r="O1243" s="2">
        <v>3453.5</v>
      </c>
      <c r="P1243" s="12"/>
    </row>
    <row r="1244" spans="1:16" ht="15" thickBot="1" x14ac:dyDescent="0.35">
      <c r="A1244" s="1">
        <v>44125</v>
      </c>
      <c r="B1244">
        <v>13.52</v>
      </c>
      <c r="C1244">
        <v>37.200000000000003</v>
      </c>
      <c r="D1244">
        <v>140.88</v>
      </c>
      <c r="E1244">
        <v>141.31</v>
      </c>
      <c r="F1244">
        <v>61.48</v>
      </c>
      <c r="H1244" s="10">
        <f t="shared" si="118"/>
        <v>-9.523809523809601E-3</v>
      </c>
      <c r="I1244" s="10">
        <f t="shared" si="120"/>
        <v>-1.3262599469496039E-2</v>
      </c>
      <c r="J1244" s="10">
        <f t="shared" si="121"/>
        <v>1.6352648418058724E-3</v>
      </c>
      <c r="K1244" s="10">
        <f t="shared" si="122"/>
        <v>-1.5878543074030249E-2</v>
      </c>
      <c r="L1244" s="10">
        <f t="shared" si="123"/>
        <v>4.7393364928909332E-3</v>
      </c>
      <c r="M1244" s="10">
        <f t="shared" si="119"/>
        <v>-2.178269582643555E-3</v>
      </c>
      <c r="N1244" s="1"/>
      <c r="O1244" s="2">
        <v>3435.6</v>
      </c>
      <c r="P1244" s="12"/>
    </row>
    <row r="1245" spans="1:16" ht="15" thickBot="1" x14ac:dyDescent="0.35">
      <c r="A1245" s="1">
        <v>44124</v>
      </c>
      <c r="B1245">
        <v>13.65</v>
      </c>
      <c r="C1245">
        <v>37.700000000000003</v>
      </c>
      <c r="D1245">
        <v>140.65</v>
      </c>
      <c r="E1245">
        <v>143.59</v>
      </c>
      <c r="F1245">
        <v>61.19</v>
      </c>
      <c r="H1245" s="10">
        <f t="shared" si="118"/>
        <v>1.1111111111111072E-2</v>
      </c>
      <c r="I1245" s="10">
        <f t="shared" si="120"/>
        <v>3.1931878658861823E-3</v>
      </c>
      <c r="J1245" s="10">
        <f t="shared" si="121"/>
        <v>-2.0611378037741157E-2</v>
      </c>
      <c r="K1245" s="10">
        <f t="shared" si="122"/>
        <v>5.532212885154042E-3</v>
      </c>
      <c r="L1245" s="10">
        <f t="shared" si="123"/>
        <v>-8.4265111003078985E-3</v>
      </c>
      <c r="M1245" s="10">
        <f t="shared" si="119"/>
        <v>4.7273045609734776E-3</v>
      </c>
      <c r="N1245" s="1"/>
      <c r="O1245" s="2">
        <v>3443.1</v>
      </c>
      <c r="P1245" s="12"/>
    </row>
    <row r="1246" spans="1:16" ht="15" thickBot="1" x14ac:dyDescent="0.35">
      <c r="A1246" s="1">
        <v>44123</v>
      </c>
      <c r="B1246">
        <v>13.5</v>
      </c>
      <c r="C1246">
        <v>37.58</v>
      </c>
      <c r="D1246">
        <v>143.61000000000001</v>
      </c>
      <c r="E1246">
        <v>142.80000000000001</v>
      </c>
      <c r="F1246">
        <v>61.71</v>
      </c>
      <c r="H1246" s="10">
        <f t="shared" si="118"/>
        <v>-2.2447501810282433E-2</v>
      </c>
      <c r="I1246" s="10">
        <f t="shared" si="120"/>
        <v>-7.6577766041721063E-3</v>
      </c>
      <c r="J1246" s="10">
        <f t="shared" si="121"/>
        <v>-2.0128275109170257E-2</v>
      </c>
      <c r="K1246" s="10">
        <f t="shared" si="122"/>
        <v>-2.2721051190802033E-2</v>
      </c>
      <c r="L1246" s="10">
        <f t="shared" si="123"/>
        <v>-1.5318334131163236E-2</v>
      </c>
      <c r="M1246" s="10">
        <f t="shared" si="119"/>
        <v>-1.6332740111372646E-2</v>
      </c>
      <c r="N1246" s="1"/>
      <c r="O1246" s="2">
        <v>3426.9</v>
      </c>
      <c r="P1246" s="12"/>
    </row>
    <row r="1247" spans="1:16" ht="15" thickBot="1" x14ac:dyDescent="0.35">
      <c r="A1247" s="1">
        <v>44120</v>
      </c>
      <c r="B1247">
        <v>13.81</v>
      </c>
      <c r="C1247">
        <v>37.869999999999997</v>
      </c>
      <c r="D1247">
        <v>146.56</v>
      </c>
      <c r="E1247">
        <v>146.12</v>
      </c>
      <c r="F1247">
        <v>62.67</v>
      </c>
      <c r="H1247" s="10">
        <f t="shared" si="118"/>
        <v>-1.145311381531855E-2</v>
      </c>
      <c r="I1247" s="10">
        <f t="shared" si="120"/>
        <v>-3.1587259805213597E-3</v>
      </c>
      <c r="J1247" s="10">
        <f t="shared" si="121"/>
        <v>-2.0517275947336766E-2</v>
      </c>
      <c r="K1247" s="10">
        <f t="shared" si="122"/>
        <v>-4.4965254121814846E-3</v>
      </c>
      <c r="L1247" s="10">
        <f t="shared" si="123"/>
        <v>-5.2380952380952639E-3</v>
      </c>
      <c r="M1247" s="10">
        <f t="shared" si="119"/>
        <v>1.4354204346456179E-4</v>
      </c>
      <c r="N1247" s="1"/>
      <c r="O1247" s="2">
        <v>3483.8</v>
      </c>
      <c r="P1247" s="12"/>
    </row>
    <row r="1248" spans="1:16" ht="15" thickBot="1" x14ac:dyDescent="0.35">
      <c r="A1248" s="1">
        <v>44119</v>
      </c>
      <c r="B1248">
        <v>13.97</v>
      </c>
      <c r="C1248">
        <v>37.99</v>
      </c>
      <c r="D1248">
        <v>149.63</v>
      </c>
      <c r="E1248">
        <v>146.78</v>
      </c>
      <c r="F1248">
        <v>63</v>
      </c>
      <c r="H1248" s="10">
        <f t="shared" si="118"/>
        <v>-9.2198581560283266E-3</v>
      </c>
      <c r="I1248" s="10">
        <f t="shared" si="120"/>
        <v>-1.0518012095713791E-3</v>
      </c>
      <c r="J1248" s="10">
        <f t="shared" si="121"/>
        <v>-2.6923327046888268E-2</v>
      </c>
      <c r="K1248" s="10">
        <f t="shared" si="122"/>
        <v>-1.1316179442274032E-2</v>
      </c>
      <c r="L1248" s="10">
        <f t="shared" si="123"/>
        <v>-1.5625E-2</v>
      </c>
      <c r="M1248" s="10">
        <f t="shared" si="119"/>
        <v>-1.5478545016767153E-3</v>
      </c>
      <c r="N1248" s="1"/>
      <c r="O1248" s="2">
        <v>3483.3</v>
      </c>
      <c r="P1248" s="12"/>
    </row>
    <row r="1249" spans="1:16" ht="15" thickBot="1" x14ac:dyDescent="0.35">
      <c r="A1249" s="1">
        <v>44118</v>
      </c>
      <c r="B1249">
        <v>14.1</v>
      </c>
      <c r="C1249">
        <v>38.03</v>
      </c>
      <c r="D1249">
        <v>153.77000000000001</v>
      </c>
      <c r="E1249">
        <v>148.46</v>
      </c>
      <c r="F1249">
        <v>64</v>
      </c>
      <c r="H1249" s="10">
        <f t="shared" si="118"/>
        <v>-1.0526315789473717E-2</v>
      </c>
      <c r="I1249" s="10">
        <f t="shared" si="120"/>
        <v>-3.1454783748361415E-3</v>
      </c>
      <c r="J1249" s="10">
        <f t="shared" si="121"/>
        <v>3.2845244492208492E-2</v>
      </c>
      <c r="K1249" s="10">
        <f t="shared" si="122"/>
        <v>-1.0794243070362475E-2</v>
      </c>
      <c r="L1249" s="10">
        <f t="shared" si="123"/>
        <v>1.9757807520713877E-2</v>
      </c>
      <c r="M1249" s="10">
        <f t="shared" si="119"/>
        <v>-6.6061106523535029E-3</v>
      </c>
      <c r="N1249" s="1"/>
      <c r="O1249" s="2">
        <v>3488.7</v>
      </c>
      <c r="P1249" s="12"/>
    </row>
    <row r="1250" spans="1:16" ht="15" thickBot="1" x14ac:dyDescent="0.35">
      <c r="A1250" s="1">
        <v>44117</v>
      </c>
      <c r="B1250">
        <v>14.25</v>
      </c>
      <c r="C1250">
        <v>38.15</v>
      </c>
      <c r="D1250">
        <v>148.88</v>
      </c>
      <c r="E1250">
        <v>150.08000000000001</v>
      </c>
      <c r="F1250">
        <v>62.76</v>
      </c>
      <c r="H1250" s="10">
        <f t="shared" si="118"/>
        <v>1.4054813773716202E-3</v>
      </c>
      <c r="I1250" s="10">
        <f t="shared" si="120"/>
        <v>-2.3535564853557345E-3</v>
      </c>
      <c r="J1250" s="10">
        <f t="shared" si="121"/>
        <v>9.8351760157362467E-3</v>
      </c>
      <c r="K1250" s="10">
        <f t="shared" si="122"/>
        <v>-2.8545536927956472E-2</v>
      </c>
      <c r="L1250" s="10">
        <f t="shared" si="123"/>
        <v>-2.701414269823621E-3</v>
      </c>
      <c r="M1250" s="10">
        <f t="shared" si="119"/>
        <v>-6.3097730745288461E-3</v>
      </c>
      <c r="N1250" s="1"/>
      <c r="O1250" s="2">
        <v>3511.9</v>
      </c>
      <c r="P1250" s="12"/>
    </row>
    <row r="1251" spans="1:16" ht="15" thickBot="1" x14ac:dyDescent="0.35">
      <c r="A1251" s="1">
        <v>44116</v>
      </c>
      <c r="B1251">
        <v>14.23</v>
      </c>
      <c r="C1251">
        <v>38.24</v>
      </c>
      <c r="D1251">
        <v>147.43</v>
      </c>
      <c r="E1251">
        <v>154.49</v>
      </c>
      <c r="F1251">
        <v>62.93</v>
      </c>
      <c r="H1251" s="10">
        <f t="shared" si="118"/>
        <v>3.4156976744186052E-2</v>
      </c>
      <c r="I1251" s="10">
        <f t="shared" si="120"/>
        <v>1.5131404300504414E-2</v>
      </c>
      <c r="J1251" s="10">
        <f t="shared" si="121"/>
        <v>1.9077901430842648E-2</v>
      </c>
      <c r="K1251" s="10">
        <f t="shared" si="122"/>
        <v>-1.5234574196838269E-2</v>
      </c>
      <c r="L1251" s="10">
        <f t="shared" si="123"/>
        <v>1.7510347023241835E-3</v>
      </c>
      <c r="M1251" s="10">
        <f t="shared" si="119"/>
        <v>1.6421730752638641E-2</v>
      </c>
      <c r="N1251" s="1"/>
      <c r="O1251" s="2">
        <v>3534.2</v>
      </c>
      <c r="P1251" s="12"/>
    </row>
    <row r="1252" spans="1:16" ht="15" thickBot="1" x14ac:dyDescent="0.35">
      <c r="A1252" s="1">
        <v>44113</v>
      </c>
      <c r="B1252">
        <v>13.76</v>
      </c>
      <c r="C1252">
        <v>37.67</v>
      </c>
      <c r="D1252">
        <v>144.66999999999999</v>
      </c>
      <c r="E1252">
        <v>156.88</v>
      </c>
      <c r="F1252">
        <v>62.82</v>
      </c>
      <c r="H1252" s="10">
        <f t="shared" si="118"/>
        <v>-5.7803468208093012E-3</v>
      </c>
      <c r="I1252" s="10">
        <f t="shared" si="120"/>
        <v>9.1079560675060289E-3</v>
      </c>
      <c r="J1252" s="10">
        <f t="shared" si="121"/>
        <v>1.9018102416003213E-2</v>
      </c>
      <c r="K1252" s="10">
        <f t="shared" si="122"/>
        <v>2.2019543973941236E-2</v>
      </c>
      <c r="L1252" s="10">
        <f t="shared" si="123"/>
        <v>1.7822423849643609E-2</v>
      </c>
      <c r="M1252" s="10">
        <f t="shared" si="119"/>
        <v>8.7907624463270384E-3</v>
      </c>
      <c r="N1252" s="1"/>
      <c r="O1252" s="2">
        <v>3477.1</v>
      </c>
      <c r="P1252" s="12"/>
    </row>
    <row r="1253" spans="1:16" ht="15" thickBot="1" x14ac:dyDescent="0.35">
      <c r="A1253" s="1">
        <v>44112</v>
      </c>
      <c r="B1253">
        <v>13.84</v>
      </c>
      <c r="C1253">
        <v>37.33</v>
      </c>
      <c r="D1253">
        <v>141.97</v>
      </c>
      <c r="E1253">
        <v>153.5</v>
      </c>
      <c r="F1253">
        <v>61.72</v>
      </c>
      <c r="H1253" s="10">
        <f t="shared" si="118"/>
        <v>-8.5959885386820423E-3</v>
      </c>
      <c r="I1253" s="10">
        <f t="shared" si="120"/>
        <v>1.7998363785110438E-2</v>
      </c>
      <c r="J1253" s="10">
        <f t="shared" si="121"/>
        <v>1.4107356986667874E-3</v>
      </c>
      <c r="K1253" s="10">
        <f t="shared" si="122"/>
        <v>3.0477980665950533E-2</v>
      </c>
      <c r="L1253" s="10">
        <f t="shared" si="123"/>
        <v>8.9913356220368001E-3</v>
      </c>
      <c r="M1253" s="10">
        <f t="shared" si="119"/>
        <v>8.0131017137510252E-3</v>
      </c>
      <c r="N1253" s="1"/>
      <c r="O1253" s="2">
        <v>3446.8</v>
      </c>
      <c r="P1253" s="12"/>
    </row>
    <row r="1254" spans="1:16" ht="15" thickBot="1" x14ac:dyDescent="0.35">
      <c r="A1254" s="1">
        <v>44111</v>
      </c>
      <c r="B1254">
        <v>13.96</v>
      </c>
      <c r="C1254">
        <v>36.67</v>
      </c>
      <c r="D1254">
        <v>141.77000000000001</v>
      </c>
      <c r="E1254">
        <v>148.96</v>
      </c>
      <c r="F1254">
        <v>61.17</v>
      </c>
      <c r="H1254" s="10">
        <f t="shared" si="118"/>
        <v>1.6011644832605532E-2</v>
      </c>
      <c r="I1254" s="10">
        <f t="shared" si="120"/>
        <v>7.4175824175826133E-3</v>
      </c>
      <c r="J1254" s="10">
        <f t="shared" si="121"/>
        <v>2.7393289368794926E-2</v>
      </c>
      <c r="K1254" s="10">
        <f t="shared" si="122"/>
        <v>3.3511413307430793E-2</v>
      </c>
      <c r="L1254" s="10">
        <f t="shared" si="123"/>
        <v>5.754685958566208E-3</v>
      </c>
      <c r="M1254" s="10">
        <f t="shared" si="119"/>
        <v>1.7406051950370482E-2</v>
      </c>
      <c r="N1254" s="1"/>
      <c r="O1254" s="2">
        <v>3419.4</v>
      </c>
      <c r="P1254" s="12"/>
    </row>
    <row r="1255" spans="1:16" ht="15" thickBot="1" x14ac:dyDescent="0.35">
      <c r="A1255" s="1">
        <v>44110</v>
      </c>
      <c r="B1255">
        <v>13.74</v>
      </c>
      <c r="C1255">
        <v>36.4</v>
      </c>
      <c r="D1255">
        <v>137.99</v>
      </c>
      <c r="E1255">
        <v>144.13</v>
      </c>
      <c r="F1255">
        <v>60.82</v>
      </c>
      <c r="H1255" s="10">
        <f t="shared" si="118"/>
        <v>7.3313782991202281E-3</v>
      </c>
      <c r="I1255" s="10">
        <f t="shared" si="120"/>
        <v>-5.7361376673040754E-3</v>
      </c>
      <c r="J1255" s="10">
        <f t="shared" si="121"/>
        <v>-2.7486080766791043E-2</v>
      </c>
      <c r="K1255" s="10">
        <f t="shared" si="122"/>
        <v>-1.7049716974698259E-2</v>
      </c>
      <c r="L1255" s="10">
        <f t="shared" si="123"/>
        <v>-3.6591161096150793E-2</v>
      </c>
      <c r="M1255" s="10">
        <f t="shared" si="119"/>
        <v>-1.3994015138179883E-2</v>
      </c>
      <c r="N1255" s="1"/>
      <c r="O1255" s="2">
        <v>3360.9</v>
      </c>
      <c r="P1255" s="12"/>
    </row>
    <row r="1256" spans="1:16" ht="15" thickBot="1" x14ac:dyDescent="0.35">
      <c r="A1256" s="1">
        <v>44109</v>
      </c>
      <c r="B1256">
        <v>13.64</v>
      </c>
      <c r="C1256">
        <v>36.61</v>
      </c>
      <c r="D1256">
        <v>141.88999999999999</v>
      </c>
      <c r="E1256">
        <v>146.63</v>
      </c>
      <c r="F1256">
        <v>63.13</v>
      </c>
      <c r="H1256" s="10">
        <f t="shared" si="118"/>
        <v>4.4410413476263511E-2</v>
      </c>
      <c r="I1256" s="10">
        <f t="shared" si="120"/>
        <v>2.6065022421524642E-2</v>
      </c>
      <c r="J1256" s="10">
        <f t="shared" si="121"/>
        <v>2.551315409077759E-2</v>
      </c>
      <c r="K1256" s="10">
        <f t="shared" si="122"/>
        <v>9.7789408442943149E-3</v>
      </c>
      <c r="L1256" s="10">
        <f t="shared" si="123"/>
        <v>1.3485310643763126E-2</v>
      </c>
      <c r="M1256" s="10">
        <f t="shared" si="119"/>
        <v>1.7978736112770122E-2</v>
      </c>
      <c r="N1256" s="1"/>
      <c r="O1256" s="2">
        <v>3408.6</v>
      </c>
      <c r="P1256" s="12"/>
    </row>
    <row r="1257" spans="1:16" ht="15" thickBot="1" x14ac:dyDescent="0.35">
      <c r="A1257" s="1">
        <v>44106</v>
      </c>
      <c r="B1257">
        <v>13.06</v>
      </c>
      <c r="C1257">
        <v>35.68</v>
      </c>
      <c r="D1257">
        <v>138.36000000000001</v>
      </c>
      <c r="E1257">
        <v>145.21</v>
      </c>
      <c r="F1257">
        <v>62.29</v>
      </c>
      <c r="H1257" s="10">
        <f t="shared" si="118"/>
        <v>-4.0411462160176215E-2</v>
      </c>
      <c r="I1257" s="10">
        <f t="shared" si="120"/>
        <v>-3.2013022246337508E-2</v>
      </c>
      <c r="J1257" s="10">
        <f t="shared" si="121"/>
        <v>-7.383358993239153E-2</v>
      </c>
      <c r="K1257" s="10">
        <f t="shared" si="122"/>
        <v>6.3760482361912008E-3</v>
      </c>
      <c r="L1257" s="10">
        <f t="shared" si="123"/>
        <v>-8.5946204042655072E-3</v>
      </c>
      <c r="M1257" s="10">
        <f t="shared" si="119"/>
        <v>-9.5835305253194614E-3</v>
      </c>
      <c r="N1257" s="1"/>
      <c r="O1257" s="2">
        <v>3348.4</v>
      </c>
      <c r="P1257" s="12"/>
    </row>
    <row r="1258" spans="1:16" ht="15" thickBot="1" x14ac:dyDescent="0.35">
      <c r="A1258" s="1">
        <v>44105</v>
      </c>
      <c r="B1258">
        <v>13.61</v>
      </c>
      <c r="C1258">
        <v>36.86</v>
      </c>
      <c r="D1258">
        <v>149.38999999999999</v>
      </c>
      <c r="E1258">
        <v>144.29</v>
      </c>
      <c r="F1258">
        <v>62.83</v>
      </c>
      <c r="H1258" s="10"/>
      <c r="I1258" s="10"/>
      <c r="J1258" s="10"/>
      <c r="K1258" s="10"/>
      <c r="L1258" s="10"/>
      <c r="M1258" s="10"/>
      <c r="N1258" s="1"/>
      <c r="O1258" s="2">
        <v>3380.8</v>
      </c>
      <c r="P1258" s="12"/>
    </row>
  </sheetData>
  <mergeCells count="1">
    <mergeCell ref="G1:V1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91A1E-8F55-403F-B08F-46738C76542D}">
  <dimension ref="A1:F6"/>
  <sheetViews>
    <sheetView workbookViewId="0">
      <selection activeCell="G11" sqref="G11"/>
    </sheetView>
  </sheetViews>
  <sheetFormatPr defaultRowHeight="14.4" x14ac:dyDescent="0.3"/>
  <sheetData>
    <row r="1" spans="1:6" x14ac:dyDescent="0.3">
      <c r="A1" s="28"/>
      <c r="B1" s="20" t="s">
        <v>14</v>
      </c>
      <c r="C1" s="20" t="s">
        <v>16</v>
      </c>
      <c r="D1" s="20" t="s">
        <v>2</v>
      </c>
      <c r="E1" s="20" t="s">
        <v>17</v>
      </c>
      <c r="F1" s="20" t="s">
        <v>15</v>
      </c>
    </row>
    <row r="2" spans="1:6" x14ac:dyDescent="0.3">
      <c r="A2" s="24" t="s">
        <v>14</v>
      </c>
      <c r="B2" s="29">
        <f>VARP(Лист1!$H$3:$H$1257)</f>
        <v>1.0826179778694713E-3</v>
      </c>
      <c r="C2" s="29">
        <f>B3</f>
        <v>5.5538711707328635E-4</v>
      </c>
      <c r="D2" s="29">
        <f>B4</f>
        <v>5.8727136879694632E-4</v>
      </c>
      <c r="E2" s="29">
        <f>B5</f>
        <v>1.2423127546323969E-4</v>
      </c>
      <c r="F2" s="29">
        <f>B6</f>
        <v>5.9701920439720607E-5</v>
      </c>
    </row>
    <row r="3" spans="1:6" x14ac:dyDescent="0.3">
      <c r="A3" s="24" t="s">
        <v>16</v>
      </c>
      <c r="B3" s="29">
        <v>5.5538711707328635E-4</v>
      </c>
      <c r="C3" s="29">
        <f>VARP(Лист1!$I$3:$I$1257)</f>
        <v>6.7019720258284393E-4</v>
      </c>
      <c r="D3" s="29">
        <f>C4</f>
        <v>4.3123088932720601E-4</v>
      </c>
      <c r="E3" s="29">
        <f>C5</f>
        <v>8.9290492509955949E-5</v>
      </c>
      <c r="F3" s="29">
        <f>C6</f>
        <v>8.8029276176210746E-5</v>
      </c>
    </row>
    <row r="4" spans="1:6" x14ac:dyDescent="0.3">
      <c r="A4" s="24" t="s">
        <v>2</v>
      </c>
      <c r="B4" s="29">
        <v>5.8727136879694632E-4</v>
      </c>
      <c r="C4" s="29">
        <v>4.3123088932720601E-4</v>
      </c>
      <c r="D4" s="29">
        <f>VARP(Лист1!$J$3:$J$1257)</f>
        <v>1.4866641305336286E-3</v>
      </c>
      <c r="E4" s="29">
        <f>D5</f>
        <v>6.3176660882880545E-5</v>
      </c>
      <c r="F4" s="29">
        <f>D6</f>
        <v>3.6242153303473401E-5</v>
      </c>
    </row>
    <row r="5" spans="1:6" x14ac:dyDescent="0.3">
      <c r="A5" s="24" t="s">
        <v>17</v>
      </c>
      <c r="B5" s="29">
        <v>1.2423127546323969E-4</v>
      </c>
      <c r="C5" s="29">
        <v>8.9290492509955949E-5</v>
      </c>
      <c r="D5" s="29">
        <v>6.3176660882880545E-5</v>
      </c>
      <c r="E5" s="29">
        <f>VARP(Лист1!$K$3:$K$1257)</f>
        <v>4.2501139805864159E-4</v>
      </c>
      <c r="F5" s="29">
        <f>E6</f>
        <v>2.1516780164136302E-5</v>
      </c>
    </row>
    <row r="6" spans="1:6" ht="15" thickBot="1" x14ac:dyDescent="0.35">
      <c r="A6" s="24" t="s">
        <v>15</v>
      </c>
      <c r="B6" s="30">
        <v>5.9701920439720607E-5</v>
      </c>
      <c r="C6" s="30">
        <v>8.8029276176210746E-5</v>
      </c>
      <c r="D6" s="30">
        <v>3.6242153303473401E-5</v>
      </c>
      <c r="E6" s="30">
        <v>2.1516780164136302E-5</v>
      </c>
      <c r="F6" s="30">
        <f>VARP(Лист1!$L$3:$L$1257)</f>
        <v>4.6967035665690973E-4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Жасмин Макульбекова</dc:creator>
  <cp:lastModifiedBy>Жасмин Макульбекова</cp:lastModifiedBy>
  <dcterms:created xsi:type="dcterms:W3CDTF">2025-11-01T09:33:39Z</dcterms:created>
  <dcterms:modified xsi:type="dcterms:W3CDTF">2026-04-02T17:38:08Z</dcterms:modified>
</cp:coreProperties>
</file>